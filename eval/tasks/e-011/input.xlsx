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tasks\e-011\"/>
    </mc:Choice>
  </mc:AlternateContent>
  <xr:revisionPtr revIDLastSave="0" documentId="13_ncr:1_{10E1D2E7-96A1-4B9B-8D88-BAA518F2CC1C}" xr6:coauthVersionLast="47" xr6:coauthVersionMax="47" xr10:uidLastSave="{00000000-0000-0000-0000-000000000000}"/>
  <bookViews>
    <workbookView xWindow="-98" yWindow="353" windowWidth="28996" windowHeight="15944" xr2:uid="{40B87F55-9A10-0C42-ABE7-AAF4C418E684}"/>
  </bookViews>
  <sheets>
    <sheet name="Deb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</externalReferences>
  <definedNames>
    <definedName name="\a">'[1]D_EC-'!#REF!</definedName>
    <definedName name="\D">#REF!</definedName>
    <definedName name="\O">#REF!</definedName>
    <definedName name="\P">#REF!</definedName>
    <definedName name="\R">#REF!</definedName>
    <definedName name="\S">#REF!</definedName>
    <definedName name="\T">#REF!</definedName>
    <definedName name="__FDS_HYPERLINK_TOGGLE_STATE__" hidden="1">"ON"</definedName>
    <definedName name="__old2" hidden="1">{#N/A,#N/A,FALSE,"Chart 2 by Prop Type"}</definedName>
    <definedName name="_16Purch">[2]MERGER!#REF!</definedName>
    <definedName name="_2000ADJ_FV_EBITDA">[3]Summary!#REF!</definedName>
    <definedName name="_2000ADJ_FV_SALES">[3]Summary!#REF!</definedName>
    <definedName name="_2000CFPS_ADJ">#REF!</definedName>
    <definedName name="_2000EBITDA_ADJ">[3]Summary!#REF!</definedName>
    <definedName name="_2000SALES_ADJ">[3]Summary!#REF!</definedName>
    <definedName name="_2000TAX_RATE">#REF!</definedName>
    <definedName name="_2001ADJ_FV_EBITDA">[3]Summary!#REF!</definedName>
    <definedName name="_2001ADJ_FV_EBITDA_eu">'[3](e)Summary'!#REF!</definedName>
    <definedName name="_2001ADJ_FV_SALES">[3]Summary!#REF!</definedName>
    <definedName name="_2001ADJ_FV_SALES_eu">'[3](e)Summary'!#REF!</definedName>
    <definedName name="_2001Avg_Market_Cap_eu">'[3](e)Summary'!$N$5</definedName>
    <definedName name="_2001FV_eu">'[3](e)Summary'!$N$7</definedName>
    <definedName name="_2001NET_DEBT_eu">'[3](e)Summary'!$N$6</definedName>
    <definedName name="_2001SALES_ADJ">[3]Summary!#REF!</definedName>
    <definedName name="_2002ADJ_FV_EBITDA">[3]Summary!#REF!</definedName>
    <definedName name="_2002ADJ_FV_EBITDA_eu">'[3](e)Summary'!#REF!</definedName>
    <definedName name="_2002ADJ_FV_SALES">[3]Summary!#REF!</definedName>
    <definedName name="_2002ADJ_FV_SALES_eu">'[3](e)Summary'!#REF!</definedName>
    <definedName name="_2002SALES_ADJ">[3]Summary!#REF!</definedName>
    <definedName name="_2002SHARES_eu">'[3](e)Summary'!$O$4</definedName>
    <definedName name="_24_.CHA">'[4]Chart 2'!#REF!,'[4]Chart 2'!$A$1:$P$10</definedName>
    <definedName name="_32_0.CHA">'[4]Chart 2'!#REF!,'[4]Chart 2'!$A$1:$P$10</definedName>
    <definedName name="_40_0_for1">[5]Lookups!#REF!</definedName>
    <definedName name="_48_0_GT10Mfo">[5]Lookups!#REF!</definedName>
    <definedName name="_5_Region">[6]Master!$AE$1</definedName>
    <definedName name="_56for1">[7]Lookups!#REF!</definedName>
    <definedName name="_64GT10Mfo">[7]Lookups!#REF!</definedName>
    <definedName name="_8_0Purch">[2]MERGER!#REF!</definedName>
    <definedName name="_89BVPS">#REF!</definedName>
    <definedName name="_89DIV">#REF!</definedName>
    <definedName name="_89GROSS_MARGIN">#REF!</definedName>
    <definedName name="_89SHARES">#REF!</definedName>
    <definedName name="_90BVPS">#REF!</definedName>
    <definedName name="_90CFPS">#REF!</definedName>
    <definedName name="_90DIV">#REF!</definedName>
    <definedName name="_90EPS">#REF!</definedName>
    <definedName name="_90GEAR">#REF!</definedName>
    <definedName name="_90GROSS_MARGIN">#REF!</definedName>
    <definedName name="_90PTP">#REF!</definedName>
    <definedName name="_90ROCE">#REF!</definedName>
    <definedName name="_90SALES">#REF!</definedName>
    <definedName name="_90SHARES">#REF!</definedName>
    <definedName name="_91BVPS">#REF!</definedName>
    <definedName name="_91CFPS">#REF!</definedName>
    <definedName name="_91CFPSFL">#REF!</definedName>
    <definedName name="_91DIV">#REF!</definedName>
    <definedName name="_91DIVFL">#REF!</definedName>
    <definedName name="_91EPS">#REF!</definedName>
    <definedName name="_91EPSFL">#REF!</definedName>
    <definedName name="_91GEAR">#REF!</definedName>
    <definedName name="_91GROSS_MARGIN">#REF!</definedName>
    <definedName name="_91NET_DEBT">#REF!</definedName>
    <definedName name="_91NI">#REF!</definedName>
    <definedName name="_91PTP">#REF!</definedName>
    <definedName name="_91SALES">#REF!</definedName>
    <definedName name="_91SHARES">#REF!</definedName>
    <definedName name="_91SHARESFL">#REF!</definedName>
    <definedName name="_92BVPS">#REF!</definedName>
    <definedName name="_92CFPS">#REF!</definedName>
    <definedName name="_92CFPSFL">#REF!</definedName>
    <definedName name="_92DIV">#REF!</definedName>
    <definedName name="_92DIVFL">#REF!</definedName>
    <definedName name="_92EPS">#REF!</definedName>
    <definedName name="_92EPSFL">#REF!</definedName>
    <definedName name="_92GEAR">#REF!</definedName>
    <definedName name="_92GROSS_MARGIN">#REF!</definedName>
    <definedName name="_92NET_DEBT">#REF!</definedName>
    <definedName name="_92NI">#REF!</definedName>
    <definedName name="_92PTP">#REF!</definedName>
    <definedName name="_92SALES">#REF!</definedName>
    <definedName name="_92SGA">[3]Summary!#REF!</definedName>
    <definedName name="_92SHARES">#REF!</definedName>
    <definedName name="_92SHARESFL">#REF!</definedName>
    <definedName name="_93BVPS">#REF!</definedName>
    <definedName name="_93CFPS">#REF!</definedName>
    <definedName name="_93CFPSFL">#REF!</definedName>
    <definedName name="_93DIV">#REF!</definedName>
    <definedName name="_93DIVFL">#REF!</definedName>
    <definedName name="_93EPS">#REF!</definedName>
    <definedName name="_93EPSFL">#REF!</definedName>
    <definedName name="_93GEAR">#REF!</definedName>
    <definedName name="_93GROSS_MARGIN">#REF!</definedName>
    <definedName name="_93NET_DEBT">#REF!</definedName>
    <definedName name="_93NI">#REF!</definedName>
    <definedName name="_93PTP">#REF!</definedName>
    <definedName name="_93SGA">[3]Summary!#REF!</definedName>
    <definedName name="_93SHARES">#REF!</definedName>
    <definedName name="_93SHARESFL">#REF!</definedName>
    <definedName name="_94BVPS">#REF!</definedName>
    <definedName name="_94CFPS">#REF!</definedName>
    <definedName name="_94CFPSFL">#REF!</definedName>
    <definedName name="_94DIV">#REF!</definedName>
    <definedName name="_94DIVFL">#REF!</definedName>
    <definedName name="_94EPS">#REF!</definedName>
    <definedName name="_94EPSFL">#REF!</definedName>
    <definedName name="_94GEAR">#REF!</definedName>
    <definedName name="_94GROSS_MARGIN">#REF!</definedName>
    <definedName name="_94NET_DEBT">#REF!</definedName>
    <definedName name="_94NI">#REF!</definedName>
    <definedName name="_94PTP">#REF!</definedName>
    <definedName name="_94SGA">[3]Summary!#REF!</definedName>
    <definedName name="_94SHARES">#REF!</definedName>
    <definedName name="_94SHARESFL">#REF!</definedName>
    <definedName name="_95ADJ_FV_EBITDA">[3]Summary!#REF!</definedName>
    <definedName name="_95ADJ_FV_SALES">[3]Summary!#REF!</definedName>
    <definedName name="_95CFPS_ADJ">#REF!</definedName>
    <definedName name="_95CFPSFL">#REF!</definedName>
    <definedName name="_95DIVFL">#REF!</definedName>
    <definedName name="_95EBIT_ADJ">[3]Summary!#REF!</definedName>
    <definedName name="_95EBITDA_ADJ">[3]Summary!#REF!</definedName>
    <definedName name="_95EPSFL">#REF!</definedName>
    <definedName name="_95PTP">#REF!</definedName>
    <definedName name="_95SALES_ADJ">[3]Summary!#REF!</definedName>
    <definedName name="_95SGA">[3]Summary!#REF!</definedName>
    <definedName name="_95SHARESFL">#REF!</definedName>
    <definedName name="_95TAX_RATE">#REF!</definedName>
    <definedName name="_96ADJ_FV_EBITDA">[3]Summary!#REF!</definedName>
    <definedName name="_96ADJ_FV_SALES">[3]Summary!#REF!</definedName>
    <definedName name="_96CFPS_ADJ">#REF!</definedName>
    <definedName name="_96EBIT_ADJ">[3]Summary!#REF!</definedName>
    <definedName name="_96EBITDA_ADJ">[3]Summary!#REF!</definedName>
    <definedName name="_96EPS_eu">'[3](e)Summary'!#REF!</definedName>
    <definedName name="_96PTP">#REF!</definedName>
    <definedName name="_96Salaries_SGA">[3]Summary!#REF!</definedName>
    <definedName name="_96SALES_ADJ">[3]Summary!#REF!</definedName>
    <definedName name="_96SALES_eu">'[3](e)Summary'!#REF!</definedName>
    <definedName name="_96SGA">[3]Summary!#REF!</definedName>
    <definedName name="_96TAX_RATE">#REF!</definedName>
    <definedName name="_97ADJ_FV_EBITDA">[3]Summary!#REF!</definedName>
    <definedName name="_97ADJ_FV_SALES">[3]Summary!#REF!</definedName>
    <definedName name="_97CFPS_ADJ">#REF!</definedName>
    <definedName name="_97EBIT_ADJ">[3]Summary!#REF!</definedName>
    <definedName name="_97EBITD_PS">#REF!</definedName>
    <definedName name="_97EBITDA_ADJ">[3]Summary!#REF!</definedName>
    <definedName name="_97PTP">#REF!</definedName>
    <definedName name="_97SALES_ADJ">[3]Summary!#REF!</definedName>
    <definedName name="_97SGA">[3]Summary!#REF!</definedName>
    <definedName name="_97TAX_RATE">#REF!</definedName>
    <definedName name="_98ADJ_FV_EBITDA">[3]Summary!#REF!</definedName>
    <definedName name="_98ADJ_FV_SALES">[3]Summary!#REF!</definedName>
    <definedName name="_98CFPS_ADJ">#REF!</definedName>
    <definedName name="_98EBIT_ADJ">[3]Summary!#REF!</definedName>
    <definedName name="_98EBITDA_ADJ">[3]Summary!#REF!</definedName>
    <definedName name="_98SALES_ADJ">[3]Summary!#REF!</definedName>
    <definedName name="_98SGA">[3]Summary!#REF!</definedName>
    <definedName name="_98TAX_RATE">#REF!</definedName>
    <definedName name="_99ADJ_FV_EBITDA">[3]Summary!#REF!</definedName>
    <definedName name="_99ADJ_FV_SALES">[3]Summary!#REF!</definedName>
    <definedName name="_99CFPS_ADJ">#REF!</definedName>
    <definedName name="_99EBITDA_ADJ">[3]Summary!#REF!</definedName>
    <definedName name="_99SALES_ADJ">[3]Summary!#REF!</definedName>
    <definedName name="_99SGA">[3]Summary!#REF!</definedName>
    <definedName name="_99TAX_RATE">#REF!</definedName>
    <definedName name="_EPS01">'[8]Income-Summary'!#REF!</definedName>
    <definedName name="_EPS02">'[8]Income-Summary'!#REF!</definedName>
    <definedName name="_EPS03">'[8]Income-Summary'!#REF!</definedName>
    <definedName name="_EPS94">'[8]Income-Summary'!#REF!</definedName>
    <definedName name="_EPS95">'[8]Income-Summary'!#REF!</definedName>
    <definedName name="_EPS96">'[8]Income-Summary'!#REF!</definedName>
    <definedName name="_EPS99">'[8]Income-Summary'!#REF!</definedName>
    <definedName name="_Fill" hidden="1">#REF!</definedName>
    <definedName name="_FYE2001">#REF!</definedName>
    <definedName name="_FYE2002">#REF!</definedName>
    <definedName name="_FYE2003">#REF!</definedName>
    <definedName name="_FYE2004">#REF!</definedName>
    <definedName name="_FYE2005">#REF!</definedName>
    <definedName name="_FYE2006">#REF!</definedName>
    <definedName name="_FYE2007">#REF!</definedName>
    <definedName name="_Key1" hidden="1">#REF!</definedName>
    <definedName name="_LTG_EBITDA">#REF!</definedName>
    <definedName name="_LTG_NI">#REF!</definedName>
    <definedName name="_old2" hidden="1">{#N/A,#N/A,FALSE,"Chart 2 by Prop Type"}</definedName>
    <definedName name="_Order1" hidden="1">255</definedName>
    <definedName name="_QTR1">"4Q, 1999"</definedName>
    <definedName name="_Regression_Out" hidden="1">#REF!</definedName>
    <definedName name="_Regression_X" hidden="1">#REF!</definedName>
    <definedName name="_Regression_Y" hidden="1">#REF!</definedName>
    <definedName name="_REV01">'[8]Income-Summary'!#REF!</definedName>
    <definedName name="_REV02">'[8]Income-Summary'!#REF!</definedName>
    <definedName name="_REV03">'[8]Income-Summary'!#REF!</definedName>
    <definedName name="_REV95">'[8]Income-Summary'!#REF!</definedName>
    <definedName name="_REV96">'[8]Income-Summary'!#REF!</definedName>
    <definedName name="_REV99">'[8]Income-Summary'!#REF!</definedName>
    <definedName name="_Sort" hidden="1">#REF!</definedName>
    <definedName name="_SS10">[9]Input!$C$477</definedName>
    <definedName name="_SS6">[9]Input!$C$473</definedName>
    <definedName name="_SS7">[9]Input!$C$474</definedName>
    <definedName name="_SS8">[9]Input!$C$475</definedName>
    <definedName name="_SS9">[9]Input!$C$476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OP1">#REF!</definedName>
    <definedName name="_top10">#REF!</definedName>
    <definedName name="_TOP11">#REF!</definedName>
    <definedName name="_TOP12">#REF!</definedName>
    <definedName name="_top13">'[10](3) Personal Income'!$B$2</definedName>
    <definedName name="_TOP14">'[11]Data Page'!#REF!</definedName>
    <definedName name="_TOP15">'[11]Data Page'!#REF!</definedName>
    <definedName name="_TOP16">'[11]Data Page'!#REF!</definedName>
    <definedName name="_TOP17">'[11]Data Page'!#REF!</definedName>
    <definedName name="_TOP18">'[11]Data Page'!#REF!</definedName>
    <definedName name="_top19">#REF!</definedName>
    <definedName name="_top2">#REF!</definedName>
    <definedName name="_top20">#REF!</definedName>
    <definedName name="_TOP21">#REF!</definedName>
    <definedName name="_TOP22">#REF!</definedName>
    <definedName name="_TOP23">#REF!</definedName>
    <definedName name="_TOP24">#REF!</definedName>
    <definedName name="_TOP25">#REF!</definedName>
    <definedName name="_TOP26">#REF!</definedName>
    <definedName name="_TOP27">#REF!</definedName>
    <definedName name="_top28">'[10](3) Savings Rate-Q'!$B$2</definedName>
    <definedName name="_TOP29">#REF!</definedName>
    <definedName name="_TOP3">'[12]Base Data'!#REF!</definedName>
    <definedName name="_TOP30">#REF!</definedName>
    <definedName name="_TOP31">#REF!</definedName>
    <definedName name="_TOP32">#REF!</definedName>
    <definedName name="_TOP33">#REF!</definedName>
    <definedName name="_TOP34">#REF!</definedName>
    <definedName name="_TOP35">#REF!</definedName>
    <definedName name="_top36">'[13](9) Fed Funds Target'!$B$2</definedName>
    <definedName name="_top37">#REF!</definedName>
    <definedName name="_TOP38">#REF!</definedName>
    <definedName name="_TOP39">#REF!</definedName>
    <definedName name="_TOP4">'[12]Quarterly GDP'!#REF!</definedName>
    <definedName name="_Top40">[14]Lookups!$B$3:$C$132</definedName>
    <definedName name="_TOP41">#REF!</definedName>
    <definedName name="_TOP42">#REF!</definedName>
    <definedName name="_TOP43">#REF!</definedName>
    <definedName name="_TOP44">#REF!</definedName>
    <definedName name="_TOP45">#REF!</definedName>
    <definedName name="_TOP46">#REF!</definedName>
    <definedName name="_TOP5">'[12]Semi GDP'!#REF!</definedName>
    <definedName name="_top6">'[10](2) Consumer Sentiment'!#REF!</definedName>
    <definedName name="_top7">#REF!</definedName>
    <definedName name="_TOP8">#REF!</definedName>
    <definedName name="_TOP9">#REF!</definedName>
    <definedName name="a">#REF!</definedName>
    <definedName name="aaa" hidden="1">{"AnnMarg.",#N/A,FALSE,"ETHAN";"Q",#N/A,FALSE,"Qtrs."}</definedName>
    <definedName name="AAA_DOCTOPS" hidden="1">"AAA_SET"</definedName>
    <definedName name="AAA_duser" hidden="1">"OFF"</definedName>
    <definedName name="AAAForecast">[15]Model!$A$471</definedName>
    <definedName name="AAB_Addin5" hidden="1">"AAB_Description for addin 5,Description for addin 5,Description for addin 5,Description for addin 5,Description for addin 5,Description for addin 5"</definedName>
    <definedName name="AbbrevQtr">#REF!</definedName>
    <definedName name="ABSASCcapex96">#REF!</definedName>
    <definedName name="ABSASCcapex97">#REF!</definedName>
    <definedName name="ABSASCcaplease96">#REF!</definedName>
    <definedName name="ABSASCcaplease97">#REF!</definedName>
    <definedName name="ABSASCcogs96">#REF!</definedName>
    <definedName name="ABSASCcogs97">#REF!</definedName>
    <definedName name="ABSASCebitda96">#REF!</definedName>
    <definedName name="ABSASCebitda97">#REF!</definedName>
    <definedName name="ABSASCebitdamgn96">#REF!</definedName>
    <definedName name="ABSASCebitdamgn97">#REF!</definedName>
    <definedName name="ABSASCequity96">#REF!</definedName>
    <definedName name="ABSASCequity97">#REF!</definedName>
    <definedName name="ABSASCgrssprof96">#REF!</definedName>
    <definedName name="ABSASCgrssprof97">#REF!</definedName>
    <definedName name="ABSASCintxp96">#REF!</definedName>
    <definedName name="ABSASCintxp97">#REF!</definedName>
    <definedName name="ABSASCinv96">#REF!</definedName>
    <definedName name="ABSASCinv97">#REF!</definedName>
    <definedName name="ABSASCltdebt96">#REF!</definedName>
    <definedName name="ABSASCltdebt97">#REF!</definedName>
    <definedName name="ABSASCnetinc96">#REF!</definedName>
    <definedName name="ABSASCnetinc97">#REF!</definedName>
    <definedName name="ABSASCopinc96">#REF!</definedName>
    <definedName name="ABSASCopincmgn96">#REF!</definedName>
    <definedName name="ABSASCopincmgn97">#REF!</definedName>
    <definedName name="ABSASCsales96">#REF!</definedName>
    <definedName name="ABSASCsales97">#REF!</definedName>
    <definedName name="ABSASCshares96">#REF!</definedName>
    <definedName name="ABSASCtotassts96">#REF!</definedName>
    <definedName name="ABSASCtotassts97">#REF!</definedName>
    <definedName name="ADD_FWD">#REF!</definedName>
    <definedName name="addd">'[3](e)Summary'!#REF!</definedName>
    <definedName name="Addr">[6]Master!$D$1</definedName>
    <definedName name="AdjPeriodsToRun">[9]Input!$B$443</definedName>
    <definedName name="AdjustFactor">[9]SumSheet!$C$17</definedName>
    <definedName name="Adjustments">[9]ValuationInput!$K$50:$K$56</definedName>
    <definedName name="AGY">#REF!</definedName>
    <definedName name="AGY_00Ea">#REF!</definedName>
    <definedName name="AGY_00EPS">#REF!</definedName>
    <definedName name="AGY_01Ea">#REF!</definedName>
    <definedName name="AGY_01EPS">#REF!</definedName>
    <definedName name="AGY_99Ea">#REF!</definedName>
    <definedName name="AGY_99EPS">#REF!</definedName>
    <definedName name="AGY_Rating">[16]Industry!$D$6</definedName>
    <definedName name="AGY_Target">[16]Industry!$C$6</definedName>
    <definedName name="AinOper1EBIT2">[9]Input!$D$447</definedName>
    <definedName name="AJHFkjDGHF" hidden="1">{"Annual_Income",#N/A,FALSE,"Report Page";"Balance_Cash_Flow",#N/A,FALSE,"Report Page";"Quarterly_Income",#N/A,FALSE,"Report Page"}</definedName>
    <definedName name="All_Ste">[6]Master!$O$1</definedName>
    <definedName name="AllFileList">[9]Storage!$C$34:$C$52</definedName>
    <definedName name="AllowOnlyPositiveCashAdj">[9]Input!$D$505</definedName>
    <definedName name="ALLY">#REF!</definedName>
    <definedName name="AMTCreditWorkingTF">[9]Input!$B$433</definedName>
    <definedName name="AMTWorkingTF">[9]Input!$B$431</definedName>
    <definedName name="Analysis">[17]Analysis!$B$2:$J$80</definedName>
    <definedName name="Analysis1">[18]Analysis!$B$2:$M$66</definedName>
    <definedName name="Analysis2">[18]Analysis!$B$67:$M$72</definedName>
    <definedName name="ANNUAL">#REF!</definedName>
    <definedName name="Annuities">[15]Model!$K$628</definedName>
    <definedName name="APVLastRow">[9]APV!$C$19</definedName>
    <definedName name="Argentina">#REF!</definedName>
    <definedName name="ASCA">#REF!</definedName>
    <definedName name="ASCA_00EPS">'[19]Earnings Model'!$I$61</definedName>
    <definedName name="ASCA_99EPS">'[19]Earnings Model'!$D$61</definedName>
    <definedName name="ASCA_CONS00">#REF!</definedName>
    <definedName name="ASCA_CONS01">#REF!</definedName>
    <definedName name="ASCA_CONS99">#REF!</definedName>
    <definedName name="ASCA_CONSENSUS">#REF!</definedName>
    <definedName name="asd" hidden="1">{#N/A,#N/A,FALSE,"Chart 2 by Prop Type"}</definedName>
    <definedName name="asdf">'[20]EPS model'!#REF!</definedName>
    <definedName name="asdfasdfasdfasdfsadfew">'[20]EPS model'!#REF!</definedName>
    <definedName name="asf">'[20]EPS model'!#REF!</definedName>
    <definedName name="asfdasdfasdfasdf">'[20]EPS model'!#REF!</definedName>
    <definedName name="ASMAcquistion">[21]!ASMAcquistion</definedName>
    <definedName name="AssetMngmt">[15]Model!$K$1438</definedName>
    <definedName name="AssetsInvestments">#REF!</definedName>
    <definedName name="ATDebtCost">[9]ValuationInput!$G$27</definedName>
    <definedName name="Atlanta" hidden="1">{#N/A,#N/A,FALSE,"Chart 2 by Prop Type"}</definedName>
    <definedName name="AUM">[15]Model!$K$1483</definedName>
    <definedName name="Auto">[15]Model!$K$1230</definedName>
    <definedName name="AutoHome">[15]Model!$K$1191</definedName>
    <definedName name="avc">[3]Summary!#REF!</definedName>
    <definedName name="awefwea">'[20]EPS model'!#REF!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ZR">#REF!</definedName>
    <definedName name="AZR_00Ea">#REF!</definedName>
    <definedName name="AZR_00EPS">#REF!</definedName>
    <definedName name="azr_01ea">'[22]AZR Earnings Model'!#REF!</definedName>
    <definedName name="AZR_99Ea">#REF!</definedName>
    <definedName name="AZR_99EPS">#REF!</definedName>
    <definedName name="AZR_Rating">[16]Industry!$D$7</definedName>
    <definedName name="AZR_Target">[16]Industry!$C$7</definedName>
    <definedName name="Bal_Sheet">'[23]Balance Sheet'!$B$2:$K$62</definedName>
    <definedName name="BalanceSheet">'[24]Balance Sheet'!$B$2:$L$40</definedName>
    <definedName name="BankDebt">[9]Input!$D$481:$D$485</definedName>
    <definedName name="BaseYear">[9]Input!$F$17</definedName>
    <definedName name="BCEPS">[9]IncStatement!$B$126</definedName>
    <definedName name="Belle_SC_Own_Pct">#REF!</definedName>
    <definedName name="BEPS">[9]IncStatement!$B$118</definedName>
    <definedName name="BEPSb">[9]IncStatement!$B$112</definedName>
    <definedName name="Beta">#REF!</definedName>
    <definedName name="BLPH1" hidden="1">#REF!</definedName>
    <definedName name="BODY">#REF!</definedName>
    <definedName name="BondRatingTableStartRow">[9]SumSheet!$C$125</definedName>
    <definedName name="BothChart1">'[25]By Mkt Segment 95'!$A$1:$P$54,'[25]By Mkt Segment 95'!$R$1:$AG$54</definedName>
    <definedName name="BothChart2">'[26]By Category'!$A$1:$P$41,'[26]By Category'!$R$1:$AG$41</definedName>
    <definedName name="BOTTLING">"printbottling"</definedName>
    <definedName name="brand1">[27]lookups!$A$8:$U$32</definedName>
    <definedName name="brand2">[27]lookups!$A$47:$U$71</definedName>
    <definedName name="brand3">[27]lookups!$A$81:$U$105</definedName>
    <definedName name="brand4">[27]lookups!$A$114:$U$138</definedName>
    <definedName name="brand7">[27]lookups!$A$219:$U$243</definedName>
    <definedName name="bs.date">#REF!</definedName>
    <definedName name="BS_1">[28]RAINSHT!#REF!</definedName>
    <definedName name="BS_2">[28]RAINSHT!#REF!</definedName>
    <definedName name="BS_CF">#REF!</definedName>
    <definedName name="BSAnchor">[9]ISBS!$E$202</definedName>
    <definedName name="BSCheck">[9]BalanceSheet!$E$103</definedName>
    <definedName name="BSFactor">[9]ISBS!$A$202:$IV$202</definedName>
    <definedName name="Buyer_name">[6]Master!$AK$1</definedName>
    <definedName name="By_Svc_Type">[6]Master!$AI$1</definedName>
    <definedName name="BYD">#REF!</definedName>
    <definedName name="BYD_00Ea">#REF!</definedName>
    <definedName name="BYD_00EPS">#REF!</definedName>
    <definedName name="BYD_01Ea">#REF!</definedName>
    <definedName name="BYD_01EPS">#REF!</definedName>
    <definedName name="BYD_99Ea">#REF!</definedName>
    <definedName name="BYD_99EPS">#REF!</definedName>
    <definedName name="BYD_EPS01">#REF!</definedName>
    <definedName name="BYD_Rating">[16]Industry!$D$8</definedName>
    <definedName name="BYD_Target">[16]Industry!$C$8</definedName>
    <definedName name="Cap_Interest">[29]ProForma!$A$169:$IV$169</definedName>
    <definedName name="CapEx_Input">#REF!</definedName>
    <definedName name="CapEx_Toggle">#REF!</definedName>
    <definedName name="CaseTitle">[9]Input!$C$2</definedName>
    <definedName name="Cash_Flow_Table">[30]OFFVALU!#REF!</definedName>
    <definedName name="CashUseList">[9]Storage!$BJ$40:$BJ$42</definedName>
    <definedName name="CCL">#REF!</definedName>
    <definedName name="ccs" hidden="1">{#N/A,#N/A,FALSE,"Chart 2 by Prop Type"}</definedName>
    <definedName name="cenc1">[27]lookups!$A$324:$B$348</definedName>
    <definedName name="Cencproj">'[31]chain census'!$C$15</definedName>
    <definedName name="Cencroom">'[31]chain census'!$D$15</definedName>
    <definedName name="CF_1">[28]RAINSHT!#REF!</definedName>
    <definedName name="CF_2">[28]RAINSHT!#REF!</definedName>
    <definedName name="CFCheck">[9]CashFlow!$E$76</definedName>
    <definedName name="CFInvestments">#REF!</definedName>
    <definedName name="chain">'[32]Misc Data'!$B$42:$C$47</definedName>
    <definedName name="chart">"Chart 1"</definedName>
    <definedName name="Charts1">#REF!</definedName>
    <definedName name="Charts2">#REF!</definedName>
    <definedName name="Check">'[33]Cash Flow'!$B$46:$M$46</definedName>
    <definedName name="CHH">[34]Prices!$B$42</definedName>
    <definedName name="CHH_CONS00">[34]Prices!$F$15</definedName>
    <definedName name="CHH_CONS01">[34]Prices!$G$15</definedName>
    <definedName name="CHH_CONS99">#REF!</definedName>
    <definedName name="Chile1">#REF!</definedName>
    <definedName name="Chile2">#REF!</definedName>
    <definedName name="Choices_Wrapper">#N/A</definedName>
    <definedName name="CIQWBGuid" hidden="1">"RCL Model.xlsm"</definedName>
    <definedName name="circ">'[35]EPS Model'!$BA$6</definedName>
    <definedName name="City">[6]Master!$E$1</definedName>
    <definedName name="city_proximity">[6]Master!$AB$1</definedName>
    <definedName name="Closed_End">#REF!</definedName>
    <definedName name="Column2Header">#REF!</definedName>
    <definedName name="Column3Header">#REF!</definedName>
    <definedName name="Column4Header">#REF!</definedName>
    <definedName name="Column5Header">#REF!</definedName>
    <definedName name="Column6Header">#REF!</definedName>
    <definedName name="Column7Header">#REF!</definedName>
    <definedName name="Column8Header">#REF!</definedName>
    <definedName name="Column9Header">#REF!</definedName>
    <definedName name="ColumnsDownloaded">[9]Storage!$BL$26</definedName>
    <definedName name="Company_name">#REF!</definedName>
    <definedName name="CompanyName">[9]Input!$C$1</definedName>
    <definedName name="CompareAll">#REF!</definedName>
    <definedName name="CompareNoEBITDA">#REF!</definedName>
    <definedName name="Concat_Mkt_Seg___Other">[36]Lookups!$AD$1</definedName>
    <definedName name="ConsolidatedBal">[15]Model!$K$176</definedName>
    <definedName name="ConsolidatedInc">[15]Model!$K$4</definedName>
    <definedName name="ConsolidatedSales">[37]Premiums!$X$291</definedName>
    <definedName name="ConsolIncome">[15]Model!$K$4</definedName>
    <definedName name="CONTRACT_PD">#REF!</definedName>
    <definedName name="ConvDate">#REF!</definedName>
    <definedName name="converter">'[38]Currency Conversion Page'!#REF!</definedName>
    <definedName name="converter3q99">'[39]Currency Conversion Page'!$B$16</definedName>
    <definedName name="ConvTable">[9]Storage!$C$57:$D$75</definedName>
    <definedName name="Corporate">[15]Model!$K$1585</definedName>
    <definedName name="Cost_of_capital_calculation">[40]Outputs!$A$115:$B$132</definedName>
    <definedName name="Cost_of_equity">#REF!</definedName>
    <definedName name="Cost_of_preferred_stock">#REF!</definedName>
    <definedName name="CountryRiskPremium">[9]ValuationInput!$G$29</definedName>
    <definedName name="county">'[32]COUNTY.TXT'!$A$1:$B$3128</definedName>
    <definedName name="CreditSrvSecurites">#REF!</definedName>
    <definedName name="CSDS">#REF!</definedName>
    <definedName name="CSDS_CONS00">#REF!</definedName>
    <definedName name="CSDS_CONS01">#REF!</definedName>
    <definedName name="CSDS_CONS99">#REF!</definedName>
    <definedName name="CSDS_CONSENSUS">#REF!</definedName>
    <definedName name="CumBasePeriod">[9]SumSheet!$C$117</definedName>
    <definedName name="CumDate">[9]SumSheet!$C$12</definedName>
    <definedName name="Currency">[40]Front!$H$11</definedName>
    <definedName name="CurrencyNote">[41]Input!$C$4</definedName>
    <definedName name="CurrentValPeriod">[9]IncStatement!$D$153</definedName>
    <definedName name="currentyear">#REF!</definedName>
    <definedName name="CVSsellsqft98">'[42]CVS Q'!$S$99</definedName>
    <definedName name="CVSsellsqft99">'[42]CVS Q'!$Y$99</definedName>
    <definedName name="CVSstorecnt98">'[42]CVS Q'!$S$93</definedName>
    <definedName name="CVSstorecnt99">'[42]CVS Q'!$Y$93</definedName>
    <definedName name="CVSstorecntQ198">#REF!</definedName>
    <definedName name="CVSstorecntQ199">#REF!</definedName>
    <definedName name="CVSstorecntQ299">#REF!</definedName>
    <definedName name="CVSstorecntQ399">#REF!</definedName>
    <definedName name="CVSstorecntQ499">#REF!</definedName>
    <definedName name="d">'[20]EPS model'!#REF!</definedName>
    <definedName name="_xlnm.Database">#REF!</definedName>
    <definedName name="DataSource">[9]Input!$F$4</definedName>
    <definedName name="Date">#REF!</definedName>
    <definedName name="Date_Sold">[6]Master!$J$1</definedName>
    <definedName name="DateSetting">[9]Storage!$BL$21</definedName>
    <definedName name="Day">#REF!</definedName>
    <definedName name="days">[43]inputs!$C$9</definedName>
    <definedName name="DCEPS">[9]IncStatement!$B$129</definedName>
    <definedName name="dddd">'[44]Annual Results'!#REF!</definedName>
    <definedName name="DEALERS">#REF!</definedName>
    <definedName name="DEMOG">#REF!</definedName>
    <definedName name="DeprAmort_Input">#REF!</definedName>
    <definedName name="DeprAmort_Toggle">#REF!</definedName>
    <definedName name="DeprList">[9]Storage!$BJ$68:$BJ$69</definedName>
    <definedName name="DEPS">[9]IncStatement!$B$120</definedName>
    <definedName name="DEPSb">[9]IncStatement!$B$114</definedName>
    <definedName name="Detailed_balance_sheet">'[40]Balance sheet'!$A$1:$AC$94</definedName>
    <definedName name="Detailed_cashflow_statement">[40]Cashflows!$A$1:$AC$37</definedName>
    <definedName name="Detailed_income_statement">'[40]Income statement'!$A$1:$AC$111</definedName>
    <definedName name="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_1" hidden="1">{#N/A,#N/A,FALSE,"Calc";#N/A,#N/A,FALSE,"Sensitivity";#N/A,#N/A,FALSE,"LT Earn.Dil.";#N/A,#N/A,FALSE,"Dil. AVP"}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">[3]Summary!#REF!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inGross1Oper2">[9]Input!$D$446</definedName>
    <definedName name="DiscountEnd1Middle2">[9]Storage!$BL$27</definedName>
    <definedName name="DiscountFlowList">[9]Storage!$BJ$28:$BJ$29</definedName>
    <definedName name="DiscountFlows">[9]Storage!$BJ$28:$BJ$29</definedName>
    <definedName name="DiscountPeriods">[9]Storage!$BL$30</definedName>
    <definedName name="DiscretFCFOn1Off2">[9]Storage!$BL$31</definedName>
    <definedName name="Display">#REF!</definedName>
    <definedName name="DLX1.USE">'[45]Raw Econ Data'!$A$3:$I$3</definedName>
    <definedName name="DOUBLE">[46]ISBS!$A$195:$IV$195</definedName>
    <definedName name="dsa" hidden="1">{#N/A,#N/A,FALSE,"Chart 2 by Prop Type"}</definedName>
    <definedName name="DSS" hidden="1">{"print STAY opening assumptions",#N/A,FALSE,"STAY Openings";"print STAY openings",#N/A,FALSE,"STAY Openings"}</definedName>
    <definedName name="E">[28]RAINSHT!#REF!</definedName>
    <definedName name="EarliestDateForValuation">[9]Valuation!$E$73</definedName>
    <definedName name="earnings">#REF!</definedName>
    <definedName name="EBIT_Input">#REF!</definedName>
    <definedName name="EBIT_Toggle">#REF!</definedName>
    <definedName name="ebitda">[3]Summary!#REF!</definedName>
    <definedName name="EBITDA_Margin_projection">#REF!</definedName>
    <definedName name="EBITDA01">'[8]Income-Summary'!#REF!</definedName>
    <definedName name="EBITDA02">'[8]Income-Summary'!#REF!</definedName>
    <definedName name="EBITDA03">'[8]Income-Summary'!#REF!</definedName>
    <definedName name="EBITDA95">'[8]Income-Summary'!#REF!</definedName>
    <definedName name="EBITDA96">'[8]Income-Summary'!#REF!</definedName>
    <definedName name="EBITDA99">'[8]Income-Summary'!#REF!</definedName>
    <definedName name="EconAPP">'[47]top cos 5c pivots'!$AP$12+'[47]top cos 5c pivots'!$AQ$12</definedName>
    <definedName name="EconAPR">'[47]top cos 5c pivots'!$AP$19+'[47]top cos 5c pivots'!$AQ$19</definedName>
    <definedName name="EliminationBal">[15]Model!$K$340</definedName>
    <definedName name="EliminationInc">[15]Model!$K$37</definedName>
    <definedName name="EnableAutoCopy">[9]Storage!$BL$22</definedName>
    <definedName name="EndingNOL">[9]ISBS!$D$123</definedName>
    <definedName name="EndOfDL">[9]Storage!$H$175</definedName>
    <definedName name="EndPrint">[9]ISBS!$C$379:$C$380</definedName>
    <definedName name="Enterprise_value">#REF!</definedName>
    <definedName name="EPS00">'[8]Income-Summary'!#REF!</definedName>
    <definedName name="Eptotal">'[48]companies pivots'!$AV$12</definedName>
    <definedName name="EptotalP">'[48]companies pivots'!$AY$12</definedName>
    <definedName name="Equity_percent_of_total_capitalisation">#REF!</definedName>
    <definedName name="Equity_risk_premium">#REF!</definedName>
    <definedName name="EquityCost">[9]ValuationInput!$G$36</definedName>
    <definedName name="EquityInvestTF">[9]Input!$B$445</definedName>
    <definedName name="ESA">[34]Prices!$B$52</definedName>
    <definedName name="ESA_CONS00">[34]Prices!$F$28</definedName>
    <definedName name="ESA_CONS01">[34]Prices!$G$28</definedName>
    <definedName name="ESA_CONS99">#REF!</definedName>
    <definedName name="EuroCF00">'[3]&lt;EuroCF&gt;'!$B$18</definedName>
    <definedName name="Europe">[21]!Europe</definedName>
    <definedName name="EV__LASTREFTIME__" hidden="1">39548.58875</definedName>
    <definedName name="EVALastRow">[9]EVA!$C$43</definedName>
    <definedName name="Events">[17]Events!$B$3:$I$28</definedName>
    <definedName name="exp">#REF!</definedName>
    <definedName name="ExpandModel">[21]!ExpandModel</definedName>
    <definedName name="ExpandOutputs">[21]!ExpandOutputs</definedName>
    <definedName name="ExpandVPeriods">[21]!ExpandVPeriods</definedName>
    <definedName name="ExportFile">[21]!ExportFile</definedName>
    <definedName name="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B">[6]Master!$N$1</definedName>
    <definedName name="FCFList">[9]Storage!$BJ$32:$BJ$33</definedName>
    <definedName name="FDLNmod">#REF!</definedName>
    <definedName name="fdsasdf">'[20]EPS model'!#REF!</definedName>
    <definedName name="Financialyearend">[40]Front!$D$11</definedName>
    <definedName name="FirstInputCell">[9]Storage!$I$1</definedName>
    <definedName name="FirstProjYr">[9]ValuationInput!$E$69</definedName>
    <definedName name="fiscal_year_1997">'[49]Comps - Monthly'!#REF!</definedName>
    <definedName name="Franch_Code">[6]Master!$P$1</definedName>
    <definedName name="franchise">[32]AFF.TXT!$A$1:$B$417</definedName>
    <definedName name="Franchise_Name">[6]Master!$Q$1</definedName>
    <definedName name="Front_page">[40]Front!$A$1:$M$33</definedName>
    <definedName name="FS">[34]Prices!$B$46</definedName>
    <definedName name="FS_00EA">'[50]Earnings Model 4-26-00'!$P$26</definedName>
    <definedName name="FS_00EPS">#REF!</definedName>
    <definedName name="FS_01EA">'[50]Earnings Model 4-26-00'!$U$26</definedName>
    <definedName name="FS_01EPS">#REF!</definedName>
    <definedName name="FS_99EA">'[50]Earnings Model 4-26-00'!$K$26</definedName>
    <definedName name="FS_99EPS">#REF!</definedName>
    <definedName name="FS_CONS00">#REF!</definedName>
    <definedName name="FS_CONS01">#REF!</definedName>
    <definedName name="FS_CONS99">#REF!</definedName>
    <definedName name="FS_Rating">'[16]Industry (2)'!$D$5</definedName>
    <definedName name="FS_Target">'[16]Industry (2)'!$C$5</definedName>
    <definedName name="FXCurrencyNote">[41]Input!$C$5</definedName>
    <definedName name="FY_1996">#REF!</definedName>
    <definedName name="GAX">#REF!</definedName>
    <definedName name="GEO_PDF">[17]Annual!$B$5:$X$46</definedName>
    <definedName name="GMTC">#REF!</definedName>
    <definedName name="GMTC_CONS00">#REF!</definedName>
    <definedName name="GMTC_CONS01">#REF!</definedName>
    <definedName name="GMTC_CONS99">#REF!</definedName>
    <definedName name="GND">#REF!</definedName>
    <definedName name="GND_CONSENSUS">#REF!</definedName>
    <definedName name="GoldCode">[51]Lookups!$AI$32:$AJ$35</definedName>
    <definedName name="gp">#REF!</definedName>
    <definedName name="graphingdata">#REF!</definedName>
    <definedName name="gre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roupLife">[15]Model!$K$920</definedName>
    <definedName name="GroupStart">[9]ISBS!$F$643</definedName>
    <definedName name="GTK">#REF!</definedName>
    <definedName name="GUC">[34]Prices!$B$53</definedName>
    <definedName name="GUC_CONS00">[34]Prices!$F$25</definedName>
    <definedName name="GUC_CONS01">[34]Prices!$G$25</definedName>
    <definedName name="GUC_CONS99">#REF!</definedName>
    <definedName name="guidance">'[52]99-01'!#REF!</definedName>
    <definedName name="HALF">[9]ISBS!$A$9:$IV$9</definedName>
    <definedName name="HardCodeBaseTBF">[9]SumSheet!$F$97</definedName>
    <definedName name="HardCodedATDebtCost">[9]ValuationInput!$G$20</definedName>
    <definedName name="HardCodedEquityCost">[9]ValuationInput!$G$21</definedName>
    <definedName name="HardCodedUntaxedWACC">[9]APV!$F$21</definedName>
    <definedName name="HardCodedWACC">[9]ValuationInput!$G$19</definedName>
    <definedName name="HATRows">[9]Storage!$C$28</definedName>
    <definedName name="Headcount">[15]Model!$K$58</definedName>
    <definedName name="Hearthside_Inn">[53]Lookups!$B$41</definedName>
    <definedName name="HET">[54]Prices!$B$12</definedName>
    <definedName name="HET_00Ea">#REF!</definedName>
    <definedName name="HET_00EPS">#REF!</definedName>
    <definedName name="HET_01Ea">#REF!</definedName>
    <definedName name="HET_01EPS">#REF!</definedName>
    <definedName name="HET_99Ea">#REF!</definedName>
    <definedName name="HET_99EPS">#REF!</definedName>
    <definedName name="HET_Rating">[16]Industry!$D$9</definedName>
    <definedName name="HET_Target">[16]Industry!$C$9</definedName>
    <definedName name="HLT">[34]Prices!$B$43</definedName>
    <definedName name="HLT_00EA">#REF!</definedName>
    <definedName name="HLT_00EPS">#REF!</definedName>
    <definedName name="HLT_01EA">#REF!</definedName>
    <definedName name="HLT_01EPS">#REF!</definedName>
    <definedName name="HLT_99EA">#REF!</definedName>
    <definedName name="HLT_99EPS">#REF!</definedName>
    <definedName name="HLT_CONS00">[55]Prices!#REF!</definedName>
    <definedName name="HLT_CONS01">[55]Prices!#REF!</definedName>
    <definedName name="HLT_CONS99">[55]Prices!#REF!</definedName>
    <definedName name="HLT_Rating">'[16]Industry (2)'!$D$6</definedName>
    <definedName name="HLT_Target">'[16]Industry (2)'!$C$6</definedName>
    <definedName name="HMT">#REF!</definedName>
    <definedName name="HMT_CONS00">#REF!</definedName>
    <definedName name="HMT_CONS01">#REF!</definedName>
    <definedName name="HMT_CONS99">#REF!</definedName>
    <definedName name="HOG">#REF!</definedName>
    <definedName name="HolderToggle">#REF!</definedName>
    <definedName name="Home">[15]Model!$K$1283</definedName>
    <definedName name="HOT">[34]Prices!$B$45</definedName>
    <definedName name="HOT_00EA">#REF!</definedName>
    <definedName name="HOT_00EPS">#REF!</definedName>
    <definedName name="HOT_01EA">#REF!</definedName>
    <definedName name="HOT_01EPS">#REF!</definedName>
    <definedName name="HOT_99EA">#REF!</definedName>
    <definedName name="HOT_99EPS">#REF!</definedName>
    <definedName name="HOT_CONS00">#REF!</definedName>
    <definedName name="HOT_CONS01">#REF!</definedName>
    <definedName name="HOT_CONS99">#REF!</definedName>
    <definedName name="HOT_Rating">'[16]Industry (2)'!$D$8</definedName>
    <definedName name="HOT_Target">'[16]Industry (2)'!$C$8</definedName>
    <definedName name="HPK">[54]Prices!$B$24</definedName>
    <definedName name="HWCC_CONSENSUS">#REF!</definedName>
    <definedName name="HWD">#REF!</definedName>
    <definedName name="HWD_CONS00">#REF!</definedName>
    <definedName name="HWD_CONS01">#REF!</definedName>
    <definedName name="HWD_CONS99">#REF!</definedName>
    <definedName name="Identifier">#REF!</definedName>
    <definedName name="IGT">#REF!</definedName>
    <definedName name="IGT_Rating">[16]Industry!$D$11</definedName>
    <definedName name="IGT_Target">[16]Industry!$C$11</definedName>
    <definedName name="ImportFile">[21]!ImportFile</definedName>
    <definedName name="INCSTMT">#REF!</definedName>
    <definedName name="IndGroup">[9]Storage!$AH$37:$AL$86</definedName>
    <definedName name="IndGroupAnchor">[9]Storage!$AH$37</definedName>
    <definedName name="IndGroupChoice">[9]Storage!$AK$36</definedName>
    <definedName name="IndGroupName">[56]Storage!$AH$37:$AH$75</definedName>
    <definedName name="Individual">[15]Model!$K$387</definedName>
    <definedName name="InputFormatColumn">[9]Input!$D$24:$D$388</definedName>
    <definedName name="InputName">[9]Input!$D$16</definedName>
    <definedName name="InputPath">[9]Input!$B$16</definedName>
    <definedName name="Institutional">[15]Model!$K$878</definedName>
    <definedName name="InsureTotal">[15]Model!$K$364</definedName>
    <definedName name="Int_Rate_Assump">[29]ProForma!$A$192:$IV$192</definedName>
    <definedName name="IntangIn1Out2">[9]Storage!$BL$43</definedName>
    <definedName name="Interes_paid06">[40]Cashflows!$AB$70</definedName>
    <definedName name="Interest_paid03">[40]Cashflows!$Y$70</definedName>
    <definedName name="Interest_paid04">[40]Cashflows!$Z$70</definedName>
    <definedName name="Interest_paid05">[40]Cashflows!$AA$70</definedName>
    <definedName name="Interest_paid06">[40]Cashflows!$AA$70</definedName>
    <definedName name="Interest_paid07">[40]Cashflows!$AC$70</definedName>
    <definedName name="International">[15]Model!$K$1386</definedName>
    <definedName name="IntIncIn1After2EBIT">[9]Input!$B$437</definedName>
    <definedName name="IntIncList">[9]Storage!$BJ$72:$BJ$73</definedName>
    <definedName name="IntOptions">[56]Storage!$BJ$45:$BJ$47</definedName>
    <definedName name="Investments">#REF!</definedName>
    <definedName name="Iptotal">'[48]companies pivots'!$AV$15</definedName>
    <definedName name="IptotalP">'[48]companies pivots'!$AY$15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_THOM" hidden="1">"c5312"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_THOM" hidden="1">"c5301"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RT" hidden="1">"c2536"</definedName>
    <definedName name="IQ_CONVERT_PCT" hidden="1">"c2537"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_THOM" hidden="1">"c5302"</definedName>
    <definedName name="IQ_DPS_EST" hidden="1">"c1674"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W_ACT_OR_EST" hidden="1">"c4306"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EST_THOM" hidden="1">"c5133"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_CIQ" hidden="1">"c5067"</definedName>
    <definedName name="IQ_EPS_REPORT_ACT_OR_EST_THOM" hidden="1">"c5307"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" hidden="1">"c3549"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FPS" hidden="1">"c1673"</definedName>
    <definedName name="IQ_EST_ACT_CFPS_THOM" hidden="1">"c4012"</definedName>
    <definedName name="IQ_EST_ACT_DPS" hidden="1">"c1680"</definedName>
    <definedName name="IQ_EST_ACT_DPS_THOM" hidden="1">"c4019"</definedName>
    <definedName name="IQ_EST_ACT_EBIT" hidden="1">"c1687"</definedName>
    <definedName name="IQ_EST_ACT_EBIT_THOM" hidden="1">"c5111"</definedName>
    <definedName name="IQ_EST_ACT_EBITDA" hidden="1">"c1664"</definedName>
    <definedName name="IQ_EST_ACT_EBITDA_THOM" hidden="1">"c3998"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THOM" hidden="1">"c5294"</definedName>
    <definedName name="IQ_EST_ACT_FFO" hidden="1">"c1666"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NAV" hidden="1">"c1757"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_THOM" hidden="1">"c5139"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INC" hidden="1">"c1701"</definedName>
    <definedName name="IQ_EST_ACT_PRETAX_INC_THOM" hidden="1">"c5125"</definedName>
    <definedName name="IQ_EST_ACT_RECURRING_PROFIT" hidden="1">"c4411"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EQ_GROWTH_Q" hidden="1">"c1764"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THOM" hidden="1">"c5296"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THOM" hidden="1">"c5313"</definedName>
    <definedName name="IQ_EST_NI_DIFF" hidden="1">"c1885"</definedName>
    <definedName name="IQ_EST_NI_DIFF_THOM" hidden="1">"c5198"</definedName>
    <definedName name="IQ_EST_NI_GW_DIFF_THOM" hidden="1">"c5200"</definedName>
    <definedName name="IQ_EST_NI_GW_SURPRISE_PERCENT_THOM" hidden="1">"c5201"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SURPRISE_PERCENT" hidden="1">"c1880"</definedName>
    <definedName name="IQ_EST_PRE_TAX_SURPRISE_PERCENT_THOM" hidden="1">"c5197"</definedName>
    <definedName name="IQ_EST_REUT_ACT_CAPEX" hidden="1">"c3975"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EST" hidden="1">"c418"</definedName>
    <definedName name="IQ_FFO_EST_THOM" hidden="1">"c3999"</definedName>
    <definedName name="IQ_FFO_HIGH_EST" hidden="1">"c419"</definedName>
    <definedName name="IQ_FFO_HIGH_EST_THOM" hidden="1">"c4001"</definedName>
    <definedName name="IQ_FFO_LOW_EST" hidden="1">"c420"</definedName>
    <definedName name="IQ_FFO_LOW_EST_THOM" hidden="1">"c4002"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MES_REVISION_DATE_" hidden="1">40444.7491435185</definedName>
    <definedName name="IQ_NAMES_REVISION_DATE__1" hidden="1">40722.4411226852</definedName>
    <definedName name="IQ_NAMES_REVISION_DATE__1_1" hidden="1">40358.6877777778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THOM" hidden="1">"c5126"</definedName>
    <definedName name="IQ_NI_GW_EST_THOM" hidden="1">"c5133"</definedName>
    <definedName name="IQ_NI_GW_HIGH_EST_THOM" hidden="1">"c5135"</definedName>
    <definedName name="IQ_NI_GW_LOW_EST_THOM" hidden="1">"c5136"</definedName>
    <definedName name="IQ_NI_GW_MEDIAN_EST_THOM" hidden="1">"c5134"</definedName>
    <definedName name="IQ_NI_GW_NUM_EST_THOM" hidden="1">"c5137"</definedName>
    <definedName name="IQ_NI_GW_STDDEV_EST_THOM" hidden="1">"c5138"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TURN_ASSETS_FDIC" hidden="1">"c6731"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DATE" hidden="1">"c1069"</definedName>
    <definedName name="IQ_PRICING_DATE" hidden="1">"c1613"</definedName>
    <definedName name="IQ_PRIMARY_EPS_TYPE" hidden="1">"c4498"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ACT_OR_EST_THOM" hidden="1">"c5299"</definedName>
    <definedName name="IQ_REVENUE_EST" hidden="1">"c1126"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39737.4163773148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RA8" hidden="1">"$A$9:$A$260"</definedName>
    <definedName name="IQRB8" hidden="1">"$B$9:$B$260"</definedName>
    <definedName name="IQRC2" hidden="1">"$C$3:$C$253"</definedName>
    <definedName name="IQRC8" hidden="1">"$C$9:$C$260"</definedName>
    <definedName name="IQRD2" hidden="1">"$D$3:$D$253"</definedName>
    <definedName name="IQRD254" hidden="1">"$D$255:$D$505"</definedName>
    <definedName name="IQRE2" hidden="1">"$E$3:$E$253"</definedName>
    <definedName name="IQRE254" hidden="1">"$E$255:$E$505"</definedName>
    <definedName name="IQRF254" hidden="1">"$F$255:$F$505"</definedName>
    <definedName name="IQRL254" hidden="1">"$L$255:$L$505"</definedName>
    <definedName name="IQRM254" hidden="1">"$M$255:$M$505"</definedName>
    <definedName name="IQRN254" hidden="1">"$N$255:$N$505"</definedName>
    <definedName name="IQRU254" hidden="1">"$U$255:$U$505"</definedName>
    <definedName name="IQRV254" hidden="1">"$V$255:$V$505"</definedName>
    <definedName name="IQRW254" hidden="1">"$W$255:$W$505"</definedName>
    <definedName name="is_1999">#REF!,#REF!</definedName>
    <definedName name="is_1q00">#REF!,#REF!</definedName>
    <definedName name="is_1q99">#REF!,#REF!</definedName>
    <definedName name="is_2000">#REF!,#REF!</definedName>
    <definedName name="is_2q00">#REF!,#REF!</definedName>
    <definedName name="is_2q99">#REF!,#REF!</definedName>
    <definedName name="is_3q00">#REF!,#REF!</definedName>
    <definedName name="is_3q99">#REF!,#REF!</definedName>
    <definedName name="is_4q00">#REF!,#REF!</definedName>
    <definedName name="is_4q99">#REF!,#REF!</definedName>
    <definedName name="ISAnchor">[9]ISBS!$F$201</definedName>
    <definedName name="ISFactor">[9]ISBS!$A$201:$IV$201</definedName>
    <definedName name="ISLE">#REF!</definedName>
    <definedName name="ISLE_CONS00">#REF!</definedName>
    <definedName name="ISLE_CONS01">#REF!</definedName>
    <definedName name="ISLE_CONS99">#REF!</definedName>
    <definedName name="ISLE_CONSENSUS">#REF!</definedName>
    <definedName name="ISPctChoice">[9]Storage!$BL$6</definedName>
    <definedName name="ISPctList">[9]Storage!$BJ$7:$BJ$9</definedName>
    <definedName name="ISPctListBase">[9]Storage!$BJ$6</definedName>
    <definedName name="JETSET">#REF!</definedName>
    <definedName name="JNJ">[28]RAINSHT!#REF!</definedName>
    <definedName name="JQH">[34]Prices!$B$47</definedName>
    <definedName name="JQH_CONS00">#REF!</definedName>
    <definedName name="JQH_CONS01">#REF!</definedName>
    <definedName name="JQH_CONS99">#REF!</definedName>
    <definedName name="large_city">[6]Master!$AA$1</definedName>
    <definedName name="LAssets">[9]ValuationInput!$K$35</definedName>
    <definedName name="LastAmort">[9]ValuationInput!$K$27</definedName>
    <definedName name="LastChgDefTax">[9]ValuationInput!$K$29</definedName>
    <definedName name="LastDepr">[9]ValuationInput!$K$26</definedName>
    <definedName name="LastFitWidth">[9]Storage!$BO$4</definedName>
    <definedName name="LastHistYr">[9]ValuationInput!$D$69</definedName>
    <definedName name="LastInputCell">[9]Storage!$I$2</definedName>
    <definedName name="LastNAmort">[9]ValuationInput!$K$28</definedName>
    <definedName name="LastNetPPE">[9]ValuationInput!$V$9</definedName>
    <definedName name="LastNWIPct">[9]ValuationInput!$J$32</definedName>
    <definedName name="LastPopDownLoad">[9]Storage!$BL$25</definedName>
    <definedName name="LastPPESalesPct">[9]ValuationInput!$R$3</definedName>
    <definedName name="LastPreview">[9]Storage!$BO$3</definedName>
    <definedName name="LastPrintSelection">[9]Storage!$BP$3:$BP$9</definedName>
    <definedName name="LastPrintSelectionBase">[9]Storage!$BP$2</definedName>
    <definedName name="LastProjYr">[9]ValuationInput!$F$69</definedName>
    <definedName name="LastProvisions">[9]ValuationInput!$K$30</definedName>
    <definedName name="LastSales">[9]ValuationInput!$K$17</definedName>
    <definedName name="LastSelectionSheets">[9]Storage!$BO$2</definedName>
    <definedName name="Latest_net_debt">#REF!</definedName>
    <definedName name="Lawrcbg_own_pct">#REF!</definedName>
    <definedName name="LCapexPct">[9]ValuationInput!$J$33</definedName>
    <definedName name="Lease_type">[6]Master!$V$1</definedName>
    <definedName name="Leasehold">[6]Master!$U$1</definedName>
    <definedName name="LEBITMargin">[9]ValuationInput!$K$20</definedName>
    <definedName name="lec">'[57]LEC PRojects'!$A$1:$AW$4986</definedName>
    <definedName name="LeveredBeta">[9]ValuationInput!$G$33</definedName>
    <definedName name="Linking_1" localSheetId="0">Debt!$B$4:$W$5</definedName>
    <definedName name="Linking_10">#REF!</definedName>
    <definedName name="Linking_11">#REF!</definedName>
    <definedName name="Linking_12">#REF!</definedName>
    <definedName name="Linking_13">#REF!</definedName>
    <definedName name="Linking_14">#REF!</definedName>
    <definedName name="Linking_15">#REF!</definedName>
    <definedName name="Linking_16">#REF!</definedName>
    <definedName name="Linking_17">#REF!</definedName>
    <definedName name="Linking_18">#REF!</definedName>
    <definedName name="Linking_19">#REF!</definedName>
    <definedName name="Linking_2" localSheetId="0">Debt!#REF!</definedName>
    <definedName name="Linking_20">#REF!</definedName>
    <definedName name="Linking_21">#REF!</definedName>
    <definedName name="Linking_22">#REF!</definedName>
    <definedName name="Linking_23">#REF!</definedName>
    <definedName name="Linking_3" localSheetId="0">Debt!#REF!</definedName>
    <definedName name="Linking_4" localSheetId="0">Debt!#REF!</definedName>
    <definedName name="Linking_5">#REF!</definedName>
    <definedName name="Linking_6">#REF!</definedName>
    <definedName name="Linking_7">#REF!</definedName>
    <definedName name="Linking_8">#REF!</definedName>
    <definedName name="Linking_9">#REF!</definedName>
    <definedName name="LLiabs">[9]ValuationInput!$K$31</definedName>
    <definedName name="LNPPESales">[9]ValuationInput!$K$34</definedName>
    <definedName name="LoadLabels">[9]Storage!$D$98:$D$110</definedName>
    <definedName name="location">'[32]Misc Data'!$B$2:$C$6</definedName>
    <definedName name="LOD">[34]Prices!$B$48</definedName>
    <definedName name="LOD_CONS00">#REF!</definedName>
    <definedName name="LOD_CONS01">#REF!</definedName>
    <definedName name="LOD_CONS99">#REF!</definedName>
    <definedName name="LODGING_PD">#REF!</definedName>
    <definedName name="Long_term_growth">#REF!</definedName>
    <definedName name="Long_Term_Rev_Growth">#REF!</definedName>
    <definedName name="LongBond">[9]ValuationInput!$G$30</definedName>
    <definedName name="LookupAmt">[14]Lookups!$F$26:$G$32</definedName>
    <definedName name="LookupAnaheim1">'[58]brand lookup'!$B$4:$H$11</definedName>
    <definedName name="LookupAnaheim2">'[58]brand lookup'!$B$13:$H$20</definedName>
    <definedName name="LookupAnaheim3">'[58]brand lookup'!$B$22:$D$27</definedName>
    <definedName name="LookupAtlanta1">'[58]brand lookup'!$B$30:$H$37</definedName>
    <definedName name="LookupAtlanta2">'[58]brand lookup'!$B$39:$H$46</definedName>
    <definedName name="LookupAtlanta3">'[58]brand lookup'!$B$48:$D$53</definedName>
    <definedName name="LookupBoston1">'[58]brand lookup'!$B$56:$H$63</definedName>
    <definedName name="LookupBoston2">'[58]brand lookup'!$B$65:$H$72</definedName>
    <definedName name="LookupBoston3">'[58]brand lookup'!$B$74:$D$79</definedName>
    <definedName name="LookupBrand1">'[59]brand lookup'!$C$8:$BB$120</definedName>
    <definedName name="LookupBrand2">[60]lookup!$AW$9:$BY$126</definedName>
    <definedName name="LookupBrand3">[61]lookups!$B$253:$M$269</definedName>
    <definedName name="LookupBrand5">[61]lookups!$B$321:$CD$346</definedName>
    <definedName name="LookupBrand7">'[61]census lookups'!$B$228:$CF$253</definedName>
    <definedName name="LookupBrandCensus">'[62]brand census'!$A$2:$C$204</definedName>
    <definedName name="LookupCenc">'[63]companies lookup'!$AD$9:$AN$33</definedName>
    <definedName name="LookupCenc1">[64]lookups!$C$42:$Y$66</definedName>
    <definedName name="LookupCenc2">[65]census!$A$4:$C$28</definedName>
    <definedName name="LookupCendant">'[48]companies lookup'!$C$38:$AA$62</definedName>
    <definedName name="LookupCensus">[61]lookups!$B$354:$D$379</definedName>
    <definedName name="LookupChain1">'[66]CHAIN LOOKUP'!$B$10:$BK$35</definedName>
    <definedName name="LookupChain2">'[66]CHAIN LOOKUP'!$B$57:$CI$82</definedName>
    <definedName name="LookupChain3">'[66]CHAIN LOOKUP'!$B$99:$CI$124</definedName>
    <definedName name="LookupChain4">'[66]CHAIN LOOKUP'!$B$134:$Z$159</definedName>
    <definedName name="LookupChicago1">'[58]brand lookup'!$B$82:$H$89</definedName>
    <definedName name="LookupChicago2">'[58]brand lookup'!$B$91:$H$98</definedName>
    <definedName name="LookupChicago3">'[58]brand lookup'!$B$100:$D$105</definedName>
    <definedName name="LookupChoice">'[31]mkt-state-company lookups'!$B$169:$Z$193</definedName>
    <definedName name="LookupCIS">[67]lookup!$H$6:$J$143</definedName>
    <definedName name="LookupCode">[51]Lookups!$BP$4:$BQ$564</definedName>
    <definedName name="LookupCompany">[68]lookups!$B$245:$J$254</definedName>
    <definedName name="LookupConv">[69]Lookups!$A$4:$C$73</definedName>
    <definedName name="LookupCourtyard">[70]lookups!$B$33:$V$83</definedName>
    <definedName name="LookupDallas1">'[58]brand lookup'!$B$108:$H$115</definedName>
    <definedName name="LookupDallas2">'[58]brand lookup'!$B$117:$H$124</definedName>
    <definedName name="LookupDallas3">'[58]brand lookup'!$B$126:$D$131</definedName>
    <definedName name="LookupData">[71]lookups!$A$5:$U$116</definedName>
    <definedName name="LookupDBsort">[51]Lookups!$B$206:$C$213</definedName>
    <definedName name="LookupDenver1">'[58]brand lookup'!$B$134:$H$141</definedName>
    <definedName name="LookupDenver2">'[58]brand lookup'!$B$143:$H$150</definedName>
    <definedName name="LookupDenver3">'[58]brand lookup'!$B$152:$D$157</definedName>
    <definedName name="LookupDetroit1">'[58]brand lookup'!$B$160:$H$167</definedName>
    <definedName name="LookupDetroit2">'[58]brand lookup'!$B$169:$H$176</definedName>
    <definedName name="LookupDetroit3">'[58]brand lookup'!$B$178:$D$183</definedName>
    <definedName name="LookupErnst">[51]Lookups!$Q$63:$R$69</definedName>
    <definedName name="LookupESA">'[31]mkt-state-company lookups'!$B$203:$Z$227</definedName>
    <definedName name="LookupFleet">[51]Lookups!$AF$16:$AG$23</definedName>
    <definedName name="LookupHilton">'[63]companies lookup'!$C$69:$AA$93</definedName>
    <definedName name="LookupHouston1">'[58]brand lookup'!$B$186:$H$193</definedName>
    <definedName name="LookupHouston2">'[58]brand lookup'!$B$195:$H$202</definedName>
    <definedName name="LookupHouston3">'[58]brand lookup'!$B$204:$D$209</definedName>
    <definedName name="LookupLA1">'[58]brand lookup'!$B$238:$H$245</definedName>
    <definedName name="LookupLA2">'[58]brand lookup'!$B$247:$H$254</definedName>
    <definedName name="LookupLA3">'[66]brand lookup'!$B$256:$D$261</definedName>
    <definedName name="LookupLoc">[14]Lookups!$S$18:$T$22</definedName>
    <definedName name="LookupLV1">'[72]brand lookup'!$B$212:$H$219</definedName>
    <definedName name="LookupLV2">'[72]brand lookup'!$B$221:$H$228</definedName>
    <definedName name="LookupLV3">'[72]brand lookup'!$B$230:$D$235</definedName>
    <definedName name="LookupMarket">'[63]companies lookup'!$C$191:$O$215</definedName>
    <definedName name="LookupMarriott">'[63]companies lookup'!$C$112:$AA$136</definedName>
    <definedName name="LookupMiami1">'[58]brand lookup'!$B$264:$H$271</definedName>
    <definedName name="LookupMiami2">'[58]brand lookup'!$B$273:$H$280</definedName>
    <definedName name="LookupMiami3">'[58]brand lookup'!$B$282:$D$287</definedName>
    <definedName name="LookupMinneapolis1">'[58]brand lookup'!$B$290:$H$297</definedName>
    <definedName name="LookupMinneapolis2">'[58]brand lookup'!$B$299:$H$306</definedName>
    <definedName name="LookupMinneapolis3">'[58]brand lookup'!$B$308:$D$313</definedName>
    <definedName name="LookupMkt">'[31]mkt-state-company lookups'!$B$11:$AP$36</definedName>
    <definedName name="LookupMkt1">'[65]LOOKUP mkts'!$B$5:$CX$29</definedName>
    <definedName name="LookupMkt2">'[73]Top 25 Pivots'!$AA$5:$BT$29</definedName>
    <definedName name="LookupMkt2A">'[74]2A lookups'!$A$10:$AH$34</definedName>
    <definedName name="LookupName">'[63]companies lookup'!$AQ$9:$BA$118</definedName>
    <definedName name="LookupNashville1">'[58]brand lookup'!$B$316:$H$323</definedName>
    <definedName name="LookupNashville2">'[58]brand lookup'!$B$325:$H$332</definedName>
    <definedName name="LookupNashville3">'[58]brand lookup'!$B$334:$D$339</definedName>
    <definedName name="LookupNO1">'[58]brand lookup'!$B$342:$H$349</definedName>
    <definedName name="LookupNO2">'[58]brand lookup'!$B$351:$H$358</definedName>
    <definedName name="LookupNO3">'[58]brand lookup'!$B$360:$D$365</definedName>
    <definedName name="LookupNorfolk1">'[58]brand lookup'!$B$394:$H$401</definedName>
    <definedName name="LookupNorfolk2">'[58]brand lookup'!$B$403:$H$410</definedName>
    <definedName name="LookupNorfolk3">'[58]brand lookup'!$B$412:$D$417</definedName>
    <definedName name="LookupNY1">'[58]brand lookup'!$B$368:$H$375</definedName>
    <definedName name="LookupNY2">'[58]brand lookup'!$B$377:$H$384</definedName>
    <definedName name="LookupNY3">'[58]brand lookup'!$B$386:$D$391</definedName>
    <definedName name="LookupOahu1">'[58]brand lookup'!$B$420:$H$427</definedName>
    <definedName name="LookupOahu2">'[58]brand lookup'!$B$429:$H$436</definedName>
    <definedName name="LookupOahu3">'[58]brand lookup'!$B$438:$D$443</definedName>
    <definedName name="LookupOldopen">'[31]brand lookup'!$BG$7:$BU$73</definedName>
    <definedName name="LookupOpens">[71]franchises!$A$5:$AG$124</definedName>
    <definedName name="LookupOrlando1">'[58]brand lookup'!$B$446:$H$453</definedName>
    <definedName name="LookupOrlando2">'[58]brand lookup'!$B$455:$H$462</definedName>
    <definedName name="LookupOrlando3">'[58]brand lookup'!$B$464:$D$469</definedName>
    <definedName name="LookupPhiladelphia1">'[58]brand lookup'!$B$472:$H$479</definedName>
    <definedName name="LookupPhiladelphia2">'[58]brand lookup'!$B$481:$H$488</definedName>
    <definedName name="LookupPhiladelphia3">'[58]brand lookup'!$B$490:$D$495</definedName>
    <definedName name="LookupPhoenix1">'[58]brand lookup'!$B$498:$H$505</definedName>
    <definedName name="LookupPhoenix2">'[58]brand lookup'!$B$507:$H$514</definedName>
    <definedName name="LookupPhoenix3">'[58]brand lookup'!$B$516:$D$521</definedName>
    <definedName name="LookupPrime">'[31]mkt-state-company lookups'!$B$300:$Z$324</definedName>
    <definedName name="LookupQtr">[67]lookup!$AB$7:$AC$26</definedName>
    <definedName name="LookupRank">[14]Lookups!$F$4:$I$24</definedName>
    <definedName name="LookupRegion">[14]Lookups!$S$4:$T$12</definedName>
    <definedName name="LookupRms">[14]Lookups!$F$37:$G$43</definedName>
    <definedName name="LookupSanDiego1">'[63]brand lookup'!$B$524:$D$531</definedName>
    <definedName name="LookupSanDiego2">'[63]brand lookup'!$B$533:$D$540</definedName>
    <definedName name="LookupSanDiego3">'[63]brand lookup'!$B$542:$D$547</definedName>
    <definedName name="LookupSanFran1">'[63]brand lookup'!$B$550:$D$557</definedName>
    <definedName name="LookupSanFran2">'[63]brand lookup'!$B$559:$D$566</definedName>
    <definedName name="LookupSanFran3">'[63]brand lookup'!$B$568:$D$573</definedName>
    <definedName name="LookupSD1">'[58]brand lookup'!$B$550:$H$557</definedName>
    <definedName name="LookupSD2">'[58]brand lookup'!$B$559:$H$566</definedName>
    <definedName name="LookupSD3">'[58]brand lookup'!$B$568:$D$573</definedName>
    <definedName name="LookupSeattle1">'[58]brand lookup'!$B$602:$H$609</definedName>
    <definedName name="LookupSeattle2">'[58]brand lookup'!$B$611:$H$618</definedName>
    <definedName name="LookupSeattle3">'[58]brand lookup'!$B$620:$D$625</definedName>
    <definedName name="LookupSF1">'[58]brand lookup'!$B$576:$H$583</definedName>
    <definedName name="LookupSF2">'[58]brand lookup'!$B$585:$H$592</definedName>
    <definedName name="LookupSF3">'[58]brand lookup'!$B$594:$D$599</definedName>
    <definedName name="LookupShare">'[48]companies lookup'!$BM$6:$CM$45</definedName>
    <definedName name="LookupSix">'[48]companies lookup'!$C$307:$AA$331</definedName>
    <definedName name="LookupSL1">'[58]brand lookup'!$B$524:$H$531</definedName>
    <definedName name="LookupSL2">'[58]brand lookup'!$B$533:$H$540</definedName>
    <definedName name="LookupSL3">'[58]brand lookup'!$B$542:$D$547</definedName>
    <definedName name="LookupStarwood">'[63]companies lookup'!$C$152:$AA$176</definedName>
    <definedName name="LookupStLou1">'[63]brand lookup'!$B$498:$D$505</definedName>
    <definedName name="LookupStLou2">'[63]brand lookup'!$B$507:$D$514</definedName>
    <definedName name="LookupStLou3">'[63]brand lookup'!$B$516:$D$521</definedName>
    <definedName name="LookupSummary">'[75]Cornerstone summ lookup'!$B$6:$X$31</definedName>
    <definedName name="LookupSuper8">[76]lookups!$EC$33:$EW$83</definedName>
    <definedName name="LookupTampa1">'[58]brand lookup'!$B$628:$H$635</definedName>
    <definedName name="LookupTampa2">'[58]brand lookup'!$B$637:$H$644</definedName>
    <definedName name="LookupTampa3">'[58]brand lookup'!$B$646:$D$651</definedName>
    <definedName name="LookupTract">'[66]TRACT LOOKUP'!$B$8:$BA$166</definedName>
    <definedName name="LookupUSFS">'[48]companies lookup'!$C$382:$AA$406</definedName>
    <definedName name="LookupWashington1">'[58]brand lookup'!$B$654:$H$661</definedName>
    <definedName name="LookupWashington2">'[58]brand lookup'!$B$663:$H$670</definedName>
    <definedName name="LookupWashington3">'[58]brand lookup'!$B$672:$D$677</definedName>
    <definedName name="LookupWIN">[76]lookups!$EC$97:$EW$147</definedName>
    <definedName name="LookupWyndham">'[31]mkt-state-company lookups'!$B$428:$Z$452</definedName>
    <definedName name="LOther1">[9]ValuationInput!$K$36</definedName>
    <definedName name="LOther2">[9]ValuationInput!$K$37</definedName>
    <definedName name="LPEBIT">[9]ValuationInput!$J$52</definedName>
    <definedName name="LPEBITDA">[9]ValuationInput!$J$53</definedName>
    <definedName name="LPOperProfit">[9]ValuationInput!$J$51</definedName>
    <definedName name="LPOther1">[9]ValuationInput!$J$54</definedName>
    <definedName name="LPOther2">[9]ValuationInput!$J$55</definedName>
    <definedName name="LPOther3">[9]ValuationInput!$J$56</definedName>
    <definedName name="LPSales">[9]ValuationInput!$J$50</definedName>
    <definedName name="LSalesGrowth">[9]ValuationInput!$K$18</definedName>
    <definedName name="LTaxRate">[9]ValuationInput!$K$22</definedName>
    <definedName name="LVMH">#REF!</definedName>
    <definedName name="LVMH_CONS00">[34]Prices!$F$27</definedName>
    <definedName name="LVMH_CONS01">[34]Prices!$G$27</definedName>
    <definedName name="LVMH_CONS99">#REF!</definedName>
    <definedName name="LVMHY">[34]Prices!$B$55</definedName>
    <definedName name="Lwrcbg_mgmt_fee">#REF!</definedName>
    <definedName name="M_PlaceofPath" hidden="1">"g:\blabla"</definedName>
    <definedName name="Macro4">[77]!Macro4</definedName>
    <definedName name="Macro5">[77]!Macro5</definedName>
    <definedName name="Maint_Cap_Exp">[29]ProForma!$A$133:$IV$133</definedName>
    <definedName name="MajorBuyers">#REF!</definedName>
    <definedName name="MajorPortfolios">#REF!</definedName>
    <definedName name="MajorTransactions">#REF!</definedName>
    <definedName name="MAR">[34]Prices!$B$49</definedName>
    <definedName name="MAR_00EA">#REF!</definedName>
    <definedName name="MAR_00EPS">#REF!</definedName>
    <definedName name="MAR_01EA">#REF!</definedName>
    <definedName name="MAR_01EPS">#REF!</definedName>
    <definedName name="MAR_02EA">#REF!</definedName>
    <definedName name="MAR_02EPS">#REF!</definedName>
    <definedName name="MAR_99EA">#REF!</definedName>
    <definedName name="MAR_99EPS">#REF!</definedName>
    <definedName name="MAR_CONS00">#REF!</definedName>
    <definedName name="MAR_CONS01">#REF!</definedName>
    <definedName name="MAR_CONS99">#REF!</definedName>
    <definedName name="MAR_EA01">#REF!</definedName>
    <definedName name="MAR_Rating">'[16]Industry (2)'!$D$7</definedName>
    <definedName name="MAR_Target">'[16]Industry (2)'!$C$7</definedName>
    <definedName name="Marginal_tax_rate">#REF!</definedName>
    <definedName name="market">[32]MARKET.TXT!$A$1:$B$177</definedName>
    <definedName name="Market_cap_of_equity">#REF!</definedName>
    <definedName name="Market_cap_of_preferred">#REF!</definedName>
    <definedName name="Market_Segment">[6]Master!$R$1</definedName>
    <definedName name="markets">[78]MktLookups!$A$4:$M$28</definedName>
    <definedName name="Master">[6]Master!$AJ$1</definedName>
    <definedName name="masterconverter">'[38]Currency Conversion Page'!$B$4</definedName>
    <definedName name="MaxInInput">[9]Input!$D$15</definedName>
    <definedName name="MaxPerPageAddition">[9]Storage!$BL$17</definedName>
    <definedName name="max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BG">[54]Prices!$B$13</definedName>
    <definedName name="MBG_00Ea">#REF!</definedName>
    <definedName name="MBG_00EPS">#REF!</definedName>
    <definedName name="MBG_01Ea">#REF!</definedName>
    <definedName name="MBG_01EPS">#REF!</definedName>
    <definedName name="MBG_99Ea">#REF!</definedName>
    <definedName name="MBG_99EPS">#REF!</definedName>
    <definedName name="MBG_Rating">[16]Industry!$D$12</definedName>
    <definedName name="MBG_Target">[16]Industry!$C$12</definedName>
    <definedName name="MDT">[28]RAINSHT!#REF!</definedName>
    <definedName name="me">"Button 5"</definedName>
    <definedName name="Mexico1">#REF!</definedName>
    <definedName name="Mexico2">#REF!</definedName>
    <definedName name="MFGLOCA">#REF!</definedName>
    <definedName name="MGG">[54]Prices!$B$14</definedName>
    <definedName name="MGG_00Ea">#REF!</definedName>
    <definedName name="MGG_00EPS">#REF!</definedName>
    <definedName name="MGG_01Ea">#REF!</definedName>
    <definedName name="MGG_01EPS">#REF!</definedName>
    <definedName name="MGG_99Ea">#REF!</definedName>
    <definedName name="MGG_99EPS">#REF!</definedName>
    <definedName name="MGG_Rating">[16]Industry!$D$13</definedName>
    <definedName name="MGG_Target">[16]Industry!$C$13</definedName>
    <definedName name="mggmir_01Ea">#REF!</definedName>
    <definedName name="mgmt">[32]MGT.TXT!$A$1:$B$170</definedName>
    <definedName name="mgt">#REF!</definedName>
    <definedName name="MIR">[54]Prices!$B$15</definedName>
    <definedName name="MIR_Rating">[16]Industry!$D$14</definedName>
    <definedName name="MktRiskAdj">[9]ValuationInput!$G$31</definedName>
    <definedName name="MKTSHAR1">#REF!</definedName>
    <definedName name="MKTSHAR2">#REF!</definedName>
    <definedName name="MLCode">[51]Lookups!$AI$40:$AJ$51</definedName>
    <definedName name="mm_Last">[79]Charts!$AC$9</definedName>
    <definedName name="mm_T">#REF!</definedName>
    <definedName name="mmm" hidden="1">{"AnnMarg",#N/A,FALSE,"FALCON";"Q",#N/A,FALSE,"Qtrs."}</definedName>
    <definedName name="model">#REF!</definedName>
    <definedName name="Model_amendment_audit_trail">'[40]Other data'!$A$41</definedName>
    <definedName name="MonitorCol">1</definedName>
    <definedName name="MonitorRow">1</definedName>
    <definedName name="Month">#REF!</definedName>
    <definedName name="MonthlySales">#REF!</definedName>
    <definedName name="MonthsInPeriodStart">[9]Input!$F$13</definedName>
    <definedName name="msa">[32]MSA.TXT!$A$1:$B$317</definedName>
    <definedName name="MSACodes">[80]Lookups!$AI$4:$AT$305</definedName>
    <definedName name="msadata">[74]lookups!$A$10:$AH$34</definedName>
    <definedName name="Multiples">[9]ValuationInput!$M$50:$M$56</definedName>
    <definedName name="Name">[6]Master!$C$1</definedName>
    <definedName name="name_change">[6]Master!$T$1</definedName>
    <definedName name="NameVersion">[9]Input!$C$17</definedName>
    <definedName name="Natl01OpenP">[81]lookups!$AX$14</definedName>
    <definedName name="Natl01OpenR">[81]lookups!$AY$14</definedName>
    <definedName name="Natl01PipeP">[81]lookups!$AZ$14</definedName>
    <definedName name="Natl01PipeR">[81]lookups!$BA$14</definedName>
    <definedName name="Natl02P">[81]lookups!$BB$14</definedName>
    <definedName name="Natl02R">[81]lookups!$BC$14</definedName>
    <definedName name="Natl03P">[81]lookups!$BD$14</definedName>
    <definedName name="Natl03R">[81]lookups!$BE$14</definedName>
    <definedName name="NatlAfterR">[81]lookups!$BG$14</definedName>
    <definedName name="NatlAPP">'[82]4q pivots'!$DX$48+'[82]4q pivots'!$DY$48</definedName>
    <definedName name="NatlAPR">'[82]4q pivots'!$DX$49+'[82]4q pivots'!$DY$49</definedName>
    <definedName name="NatlCensP">[83]lookups!$B$2</definedName>
    <definedName name="NatlCensR">[83]lookups!$B$3</definedName>
    <definedName name="NatlCourtyardAPP">[68]pivots!$AE$35</definedName>
    <definedName name="NatlCourtyardAPR">[68]pivots!$AE$43</definedName>
    <definedName name="NatlCourtyardIPP">[68]pivots!$AD$35</definedName>
    <definedName name="NatlCourtyardIPR">[68]pivots!$AD$43</definedName>
    <definedName name="NatlCourtyardP">[68]pivots!$AC$7</definedName>
    <definedName name="NatlCourtyardR">[68]pivots!$AC$15</definedName>
    <definedName name="NatlCourtyardUCP">[68]pivots!$AC$35</definedName>
    <definedName name="NatlCourtyardUCR">[68]pivots!$AC$43</definedName>
    <definedName name="NatlEPP">'[82]4q pivots'!$DZ$48</definedName>
    <definedName name="NatlEPR">'[82]4q pivots'!$DZ$49</definedName>
    <definedName name="NatlFairfieldAPP">[68]pivots!$AE$36</definedName>
    <definedName name="NatlFairfieldAPR">[68]pivots!$AE$44</definedName>
    <definedName name="NatlFairfieldIPP">[68]pivots!$AD$36</definedName>
    <definedName name="NatlFairfieldIPR">[68]pivots!$AD$44</definedName>
    <definedName name="NatlFairfieldP">[68]pivots!$AC$8</definedName>
    <definedName name="NatlFairfieldR">[68]pivots!$AC$16</definedName>
    <definedName name="NatlFairfieldUCP">[68]pivots!$AC$36</definedName>
    <definedName name="NatlFairfieldUCR">[68]pivots!$AC$44</definedName>
    <definedName name="NatlHRSAPP">[68]pivots!$AE$37</definedName>
    <definedName name="NatlHRSAPR">[68]pivots!$AE$45</definedName>
    <definedName name="NatlHRSIPP">[68]pivots!$AD$37</definedName>
    <definedName name="NatlHRSIPR">[68]pivots!$AD$45</definedName>
    <definedName name="NatlHRSP">[68]pivots!$AC$9</definedName>
    <definedName name="NatlHRSR">[68]pivots!$AC$17</definedName>
    <definedName name="NatlHRSUCP">[68]pivots!$AC$37</definedName>
    <definedName name="NatlHRSUCR">[68]pivots!$AC$45</definedName>
    <definedName name="NatlIPP">'[82]4q pivots'!$DY$48</definedName>
    <definedName name="NatlIPR">'[82]4q pivots'!$DY$49</definedName>
    <definedName name="NatlMarriottAPP">[84]pivots!$AE$51</definedName>
    <definedName name="NatlMarriottAPR">[84]pivots!$AE$52</definedName>
    <definedName name="NatlMarriottIPP">[84]pivots!$AD$51</definedName>
    <definedName name="NatlMarriottIPR">[84]pivots!$AD$52</definedName>
    <definedName name="NatlMarriottP">[84]pivots!$AC$24</definedName>
    <definedName name="NatlMarriottR">[84]pivots!$AC$25</definedName>
    <definedName name="NatlMarriottUCP">[84]pivots!$AC$51</definedName>
    <definedName name="NatlMarriottUCR">[84]pivots!$AC$52</definedName>
    <definedName name="NatlOpenP">'[82]4q pivots'!$DW$48</definedName>
    <definedName name="NatlOpenR">'[82]4q pivots'!$DW$49</definedName>
    <definedName name="NatlPipeAPR">[84]pivots!$AD$61</definedName>
    <definedName name="NatlPipeP">[85]PIVOTS!$EP$36+[85]PIVOTS!$EQ$36</definedName>
    <definedName name="NatlPipeR">[72]PIVOTS!$EP$36+[72]PIVOTS!$EQ$36</definedName>
    <definedName name="NatlProj">'[86]chain census'!$C$15</definedName>
    <definedName name="NatlRenaissanceAPP">[68]pivots!$AE$38</definedName>
    <definedName name="NatlRenaissanceAPR">[68]pivots!$AE$46</definedName>
    <definedName name="NatlRenaissanceIPP">[68]pivots!$AD$38</definedName>
    <definedName name="NatlRenaissanceIPR">[68]pivots!$AD$46</definedName>
    <definedName name="NatlRenaissanceP">[68]pivots!$AC$10</definedName>
    <definedName name="NatlRenaissanceR">[68]pivots!$AC$18</definedName>
    <definedName name="NatlRenaissanceUCP">[68]pivots!$AC$38</definedName>
    <definedName name="NatlRenaissanceUCR">[68]pivots!$AC$46</definedName>
    <definedName name="NatlResidenceAPP">[68]pivots!$AE$39</definedName>
    <definedName name="NatlResidenceAPR">[68]pivots!$AE$47</definedName>
    <definedName name="NatlResidenceIPP">[68]pivots!$AD$39</definedName>
    <definedName name="NatlResidenceIPR">[68]pivots!$AD$47</definedName>
    <definedName name="NatlResidenceP">[68]pivots!$AC$11</definedName>
    <definedName name="NatlResidenceR">[68]pivots!$AC$19</definedName>
    <definedName name="NatlResidenceUCP">[68]pivots!$AC$39</definedName>
    <definedName name="NatlResidenceUCR">[68]pivots!$AC$47</definedName>
    <definedName name="NatlRitzAPP">[68]pivots!$AE$40</definedName>
    <definedName name="NatlRitzAPR">[68]pivots!$AE$48</definedName>
    <definedName name="NatlRitzIPP">[68]pivots!$AD$40</definedName>
    <definedName name="NatlRitzIPR">[68]pivots!$AD$48</definedName>
    <definedName name="NatlRitzP">[68]pivots!$AC$12</definedName>
    <definedName name="NatlRitzR">[68]pivots!$AC$20</definedName>
    <definedName name="NatlRitzUCP">[68]pivots!$AC$40</definedName>
    <definedName name="NatlRitzUCR">[68]pivots!$AC$48</definedName>
    <definedName name="NatlRoom">'[86]chain census'!$D$15</definedName>
    <definedName name="NatlSpringAPP">[68]pivots!$AE$41</definedName>
    <definedName name="NatlSpringAPR">[68]pivots!$AE$49</definedName>
    <definedName name="NatlSpringIPP">[68]pivots!$AD$41</definedName>
    <definedName name="NatlSpringIPR">[68]pivots!$AD$49</definedName>
    <definedName name="NatlSpringP">[68]pivots!$AC$13</definedName>
    <definedName name="NatlSpringR">[68]pivots!$AC$21</definedName>
    <definedName name="NatlSpringUCP">[68]pivots!$AC$41</definedName>
    <definedName name="NatlSpringUCR">[68]pivots!$AC$49</definedName>
    <definedName name="NatlTotPipe">'[31]summary pivots'!$E$25+'[31]summary pivots'!$F$25+'[31]summary pivots'!$G$25</definedName>
    <definedName name="NatlTotPipeR">'[31]summary pivots'!$E$25+'[31]summary pivots'!$F$25+'[31]summary pivots'!$G$25</definedName>
    <definedName name="NatlTownAPP">[68]pivots!$AE$42</definedName>
    <definedName name="NatlTownAPR">[68]pivots!$AE$50</definedName>
    <definedName name="NatlTownIPP">[68]pivots!$AD$42</definedName>
    <definedName name="NatlTownIPR">[68]pivots!$AD$50</definedName>
    <definedName name="NatlTownP">[68]pivots!$AC$14</definedName>
    <definedName name="NatlTownR">[68]pivots!$AC$22</definedName>
    <definedName name="NatlTownUCP">[68]pivots!$AC$42</definedName>
    <definedName name="NatlTownUCR">[68]pivots!$AC$50</definedName>
    <definedName name="NatlUCP">'[82]4q pivots'!$DX$48</definedName>
    <definedName name="NatlUCR">'[82]4q pivots'!$DX$49</definedName>
    <definedName name="NatlUpscaleP">'[47]brand lookup'!$D$34</definedName>
    <definedName name="NatlUpscaleR">[68]lookups!$N$4</definedName>
    <definedName name="NatlUpUpP">'[47]brand lookup'!$D$33</definedName>
    <definedName name="NatlUpUpR">[68]lookups!$N$3</definedName>
    <definedName name="NatlWithP">'[47]brand lookup'!$D$35</definedName>
    <definedName name="NatlWithR">[68]lookups!$N$5</definedName>
    <definedName name="NatlWOP">'[47]brand lookup'!$D$36</definedName>
    <definedName name="NatlWOR">[68]lookups!$N$6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gTaxesTF">[9]Input!$B$435</definedName>
    <definedName name="Net_debt_total_capitalisation">#REF!</definedName>
    <definedName name="NetCash">'[37]Life Insurance'!$Z$670</definedName>
    <definedName name="Netdebt_percent_of_total_capitalisation">[40]Valuation!$C$47</definedName>
    <definedName name="NetIncomeLabel">[9]IncStatement!$C$80</definedName>
    <definedName name="new_cell">#REF!</definedName>
    <definedName name="nm_LastYearMonthExRate">#REF!</definedName>
    <definedName name="nm_ThisYearMonthExRate">#REF!</definedName>
    <definedName name="nm_ThisYearYTDExRate">#REF!</definedName>
    <definedName name="no">#N/A</definedName>
    <definedName name="No_of_shares_latest">#REF!</definedName>
    <definedName name="noidea" hidden="1">{#N/A,#N/A,FALSE,"Calc";#N/A,#N/A,FALSE,"Sensitivity";#N/A,#N/A,FALSE,"LT Earn.Dil.";#N/A,#N/A,FALSE,"Dil. AVP"}</definedName>
    <definedName name="NOLCarrybackOn1Off0">[9]Input!$D$530</definedName>
    <definedName name="NOLExpAnchor">[9]Storage!$BJ$58</definedName>
    <definedName name="NOLExpChoice">[9]Input!$B$419</definedName>
    <definedName name="NOLExpList">[56]Storage!$BJ$58:$BJ$65</definedName>
    <definedName name="NOLWorkingTF">[9]Input!$B$429</definedName>
    <definedName name="NonMedical">[15]Model!$K$1100</definedName>
    <definedName name="NonRGCols">[9]SumSheet!$C$121</definedName>
    <definedName name="NoOfMonthsStart">[9]ISBS!$F$8</definedName>
    <definedName name="Normal0FX1">[41]ISBS!$E$201</definedName>
    <definedName name="no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ot__Top_40">[6]Master!$AF$1</definedName>
    <definedName name="NTFLabels">[9]Storage!$BJ$54:$BJ$55</definedName>
    <definedName name="NTFS1L2">[9]Input!$D$450</definedName>
    <definedName name="NumberOfSales">#REF!</definedName>
    <definedName name="NvsASD">"V2000-09-08"</definedName>
    <definedName name="NvsAutoDrillOk">"VN"</definedName>
    <definedName name="NvsElapsedTime">0.000234143517445773</definedName>
    <definedName name="NvsEndTime">36707.2948738426</definedName>
    <definedName name="NvsInstSpec">"%,FMI_ALT_BU,TCA_ALTBU_CORPS,NCONSOLIDATING"</definedName>
    <definedName name="NvsLayoutType">"M3"</definedName>
    <definedName name="NvsNplSpec">"%,X,RZF..,CZF.."</definedName>
    <definedName name="NvsPanelEffdt">"V9999-01-01"</definedName>
    <definedName name="NvsPanelSetid">"VMIDIV"</definedName>
    <definedName name="NvsReqBU">"V52"</definedName>
    <definedName name="NvsReqBUOnly">"VN"</definedName>
    <definedName name="NvsTransLed">"VN"</definedName>
    <definedName name="NvsTreeASD">"V2000-09-08"</definedName>
    <definedName name="NvsValTbl.BUSINESS_UNIT">"BUS_UNIT_TBL_FS"</definedName>
    <definedName name="NvsValTbl.CURRENCY_CD">"CURRENCY_CD_TBL"</definedName>
    <definedName name="NvsValTbl.DEPTID">"DEPARTMENT_TBL"</definedName>
    <definedName name="NvsValTbl.PRODUCT">"MI_GL_PRODCT_VW"</definedName>
    <definedName name="OBSFactor">[9]IncStatement!$A$151:$IV$151</definedName>
    <definedName name="ODouble">[9]IncStatement!$A$152:$IV$152</definedName>
    <definedName name="OISFactor">[9]IncStatement!$A$150:$IV$150</definedName>
    <definedName name="OLADiscountRate">[87]Variables!$B$5</definedName>
    <definedName name="OLAProjMethod">[87]Variables!$B$7</definedName>
    <definedName name="oldbrands">'[88]brand census'!$A$5:$D$200</definedName>
    <definedName name="open?">[6]Master!$X$1</definedName>
    <definedName name="Opentotal">'[63]companies pivots'!$BQ$13</definedName>
    <definedName name="OpentotalP">'[63]companies pivots'!$BT$13</definedName>
    <definedName name="operation">'[32]Misc Data'!$B$10:$C$14</definedName>
    <definedName name="Other">[6]Master!$AG$1</definedName>
    <definedName name="other_RE">[6]Master!$W$1</definedName>
    <definedName name="Other1">#REF!</definedName>
    <definedName name="OtherAutoHome">[15]Model!$K$1335</definedName>
    <definedName name="OtherIndiv">[15]Model!$K$738</definedName>
    <definedName name="OtherInsurance">'[37]Life Insurance'!$T$497</definedName>
    <definedName name="OutputFactors">[9]Storage!$BL$10</definedName>
    <definedName name="Ownership_Table">#REF!</definedName>
    <definedName name="package_deal">[6]Master!$AC$1</definedName>
    <definedName name="Page1">#REF!</definedName>
    <definedName name="Page12">#REF!</definedName>
    <definedName name="page1head">#REF!</definedName>
    <definedName name="Page2">#REF!</definedName>
    <definedName name="page2head">#REF!</definedName>
    <definedName name="page2left">#REF!</definedName>
    <definedName name="page3head">#REF!</definedName>
    <definedName name="page3left">#REF!</definedName>
    <definedName name="pagefour">'[89]CVS-Q (old) (2)'!$B$3:$AE$147</definedName>
    <definedName name="parents">[63]census!$A$4:$D$199</definedName>
    <definedName name="part_owner">[6]Master!$Z$1</definedName>
    <definedName name="past">[90]footnotes!$B$29</definedName>
    <definedName name="PDQ">[34]Prices!$B$50</definedName>
    <definedName name="PDQ_CONS00">[34]Prices!$F$21</definedName>
    <definedName name="PDQ_CONS01">[34]Prices!$G$21</definedName>
    <definedName name="PDQ_CONS99">#REF!</definedName>
    <definedName name="penn">#REF!</definedName>
    <definedName name="PENN_CONS00">#REF!</definedName>
    <definedName name="PENN_CONS01">#REF!</definedName>
    <definedName name="PENN_CONS99">#REF!</definedName>
    <definedName name="PERIOD">#REF!</definedName>
    <definedName name="Period1LTM2">[9]Storage!$BL$4</definedName>
    <definedName name="PeriodsInIS">[9]IncStatement!$E$145</definedName>
    <definedName name="PeriodsToRun">[9]Input!$F$8</definedName>
    <definedName name="pg1output">#REF!</definedName>
    <definedName name="pg2output">#REF!</definedName>
    <definedName name="Pipetotal">'[63]companies pivots'!$BQ$11</definedName>
    <definedName name="PipetotalP">'[63]companies pivots'!$BT$11</definedName>
    <definedName name="PipeUpscaleR">[68]pivots!$AE$77</definedName>
    <definedName name="PipeUpUpR">[68]pivots!$AE$76</definedName>
    <definedName name="PipeWithR">[68]pivots!$AE$78</definedName>
    <definedName name="PipeWOR">[68]pivots!$AE$79</definedName>
    <definedName name="play">#REF!</definedName>
    <definedName name="PLAY_00Ea">#REF!</definedName>
    <definedName name="PLAY_00EPS">#REF!</definedName>
    <definedName name="PLAY_99Ea">#REF!</definedName>
    <definedName name="PLAY_99EPS">#REF!</definedName>
    <definedName name="PLAY_Rating">[16]Industry!$D$17</definedName>
    <definedName name="pmlink1">#REF!</definedName>
    <definedName name="PMLINK10">#REF!</definedName>
    <definedName name="PMLINK11">#REF!</definedName>
    <definedName name="PMLINK12">#REF!</definedName>
    <definedName name="PMLINK13">#REF!</definedName>
    <definedName name="PMLINK14">#REF!</definedName>
    <definedName name="PMLINK2">#REF!</definedName>
    <definedName name="PMLINK3">#REF!</definedName>
    <definedName name="PMLINK4">#REF!</definedName>
    <definedName name="PMLINK5">#REF!</definedName>
    <definedName name="PMLINK6">#REF!</definedName>
    <definedName name="PMLINK7">#REF!</definedName>
    <definedName name="PMLINK8">#REF!</definedName>
    <definedName name="PMLINK9">#REF!</definedName>
    <definedName name="pnk">#REF!</definedName>
    <definedName name="PNK_Rating">[16]Industry!$D$16</definedName>
    <definedName name="PNK_Target">[16]Industry!$C$16</definedName>
    <definedName name="PopAnn">[9]Storage!$BL$16</definedName>
    <definedName name="PopCoName">[9]Storage!$Y$178</definedName>
    <definedName name="PopFYE">[9]Storage!$Y$176</definedName>
    <definedName name="PopIndustry">[9]Storage!$Y$179</definedName>
    <definedName name="PopLatestQtr">[9]Storage!$Y$177</definedName>
    <definedName name="PortionInDeal">[9]Valuation!$E$72</definedName>
    <definedName name="Post_tax_cost_of_debt">#REF!</definedName>
    <definedName name="PPE">[54]Prices!$B$16</definedName>
    <definedName name="PPE_00Ea">#REF!</definedName>
    <definedName name="PPE_00EPS">#REF!</definedName>
    <definedName name="PPE_01Ea">#REF!</definedName>
    <definedName name="PPE_01EPS">#REF!</definedName>
    <definedName name="PPE_99Ea">#REF!</definedName>
    <definedName name="PPE_99EPS">#REF!</definedName>
    <definedName name="PPE_Rating">[16]Industry!$D$15</definedName>
    <definedName name="PPE_Target">[16]Industry!$C$15</definedName>
    <definedName name="PPT" hidden="1">{#N/A,#N/A,FALSE,"Chart 2 by Prop Type"}</definedName>
    <definedName name="PreDealReduction">[9]Valuation!$E$72</definedName>
    <definedName name="Preferred_percent_of_total_capitalisation">#REF!</definedName>
    <definedName name="PremiumsFirstYear">[37]Premiums!$X$89</definedName>
    <definedName name="PremiumsTotal">[37]Premiums!$W$4</definedName>
    <definedName name="present">[90]footnotes!$A$29</definedName>
    <definedName name="PRH">#REF!</definedName>
    <definedName name="PRH_CON01">[55]Prices!#REF!</definedName>
    <definedName name="PRH_CONS00">[55]Prices!#REF!</definedName>
    <definedName name="PRH_CONS99">[55]Prices!#REF!</definedName>
    <definedName name="price">'[32]Misc Data'!$B$19:$C$23</definedName>
    <definedName name="print" hidden="1">{"page1",#N/A,FALSE,"Casual RLE";"page2",#N/A,FALSE,"Casual RLE"}</definedName>
    <definedName name="Print_96">#REF!</definedName>
    <definedName name="_xlnm.Print_Area" localSheetId="0">Debt!$B$4:$D$5</definedName>
    <definedName name="Print_Area_MI">#REF!</definedName>
    <definedName name="Print_Debt">'[91]Debt Projections'!#REF!</definedName>
    <definedName name="Print_Range">#REF!</definedName>
    <definedName name="Print_Titles_MI">#REF!,#REF!</definedName>
    <definedName name="print3">#REF!</definedName>
    <definedName name="PrintSheets">[9]Storage!$BI$3</definedName>
    <definedName name="PrintWithSS">[9]Input!$D$504</definedName>
    <definedName name="PriorToValPeriod">[9]Storage!$C$58</definedName>
    <definedName name="ProImportExport.ImportFile">[21]!ProImportExport.ImportFile</definedName>
    <definedName name="ProImportExport.SaveNewFile">[21]!ProImportExport.SaveNewFile</definedName>
    <definedName name="PROJ">#REF!</definedName>
    <definedName name="Projected_asset_turn">[40]Valuation!#REF!</definedName>
    <definedName name="Projected_depreciation_percent_PPE">#REF!</definedName>
    <definedName name="Projected_EBITDA_margin">#REF!</definedName>
    <definedName name="Projected_NWI_percent_of_sales">#REF!</definedName>
    <definedName name="Projected_sales_growth">#REF!</definedName>
    <definedName name="Projections">[9]Storage!$C$35:$C$47</definedName>
    <definedName name="ProjNo">[9]Storage!$BL$24</definedName>
    <definedName name="PSI_Casino">[54]Prices!$B$5</definedName>
    <definedName name="PSI_Equip">#REF!</definedName>
    <definedName name="PSI_Gaming">#REF!</definedName>
    <definedName name="pv.date">#REF!</definedName>
    <definedName name="PV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WRH">#REF!</definedName>
    <definedName name="Q298ABCOCLOSOL">'[52]99-01'!#REF!</definedName>
    <definedName name="Q298ABCOCOMP">'[52]99-01'!#REF!</definedName>
    <definedName name="Q298ABCOOPEN">'[52]99-01'!#REF!</definedName>
    <definedName name="Q298ABCOREM">'[52]99-01'!#REF!</definedName>
    <definedName name="Q398ABCOCLOSOL">'[52]99-01'!#REF!</definedName>
    <definedName name="Q398ABCOCOMP">'[52]99-01'!#REF!</definedName>
    <definedName name="Q398ABCOOPEN">'[52]99-01'!#REF!</definedName>
    <definedName name="Q398ABCOREM">'[52]99-01'!#REF!</definedName>
    <definedName name="Q4E2001">#REF!</definedName>
    <definedName name="Q4E2002">#REF!</definedName>
    <definedName name="Q4E2003">#REF!</definedName>
    <definedName name="Q4E2004">#REF!</definedName>
    <definedName name="Q4E2005">#REF!</definedName>
    <definedName name="Q4E2006">#REF!</definedName>
    <definedName name="Q4E2007">#REF!</definedName>
    <definedName name="qqqq" hidden="1">{#N/A,#N/A,FALSE,"Chart 2 by Prop Type"}</definedName>
    <definedName name="Qtr">[6]Master!$L$1</definedName>
    <definedName name="Qtr_All">#REF!</definedName>
    <definedName name="QTR_YTD">#REF!</definedName>
    <definedName name="Quarter">#REF!</definedName>
    <definedName name="Quarter2">[18]Quarter!$B$2:$AL$71</definedName>
    <definedName name="QUARTERINCAPS">[92]Cover!$J$1</definedName>
    <definedName name="Quarters">[17]Quarter!$B$2:$AU$42</definedName>
    <definedName name="Quarters2001">#REF!</definedName>
    <definedName name="Quarters2002">#REF!</definedName>
    <definedName name="Quarters2003">#REF!</definedName>
    <definedName name="Quarters2004">#REF!</definedName>
    <definedName name="Quarters2005">#REF!</definedName>
    <definedName name="Quarters2006">#REF!</definedName>
    <definedName name="Quarters2007">#REF!</definedName>
    <definedName name="RatingAnchor">[9]Storage!$AH$11</definedName>
    <definedName name="RatingOffset">[9]Storage!$AK$11</definedName>
    <definedName name="RatingsList">[56]Storage!$AH$11:$AH$28</definedName>
    <definedName name="RCL">#REF!</definedName>
    <definedName name="RE">#REF!</definedName>
    <definedName name="recevent">#REF!</definedName>
    <definedName name="_xlnm.Recorder">#REF!</definedName>
    <definedName name="region">'[32]Misc Data'!$B$26:$C$34</definedName>
    <definedName name="Report" hidden="1">{#N/A,#N/A,FALSE,"Report Print"}</definedName>
    <definedName name="ReportPage1" hidden="1">{"Annual_Income",#N/A,FALSE,"Report Page";"Balance_Cash_Flow",#N/A,FALSE,"Report Page";"Quarterly_Income",#N/A,FALSE,"Report Page"}</definedName>
    <definedName name="rest">'[32]Misc Data'!$B$37:$C$38</definedName>
    <definedName name="RetailvsWhole">[37]Premiums!$X$232</definedName>
    <definedName name="Retirement">[15]Model!$K$1012</definedName>
    <definedName name="REV00">'[8]Income-Summary'!#REF!</definedName>
    <definedName name="Revenue_Input">#REF!</definedName>
    <definedName name="Revenue_Toggle">#REF!</definedName>
    <definedName name="RevenuesServices">#REF!</definedName>
    <definedName name="RevenuesStorage">#REF!</definedName>
    <definedName name="RiskPremium">[9]ValuationInput!$G$34</definedName>
    <definedName name="Rooms">[6]Master!$H$1</definedName>
    <definedName name="RPUS">#REF!</definedName>
    <definedName name="RPUS_Q">#REF!</definedName>
    <definedName name="RRI">#REF!</definedName>
    <definedName name="RRI_CONS00">#REF!</definedName>
    <definedName name="RRI_CONS01">#REF!</definedName>
    <definedName name="RRI_CONS99">#REF!</definedName>
    <definedName name="RUS_CONS00">[54]Prices!$G$7</definedName>
    <definedName name="RUS_CONS01">#REF!</definedName>
    <definedName name="RUS_CONS99">[54]Prices!$F$7</definedName>
    <definedName name="RUSAO_CONSENSUS">#REF!</definedName>
    <definedName name="RUT">[54]Prices!$B$9</definedName>
    <definedName name="s" hidden="1">{#N/A,#N/A,FALSE,"Chart 2 by Prop Type"}</definedName>
    <definedName name="S_P">[28]RAINSHT!#REF!</definedName>
    <definedName name="SAChoice">[9]Storage!$BL$11</definedName>
    <definedName name="sadf">'[20]EPS model'!#REF!</definedName>
    <definedName name="Sales1">"Sales!$C$8:$S$62"</definedName>
    <definedName name="Sales1Assets2">[9]Input!$D$506</definedName>
    <definedName name="SalesByDist">[37]Premiums!$X$174</definedName>
    <definedName name="SAList">[9]Storage!$BJ$12:$BJ$15</definedName>
    <definedName name="SAListBase">[9]Storage!$BJ$11</definedName>
    <definedName name="SaveNewFile">[21]!SaveNewFile</definedName>
    <definedName name="scales">[93]Lookup!$A$1:$B$165</definedName>
    <definedName name="ScoreToRating">[9]Storage!$A$231:$B$247</definedName>
    <definedName name="sdfsdfs">'[94]LEC PRojects'!$A$1:$AW$4986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econdpage">'[89]CVS-Q (old) (2)'!$AG$3:$AN$38</definedName>
    <definedName name="Seller_name">[6]Master!$AL$1</definedName>
    <definedName name="SenDebt">[9]Input!$D$486:$D$490</definedName>
    <definedName name="SenSubDebt">[9]Input!$D$491:$D$495</definedName>
    <definedName name="SenSubSel">[9]Input!$C$473:$C$477</definedName>
    <definedName name="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Cash1Repay2Div3">[9]Input!$D$451</definedName>
    <definedName name="SFUseAnchor">[9]Storage!$BJ$40</definedName>
    <definedName name="SG">#REF!</definedName>
    <definedName name="SG_CONS00">[55]Prices!#REF!</definedName>
    <definedName name="SG_CONS01">[55]Prices!#REF!</definedName>
    <definedName name="SG_CONS99">[55]Prices!#REF!</definedName>
    <definedName name="SG_CONSENSUS">#REF!</definedName>
    <definedName name="SGIC">#REF!</definedName>
    <definedName name="Shareprice">#REF!</definedName>
    <definedName name="shares">#REF!</definedName>
    <definedName name="SheetNum">[9]Storage!$BL$19</definedName>
    <definedName name="SheetOrder">[9]Storage!$E$34:$E$55</definedName>
    <definedName name="Short_Flow_Data">#REF!</definedName>
    <definedName name="ShortMSA">[95]lookups!$B$6:$D$87</definedName>
    <definedName name="SIH">[54]Prices!$B$17</definedName>
    <definedName name="SIH_Rating">[16]Industry!$D$19</definedName>
    <definedName name="SIH_Target">[16]Industry!$C$19</definedName>
    <definedName name="SingStatsExpand">[9]Storage!$F$45</definedName>
    <definedName name="SkipAnchor">[9]Storage!$AK$13</definedName>
    <definedName name="SkipChosen">[9]Storage!$AK$12</definedName>
    <definedName name="SkipRange">[56]Storage!$AK$13:$AK$15</definedName>
    <definedName name="SLOT">#REF!</definedName>
    <definedName name="SLOT_Rating">[16]Industry!$D$5</definedName>
    <definedName name="SLOT_Target">[16]Industry!$C$5</definedName>
    <definedName name="Slots">#REF!</definedName>
    <definedName name="SNB">[34]Prices!$B$51</definedName>
    <definedName name="SNB_CONS00">[34]Prices!$F$23</definedName>
    <definedName name="SNB_CONS01">[34]Prices!$G$23</definedName>
    <definedName name="SNB_CONS99">#REF!</definedName>
    <definedName name="SODK">#REF!</definedName>
    <definedName name="source">[6]Master!$A$1</definedName>
    <definedName name="SPX">[54]Prices!$B$7</definedName>
    <definedName name="SPX_CONS00">[54]Prices!$G$6</definedName>
    <definedName name="SPX_CONS01">[34]Prices!$G$6</definedName>
    <definedName name="SPX_CONS99">[54]Prices!$F$6</definedName>
    <definedName name="SPX_CONSENSUS">#REF!</definedName>
    <definedName name="SSCurrInput">[9]SumSheet!$F$14</definedName>
    <definedName name="SSLabels">[9]Storage!$BJ$50:$BJ$51</definedName>
    <definedName name="SSRatios">[9]Storage!$BC$1:$BG$56</definedName>
    <definedName name="SSSSSVS" hidden="1">{"print annual inc. statement",#N/A,FALSE,"Summary";"print annual stats",#N/A,FALSE,"Summary";"print quarterly inc. statement",#N/A,FALSE,"Summary";"print quarterly stats",#N/A,FALSE,"Summary"}</definedName>
    <definedName name="StageCode">[51]Lookups!$AF$4:$AG$9</definedName>
    <definedName name="StartingMonth">[9]Input!$F$10</definedName>
    <definedName name="StartingYear">[9]Input!$F$9</definedName>
    <definedName name="StateRegion">[14]Lookups!$K$4:$N$54</definedName>
    <definedName name="still_a_hotel">[6]Master!$Y$1</definedName>
    <definedName name="stn">#REF!</definedName>
    <definedName name="STN_00Ea">'[96]Earnings Model'!#REF!</definedName>
    <definedName name="STN_01Ea">'[96]Earnings Model'!#REF!</definedName>
    <definedName name="STN_99Ea">'[96]Earnings Model'!#REF!</definedName>
    <definedName name="STN_CONSENSUS">[97]Prices!#REF!</definedName>
    <definedName name="STN_Rating">[16]Industry!$D$18</definedName>
    <definedName name="STN_Target">[16]Industry!$C$18</definedName>
    <definedName name="StockVal.Data001">#REF!</definedName>
    <definedName name="StockVal_Ticker01">#REF!</definedName>
    <definedName name="STRCode">[51]Lookups!$AI$21:$AJ$27</definedName>
    <definedName name="Subheader">[98]IS!$A$2</definedName>
    <definedName name="Sum_of_Parts">#REF!</definedName>
    <definedName name="summ">#REF!</definedName>
    <definedName name="Summary_balance_sheet">[40]Outputs!$A$38:$I$51</definedName>
    <definedName name="Summary_balance_sheet_and_cashflow_statement">[40]Outputs!$A$38:$I$68</definedName>
    <definedName name="Summary_cashflow_statement">[40]Outputs!$A$53:$I$68</definedName>
    <definedName name="Summary_DCF_valuation">[40]Outputs!$A$82:$K$113</definedName>
    <definedName name="Summary_income_statement">[40]Outputs!$A$1:$K$36</definedName>
    <definedName name="Summary_print_area">[40]Outputs!$A$1:$K$98</definedName>
    <definedName name="Summary_valuation_ratios">[40]Outputs!$A$70:$F$79</definedName>
    <definedName name="SYN_01Ea">'[96]Earnings Model'!#REF!</definedName>
    <definedName name="Tables">#REF!</definedName>
    <definedName name="TAmort">[9]ValuationInput!$L$27</definedName>
    <definedName name="Target">#REF!</definedName>
    <definedName name="TargetDebtToCapital">[9]ValuationInput!$G$38</definedName>
    <definedName name="TAssetPct">[9]ValuationInput!$M$35</definedName>
    <definedName name="TAssets">[9]ValuationInput!$L$35</definedName>
    <definedName name="tax_rate_projection">#REF!</definedName>
    <definedName name="TaxRate_Input">#REF!</definedName>
    <definedName name="TaxRate_Toggle">#REF!</definedName>
    <definedName name="TBFNetOfCash">[9]Input!$D$501</definedName>
    <definedName name="TCapex">[9]ValuationInput!$L$33</definedName>
    <definedName name="TCapexPct">[9]ValuationInput!$M$33</definedName>
    <definedName name="TChgDefTax">[9]ValuationInput!$L$29</definedName>
    <definedName name="TChgNWI">[9]ValuationInput!$L$32</definedName>
    <definedName name="TDepr">[9]ValuationInput!$L$26</definedName>
    <definedName name="TDeprOutput">[9]ValuationInput!$O$26</definedName>
    <definedName name="TEBIAT">[9]ValuationInput!$O$23</definedName>
    <definedName name="TEBIT">[9]ValuationInput!$L$19</definedName>
    <definedName name="TEBITAdj">[9]ValuationInput!$L$52</definedName>
    <definedName name="TEBITDAAdj">[9]ValuationInput!$L$53</definedName>
    <definedName name="TEBITDAMult">[9]ValuationInput!$M$53</definedName>
    <definedName name="TEBITMargin">[9]ValuationInput!$L$20</definedName>
    <definedName name="TEBITMult">[9]ValuationInput!$M$52</definedName>
    <definedName name="temp" hidden="1">{"Print CRXLAND Assumptions",#N/A,FALSE,"CRXLAND Openings";"Print CRXLAND Openings",#N/A,FALSE,"CRXLAND Openings"}</definedName>
    <definedName name="temp2" hidden="1">{"Print CRXLAND Assumptions",#N/A,FALSE,"CRXLAND Openings";"Print CRXLAND Openings",#N/A,FALSE,"CRXLAND Openings"}</definedName>
    <definedName name="tempor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rmDiscperiods">[9]Valuation!$E$74</definedName>
    <definedName name="Terminal_value">#REF!</definedName>
    <definedName name="Terminal_value_assumptions">[40]Outputs!$A$134:$B$144</definedName>
    <definedName name="TerminalWACC">[9]ValuationInput!$G$41</definedName>
    <definedName name="test">[3]Summary!#REF!</definedName>
    <definedName name="test1">'[3](e)Summary'!$O$4</definedName>
    <definedName name="TFCF">[9]ValuationInput!$O$40</definedName>
    <definedName name="TFCFColumn">[9]ValuationInput!$O$14:$O$40</definedName>
    <definedName name="TFirstProjDate">[9]Valuation!$F$9</definedName>
    <definedName name="TFirstProjDateDays">[9]Valuation!$E$71</definedName>
    <definedName name="Threshold">0.01</definedName>
    <definedName name="Ticker">#REF!</definedName>
    <definedName name="tier">'[32]Misc Data'!$E$2:$F$4</definedName>
    <definedName name="TIF">[34]Prices!$B$54</definedName>
    <definedName name="TIF_CONS00">[34]Prices!$F$26</definedName>
    <definedName name="TIF_CONS01">[34]Prices!$G$26</definedName>
    <definedName name="TIF_CONS99">#REF!</definedName>
    <definedName name="TLiabPct">[9]ValuationInput!$M$31</definedName>
    <definedName name="TLiabs">[9]ValuationInput!$L$31</definedName>
    <definedName name="TNAmort">[9]ValuationInput!$L$28</definedName>
    <definedName name="TNPPESales">[9]ValuationInput!$M$34</definedName>
    <definedName name="TNWIPct">[9]ValuationInput!$M$32</definedName>
    <definedName name="TokyoIndChoice">[9]Input!$D$510</definedName>
    <definedName name="TokyoIndFactor">[9]TokyoBondRating!$C$13</definedName>
    <definedName name="TokyoIndGroup">[9]Storage!$A$185:$B$227</definedName>
    <definedName name="TOperProfitAdj">[9]ValuationInput!$L$51</definedName>
    <definedName name="TOPMult">[9]ValuationInput!$M$51</definedName>
    <definedName name="TopTen">#REF!</definedName>
    <definedName name="Total_capitalisation">#REF!</definedName>
    <definedName name="Total_Proj_Cap_Exp">[29]ProForma!$A$150:$IV$150</definedName>
    <definedName name="TOTAL2001">SUM(#REF!)</definedName>
    <definedName name="TOTAL2002">SUM(#REF!)</definedName>
    <definedName name="TOTAL2003">SUM(#REF!)</definedName>
    <definedName name="TOTAL2004">SUM(#REF!)</definedName>
    <definedName name="TOTAL2005">SUM(#REF!)</definedName>
    <definedName name="TOTAL2006">SUM(#REF!)</definedName>
    <definedName name="TOTAL2007">SUM(#REF!)</definedName>
    <definedName name="TotalAssetsLabel">[9]BalanceSheet!$C$43</definedName>
    <definedName name="TotalLiabsLabel">[9]BalanceSheet!$C$75</definedName>
    <definedName name="TotalNWLabel">[9]BalanceSheet!$C$88</definedName>
    <definedName name="TOther1">[9]ValuationInput!$L$36</definedName>
    <definedName name="TOther1Adj">[9]ValuationInput!$L$54</definedName>
    <definedName name="TOther1Mult">[9]ValuationInput!$M$54</definedName>
    <definedName name="TOther1Pct">[9]ValuationInput!$M$36</definedName>
    <definedName name="TOther2">[9]ValuationInput!$L$37</definedName>
    <definedName name="TOther2Adj">[9]ValuationInput!$L$55</definedName>
    <definedName name="TOther2Mult">[9]ValuationInput!$M$55</definedName>
    <definedName name="TOther2Pct">[9]ValuationInput!$M$37</definedName>
    <definedName name="TOther3Adj">[9]ValuationInput!$L$56</definedName>
    <definedName name="TOther3Mult">[9]ValuationInput!$M$56</definedName>
    <definedName name="TOTOtherF">[9]Input!$B$439</definedName>
    <definedName name="TPPESalesPct">[9]ValuationInput!$V$11</definedName>
    <definedName name="TProvisions">[9]ValuationInput!$L$30</definedName>
    <definedName name="tr">#REF!</definedName>
    <definedName name="TrackLTD1Yr">[9]Storage!$BL$20</definedName>
    <definedName name="tract">[32]TRACT.TXT!$A$1:$B$580</definedName>
    <definedName name="Traditional">[15]Model!$K$449</definedName>
    <definedName name="TrailLTM">[9]Storage!$BL$3</definedName>
    <definedName name="trc_CFPSGROWTH5YR">#REF!</definedName>
    <definedName name="trc_CFPSGRWPRV5YR">#REF!</definedName>
    <definedName name="trc_CurFY">#REF!</definedName>
    <definedName name="trc_DIVGROWTH5YR">#REF!</definedName>
    <definedName name="trc_DIVGRWPRV5YR">#REF!</definedName>
    <definedName name="trc_DocID">#REF!</definedName>
    <definedName name="trc_EBITDAGROWTH5YR">#REF!</definedName>
    <definedName name="trc_EBITDAGRWPRV5YR">#REF!</definedName>
    <definedName name="trc_EBITNXT5">#REF!</definedName>
    <definedName name="trc_EBITPRV5">#REF!</definedName>
    <definedName name="trc_EPSGRWPRV5YR">#REF!</definedName>
    <definedName name="trc_Flavor">#REF!</definedName>
    <definedName name="trc_NETGROWTH5YR">#REF!</definedName>
    <definedName name="trc_NETGRWPRV5YR">#REF!</definedName>
    <definedName name="trc_QDType">#REF!</definedName>
    <definedName name="trc_RATING">#REF!</definedName>
    <definedName name="trc_ReleaseDate">#REF!</definedName>
    <definedName name="trc_REVGROWTH5YR">#REF!</definedName>
    <definedName name="trc_REVGRWPRV5YR">#REF!</definedName>
    <definedName name="trc_RISK">#REF!</definedName>
    <definedName name="trc_SHARESOUT">#REF!</definedName>
    <definedName name="trc_SHROUTGROWTH5YR">#REF!</definedName>
    <definedName name="trc_SHROUTGRWPRV5YR">#REF!</definedName>
    <definedName name="trc_submitter">#REF!</definedName>
    <definedName name="trc_submittername">#REF!</definedName>
    <definedName name="trc_TARGET">#REF!</definedName>
    <definedName name="trc_TemplateID">#REF!</definedName>
    <definedName name="trc_TEV">#REF!</definedName>
    <definedName name="trc_Ticker">#REF!</definedName>
    <definedName name="trc_Version">#REF!</definedName>
    <definedName name="trc_XLS_DATASHEET_ProtectDate">36929.8290046296</definedName>
    <definedName name="trc_Y1">#REF!</definedName>
    <definedName name="trc_Y1COMMONEQ">#REF!</definedName>
    <definedName name="trc_Y1DILSHR">#REF!</definedName>
    <definedName name="trc_Y1DPS">#REF!</definedName>
    <definedName name="trc_Y1EBIT">#REF!</definedName>
    <definedName name="trc_Y1EBITDA">#REF!</definedName>
    <definedName name="trc_Y1FREE_CFPS">#REF!</definedName>
    <definedName name="trc_Y1LTDEBT">#REF!</definedName>
    <definedName name="trc_Y1NETINC">#REF!</definedName>
    <definedName name="trc_Y1Q1">#REF!</definedName>
    <definedName name="trc_Y1Q2">#REF!</definedName>
    <definedName name="trc_Y1Q3">#REF!</definedName>
    <definedName name="trc_Y1Q4">#REF!</definedName>
    <definedName name="trc_Y1REVENUE">#REF!</definedName>
    <definedName name="trc_Y1ROE">#REF!</definedName>
    <definedName name="trc_Y1TAXRATE">#REF!</definedName>
    <definedName name="trc_Y1Total">#REF!</definedName>
    <definedName name="trc_Y2">#REF!</definedName>
    <definedName name="trc_Y2COMMONEQ">#REF!</definedName>
    <definedName name="trc_Y2DILSHR">#REF!</definedName>
    <definedName name="trc_Y2DPS">#REF!</definedName>
    <definedName name="trc_Y2EBIT">#REF!</definedName>
    <definedName name="trc_Y2EBITDA">#REF!</definedName>
    <definedName name="trc_Y2FREE_CFPS">#REF!</definedName>
    <definedName name="trc_Y2LTDEBT">#REF!</definedName>
    <definedName name="trc_Y2NETINC">#REF!</definedName>
    <definedName name="trc_Y2Q1">#REF!</definedName>
    <definedName name="trc_Y2Q2">#REF!</definedName>
    <definedName name="trc_Y2Q3">#REF!</definedName>
    <definedName name="trc_Y2Q4">#REF!</definedName>
    <definedName name="trc_Y2REVENUE">#REF!</definedName>
    <definedName name="trc_Y2ROE">#REF!</definedName>
    <definedName name="trc_Y2TAXRATE">#REF!</definedName>
    <definedName name="trc_Y2Total">#REF!</definedName>
    <definedName name="trc_Y3">#REF!</definedName>
    <definedName name="trc_Y3COMMONEQ">#REF!</definedName>
    <definedName name="trc_Y3DILSHR">#REF!</definedName>
    <definedName name="trc_Y3DPS">#REF!</definedName>
    <definedName name="trc_Y3EBIT">#REF!</definedName>
    <definedName name="trc_Y3EBITDA">#REF!</definedName>
    <definedName name="trc_Y3FREE_CFPS">#REF!</definedName>
    <definedName name="trc_Y3LTDEBT">#REF!</definedName>
    <definedName name="trc_Y3NETINC">#REF!</definedName>
    <definedName name="trc_Y3Q1">#REF!</definedName>
    <definedName name="trc_Y3Q2">#REF!</definedName>
    <definedName name="trc_Y3Q3">#REF!</definedName>
    <definedName name="trc_Y3Q4">#REF!</definedName>
    <definedName name="trc_Y3REVENUE">#REF!</definedName>
    <definedName name="trc_Y3ROE">#REF!</definedName>
    <definedName name="trc_Y3TAXRATE">#REF!</definedName>
    <definedName name="trc_Y3Total">#REF!</definedName>
    <definedName name="trc_Y4">#REF!</definedName>
    <definedName name="trc_Y4COMMONEQ">#REF!</definedName>
    <definedName name="trc_Y4DILSHR">#REF!</definedName>
    <definedName name="trc_Y4DPS">#REF!</definedName>
    <definedName name="trc_Y4EBIT">#REF!</definedName>
    <definedName name="trc_Y4EBITDA">#REF!</definedName>
    <definedName name="trc_Y4FREE_CFPS">#REF!</definedName>
    <definedName name="trc_Y4LTDEBT">#REF!</definedName>
    <definedName name="trc_Y4NETINC">#REF!</definedName>
    <definedName name="trc_Y4Q1">#REF!</definedName>
    <definedName name="trc_Y4Q2">#REF!</definedName>
    <definedName name="trc_Y4Q3">#REF!</definedName>
    <definedName name="trc_Y4Q4">#REF!</definedName>
    <definedName name="trc_Y4REVENUE">#REF!</definedName>
    <definedName name="trc_Y4ROE">#REF!</definedName>
    <definedName name="trc_Y4TAXRATE">#REF!</definedName>
    <definedName name="trc_Y4Total">#REF!</definedName>
    <definedName name="TSales">[9]ValuationInput!$L$17</definedName>
    <definedName name="TSalesAdj">[9]ValuationInput!$L$50</definedName>
    <definedName name="TSalesG">[9]ValuationInput!$O$18</definedName>
    <definedName name="TSalesGIncrement">[9]ValuationInput!$G$58</definedName>
    <definedName name="TSalesGrowth">[9]ValuationInput!$L$18</definedName>
    <definedName name="TSalesOutput">[9]ValuationInput!$O$17</definedName>
    <definedName name="TSMult">[9]ValuationInput!$M$50</definedName>
    <definedName name="TTaxes">[9]ValuationInput!$L$21</definedName>
    <definedName name="TTaxRate">[9]ValuationInput!$L$22</definedName>
    <definedName name="TVAsChosen">[9]Storage!$BL$34</definedName>
    <definedName name="TVButton">[9]Storage!$BL$35</definedName>
    <definedName name="TVbyTFCF">[9]ValuationInput!$O$45</definedName>
    <definedName name="TVMult">[9]Storage!$BL$37</definedName>
    <definedName name="TVMultIncrement">[9]ValuationInput!$G$59</definedName>
    <definedName name="TVMultInputs">[9]Storage!$BL$38</definedName>
    <definedName name="TVTitles">[9]Storage!$BL$36</definedName>
    <definedName name="TWACCAdjustment">[9]ValuationInput!$F$41</definedName>
    <definedName name="type">'[32]Misc Data'!$E$10:$F$14</definedName>
    <definedName name="U.S._Offshore_Drillers__Valuation_Comparisons">[30]OFFVALU!$B$3:$O$58</definedName>
    <definedName name="Uctotal">'[63]companies pivots'!$BQ$14</definedName>
    <definedName name="UctotalP">'[63]companies pivots'!$BT$14</definedName>
    <definedName name="Unsorting_Table">#REF!</definedName>
    <definedName name="UntaxedWACC">[9]APV!$F$23</definedName>
    <definedName name="UpscaleAPP">'[47]top cos 5c pivots'!$AP$9+'[47]top cos 5c pivots'!$AQ$9</definedName>
    <definedName name="UpscaleAPR">'[47]top cos 5c pivots'!$AP$16+'[47]top cos 5c pivots'!$AQ$16</definedName>
    <definedName name="UpscaleEPP">'[47]top cos 5c pivots'!$AR$9</definedName>
    <definedName name="UpscaleEPR">'[47]top cos 5c pivots'!$AR$16</definedName>
    <definedName name="UpscaleIPP">'[47]top cos 5c pivots'!$AQ$9</definedName>
    <definedName name="UpscaleIPR">'[47]top cos 5c pivots'!$AQ$16</definedName>
    <definedName name="UpscaleUCP">'[47]top cos 5c pivots'!$AP$9</definedName>
    <definedName name="UpscaleUCR">'[47]top cos 5c pivots'!$AP$16</definedName>
    <definedName name="UpUpAPP">'[47]top cos 5c pivots'!$AP$8+'[47]top cos 5c pivots'!$AQ$8</definedName>
    <definedName name="UpUpAPR">'[47]top cos 5c pivots'!$AP$15+'[47]top cos 5c pivots'!$AQ$15</definedName>
    <definedName name="UpUpEPP">'[47]top cos 5c pivots'!$AR$8</definedName>
    <definedName name="UpUpEPR">'[47]top cos 5c pivots'!$AR$15</definedName>
    <definedName name="UpUpIPP">'[47]top cos 5c pivots'!$AQ$8</definedName>
    <definedName name="UpUpIPR">'[47]top cos 5c pivots'!$AQ$15</definedName>
    <definedName name="UpUpUCP">'[47]top cos 5c pivots'!$AP$8</definedName>
    <definedName name="UpUpUCR">'[47]top cos 5c pivots'!$AP$15</definedName>
    <definedName name="USS">[28]RAINSHT!#REF!</definedName>
    <definedName name="ValInCol">[9]IncStatement!$A$153:$IV$153</definedName>
    <definedName name="ValThisCol">[9]IncStatement!$D$153</definedName>
    <definedName name="ValuationDate">[9]ValuationInput!$G$11</definedName>
    <definedName name="Variable">'[37]Life Insurance'!$T$221</definedName>
    <definedName name="VariableUniversal">[15]Model!$K$520</definedName>
    <definedName name="VLastRow">[9]Valuation!$C$34</definedName>
    <definedName name="VolAnchor">[9]Storage!$AH$96</definedName>
    <definedName name="Volatility">[9]Storage!$AI$95</definedName>
    <definedName name="VolFactor">[9]SumSheet!$F$22</definedName>
    <definedName name="vols">#REF!</definedName>
    <definedName name="VolTable">[56]Storage!$AH$96:$AI$100</definedName>
    <definedName name="volume">#REF!</definedName>
    <definedName name="VPLastRow">[9]ValuationInput!$C$61</definedName>
    <definedName name="VTitle">[9]Valuation!$C$9</definedName>
    <definedName name="w" hidden="1">{"Print CRXLAND Assumptions",#N/A,FALSE,"CRXLAND Openings";"Print CRXLAND Openings",#N/A,FALSE,"CRXLAND Openings"}</definedName>
    <definedName name="WACC">#REF!</definedName>
    <definedName name="WACCIncrement">[9]ValuationInput!$F$60</definedName>
    <definedName name="web">#REF!</definedName>
    <definedName name="WithAPP">'[47]top cos 5c pivots'!$AP$10+'[47]top cos 5c pivots'!$AQ$10</definedName>
    <definedName name="WithAPR">'[47]top cos 5c pivots'!$AQ$17+'[47]top cos 5c pivots'!$AP$17</definedName>
    <definedName name="WithEPP">'[47]top cos 5c pivots'!$AR$10</definedName>
    <definedName name="WithEPR">'[47]top cos 5c pivots'!$AR$17</definedName>
    <definedName name="WithIPP">'[47]top cos 5c pivots'!$AQ$10</definedName>
    <definedName name="WithIPR">'[47]top cos 5c pivots'!$AQ$17</definedName>
    <definedName name="WithRentDEOR">[9]Input!$D$502</definedName>
    <definedName name="WithUCP">'[47]top cos 5c pivots'!$AP$10</definedName>
    <definedName name="WithUCR">'[47]top cos 5c pivots'!$AP$17</definedName>
    <definedName name="WMS">#REF!</definedName>
    <definedName name="WMS_Rating">[16]Industry!$D$20</definedName>
    <definedName name="WMS_Target">[16]Industry!$C$20</definedName>
    <definedName name="WOAPP">'[47]top cos 5c pivots'!$AP$11+'[47]top cos 5c pivots'!$AQ$11</definedName>
    <definedName name="WOAPR">'[47]top cos 5c pivots'!$AP$18+'[47]top cos 5c pivots'!$AQ$18</definedName>
    <definedName name="WOEPP">'[47]top cos 5c pivots'!$AR$11</definedName>
    <definedName name="WOEPR">'[47]top cos 5c pivots'!$AR$18</definedName>
    <definedName name="WOIPP">'[47]top cos 5c pivots'!$AQ$11</definedName>
    <definedName name="WOIPR">'[47]top cos 5c pivots'!$AQ$18</definedName>
    <definedName name="WorkingCapital_Input">#REF!</definedName>
    <definedName name="WorkingCapital_Toggle">#REF!</definedName>
    <definedName name="WorksheetsInModel">[9]Storage!$BL$23</definedName>
    <definedName name="WOUCP">'[47]top cos 5c pivots'!$AP$11</definedName>
    <definedName name="WOUCR">'[47]top cos 5c pivots'!$AP$18</definedName>
    <definedName name="wrn.1." hidden="1">{#N/A,#N/A,FALSE,"Calc";#N/A,#N/A,FALSE,"Sensitivity";#N/A,#N/A,FALSE,"LT Earn.Dil.";#N/A,#N/A,FALSE,"Dil. AVP"}</definedName>
    <definedName name="wrn.ACK." hidden="1">{"Annual",#N/A,FALSE,"ACK";"Margins",#N/A,FALSE,"ACK";"Q",#N/A,FALSE,"QTRS."}</definedName>
    <definedName name="wrn.all." hidden="1">{#N/A,#N/A,FALSE,"Gaming Revenues";#N/A,#N/A,FALSE,"RevCompare";#N/A,#N/A,FALSE,"Capacity";#N/A,#N/A,FALSE,"% Casino Rooms";#N/A,#N/A,FALSE,"ADR";#N/A,#N/A,FALSE,"Occupancy";#N/A,#N/A,FALSE,"Length of stay";#N/A,#N/A,FALSE,"Growth Rates";#N/A,#N/A,FALSE,"casinos";#N/A,#N/A,FALSE,"Slots&amp;Tables";#N/A,#N/A,FALSE,"tax";#N/A,#N/A,FALSE,"demographics";#N/A,#N/A,FALSE,"Rooms v stops";#N/A,#N/A,FALSE,"demos2";#N/A,#N/A,FALSE,"air arrivals";#N/A,#N/A,FALSE,"load";#N/A,#N/A,FALSE,"stays"}</definedName>
    <definedName name="wrn.CHART2._.detail." hidden="1">{#N/A,#N/A,FALSE,"Chart 2 by Prop Type"}</definedName>
    <definedName name="wrn.daily." hidden="1">{#N/A,#N/A,FALSE,"Major v. River";#N/A,#N/A,FALSE,"Large Operators";#N/A,#N/A,FALSE,"Smaller Operators";#N/A,#N/A,FALSE,"Equip. Supply";#N/A,#N/A,FALSE,"EBITDA"}</definedName>
    <definedName name="wrn.detail_US." hidden="1">{"summary1",#N/A,FALSE,"K";"summary2",#N/A,FALSE,"K";"USmarket",#N/A,FALSE,"K";"USearnings",#N/A,FALSE,"K"}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TH." hidden="1">{"AnnMarg.",#N/A,FALSE,"ETHAN";"Q",#N/A,FALSE,"Qtrs."}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b." hidden="1">{"AnnMarg",#N/A,FALSE,"FALCON";"Q",#N/A,FALSE,"Qtrs."}</definedName>
    <definedName name="wrn.financials." hidden="1">{"income",#N/A,FALSE,"K";"cashflow",#N/A,FALSE,"K";"balances",#N/A,FALSE,"K";"ratios",#N/A,FALSE,"K"}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Report." hidden="1">{"Assumptions",#N/A,FALSE,"Sheet1";"Main Report",#N/A,FALSE,"Sheet1";"Results",#N/A,FALSE,"Sheet1";"Advances",#N/A,FALSE,"Sheet1"}</definedName>
    <definedName name="wrn.IGT._.Model." hidden="1">{#N/A,#N/A,TRUE,"IGT";#N/A,#N/A,TRUE,"IGTSLOT"}</definedName>
    <definedName name="wrn.Income._.Statement." hidden="1">{#N/A,#N/A,FALSE,"Report Print"}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IX." hidden="1">{#N/A,#N/A,FALSE,"Report Print"}</definedName>
    <definedName name="wrn.ISS." hidden="1">{"AnnMarg",#N/A,FALSE,"ISS";"Q",#N/A,FALSE,"Qtrs."}</definedName>
    <definedName name="wrn.Lodging." hidden="1">{#N/A,#N/A,FALSE,"EPS";#N/A,#N/A,FALSE,"EBITDA"}</definedName>
    <definedName name="wrn.Master_Income." hidden="1">{"Annual_Income",#N/A,FALSE,"Master Model";"Quarterly_Income",#N/A,FALSE,"Master Model"}</definedName>
    <definedName name="wrn.mirBellagio." hidden="1">{#N/A,#N/A,FALSE,"MIR";#N/A,#N/A,FALSE,"NYNY"}</definedName>
    <definedName name="wrn.Model." hidden="1">{#N/A,#N/A,FALSE,"PRH";#N/A,#N/A,FALSE,"Units"}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nt._.CRXLAND._.Openings." hidden="1">{"Print CRXLAND Assumptions",#N/A,FALSE,"CRXLAND Openings";"Print CRXLAND Openings",#N/A,FALSE,"CRXLAND Openings"}</definedName>
    <definedName name="wrn.Print._.Everything.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Inc.._.Statement._.and._.Stats.." hidden="1">{"print annual inc. statement",#N/A,FALSE,"Summary";"print annual stats",#N/A,FALSE,"Summary";"print quarterly inc. statement",#N/A,FALSE,"Summary";"print quarterly stats",#N/A,FALSE,"Summary"}</definedName>
    <definedName name="wrn.Print._.Report." hidden="1">{"annual",#N/A,FALSE,"Sheet2";"quarters",#N/A,FALSE,"Sheet2"}</definedName>
    <definedName name="wrn.Print._.SPHI._.Openings." hidden="1">{"Print SPHI Assumptions",#N/A,FALSE,"SPHI Openings";"Print SPHI Openings",#N/A,FALSE,"SPHI Openings"}</definedName>
    <definedName name="wrn.Print._.STAY._.Openings." hidden="1">{"print STAY opening assumptions",#N/A,FALSE,"STAY Openings";"print STAY openings",#N/A,FALSE,"STAY Openings"}</definedName>
    <definedName name="wrn.Print._.Three._.Page._.Model." hidden="1">{"Page One",#N/A,FALSE,"Model";"Page 2",#N/A,FALSE,"Model";"Page 3",#N/A,FALSE,"Model"}</definedName>
    <definedName name="wrn.Printout." hidden="1">{"page1",#N/A,FALSE,"Casual RLE";"page2",#N/A,FALSE,"Casual RLE"}</definedName>
    <definedName name="wrn.rep_page.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weekly." hidden="1">{#N/A,#N/A,FALSE,"Large Operators";#N/A,#N/A,FALSE,"Smaller Operators";#N/A,#N/A,FALSE,"Equip. Supply";#N/A,#N/A,FALSE,"EBITDA";#N/A,#N/A,FALSE,"perform"}</definedName>
    <definedName name="X">[21]!X</definedName>
    <definedName name="XInIS">[9]Storage!$BL$18</definedName>
    <definedName name="XLMLwidth">#REF!</definedName>
    <definedName name="XLMOrientationP1L2">#REF!</definedName>
    <definedName name="XLMPwidth">#REF!</definedName>
    <definedName name="Year">#REF!</definedName>
    <definedName name="years">#REF!</definedName>
    <definedName name="YQ">[9]ISBS!$D$644</definedName>
    <definedName name="YQNoOfPeriods">[9]ISBS!$D$643</definedName>
    <definedName name="Yr">[6]Master!$M$1</definedName>
    <definedName name="ZeroDebt">[9]Input!$D$496:$D$499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7" i="1" l="1"/>
  <c r="X96" i="1"/>
  <c r="S97" i="1"/>
  <c r="S96" i="1"/>
  <c r="N97" i="1"/>
  <c r="N96" i="1"/>
  <c r="I97" i="1"/>
  <c r="I96" i="1"/>
  <c r="Q95" i="1"/>
  <c r="X94" i="1"/>
  <c r="S94" i="1"/>
  <c r="N94" i="1"/>
  <c r="I94" i="1"/>
  <c r="I92" i="1"/>
  <c r="I91" i="1"/>
  <c r="X89" i="1"/>
  <c r="S89" i="1"/>
  <c r="N89" i="1"/>
  <c r="X88" i="1"/>
  <c r="S88" i="1"/>
  <c r="X87" i="1"/>
  <c r="S87" i="1"/>
  <c r="N87" i="1"/>
  <c r="X86" i="1"/>
  <c r="S86" i="1"/>
  <c r="X85" i="1"/>
  <c r="S85" i="1"/>
  <c r="N85" i="1"/>
  <c r="X84" i="1"/>
  <c r="S84" i="1"/>
  <c r="N84" i="1"/>
  <c r="I84" i="1"/>
  <c r="X83" i="1"/>
  <c r="S83" i="1"/>
  <c r="N83" i="1"/>
  <c r="I83" i="1"/>
  <c r="X82" i="1"/>
  <c r="S82" i="1"/>
  <c r="N82" i="1"/>
  <c r="I82" i="1"/>
  <c r="X81" i="1"/>
  <c r="S81" i="1"/>
  <c r="N81" i="1"/>
  <c r="I81" i="1"/>
  <c r="X80" i="1"/>
  <c r="S80" i="1"/>
  <c r="N80" i="1"/>
  <c r="I80" i="1"/>
  <c r="X79" i="1"/>
  <c r="S79" i="1"/>
  <c r="N79" i="1"/>
  <c r="I79" i="1"/>
  <c r="X78" i="1"/>
  <c r="S78" i="1"/>
  <c r="N78" i="1"/>
  <c r="I78" i="1"/>
  <c r="X77" i="1"/>
  <c r="S77" i="1"/>
  <c r="N77" i="1"/>
  <c r="I77" i="1"/>
  <c r="X76" i="1"/>
  <c r="S76" i="1"/>
  <c r="N76" i="1"/>
  <c r="I76" i="1"/>
  <c r="X75" i="1"/>
  <c r="S75" i="1"/>
  <c r="N75" i="1"/>
  <c r="I75" i="1"/>
  <c r="X74" i="1"/>
  <c r="S74" i="1"/>
  <c r="N74" i="1"/>
  <c r="I74" i="1"/>
  <c r="X73" i="1"/>
  <c r="S73" i="1"/>
  <c r="N73" i="1"/>
  <c r="I73" i="1"/>
  <c r="X72" i="1"/>
  <c r="S72" i="1"/>
  <c r="N72" i="1"/>
  <c r="I72" i="1"/>
  <c r="X71" i="1"/>
  <c r="S71" i="1"/>
  <c r="N71" i="1"/>
  <c r="I71" i="1"/>
  <c r="X70" i="1"/>
  <c r="S70" i="1"/>
  <c r="N70" i="1"/>
  <c r="I70" i="1"/>
  <c r="X69" i="1"/>
  <c r="S69" i="1"/>
  <c r="N69" i="1"/>
  <c r="I69" i="1"/>
  <c r="X68" i="1"/>
  <c r="S68" i="1"/>
  <c r="N68" i="1"/>
  <c r="I68" i="1"/>
  <c r="X67" i="1"/>
  <c r="S67" i="1"/>
  <c r="N67" i="1"/>
  <c r="I67" i="1"/>
  <c r="X66" i="1"/>
  <c r="S66" i="1"/>
  <c r="N66" i="1"/>
  <c r="I66" i="1"/>
  <c r="X65" i="1"/>
  <c r="S65" i="1"/>
  <c r="N65" i="1"/>
  <c r="I65" i="1"/>
  <c r="X64" i="1"/>
  <c r="S64" i="1"/>
  <c r="N64" i="1"/>
  <c r="I64" i="1"/>
  <c r="S63" i="1"/>
  <c r="N63" i="1"/>
  <c r="I63" i="1"/>
  <c r="N62" i="1"/>
  <c r="I62" i="1"/>
  <c r="I61" i="1"/>
  <c r="I60" i="1"/>
  <c r="N57" i="1"/>
  <c r="K95" i="1"/>
  <c r="I57" i="1"/>
  <c r="I56" i="1"/>
  <c r="N55" i="1"/>
  <c r="I55" i="1"/>
  <c r="N54" i="1"/>
  <c r="I54" i="1"/>
  <c r="X53" i="1"/>
  <c r="S53" i="1"/>
  <c r="N53" i="1"/>
  <c r="I53" i="1"/>
  <c r="G95" i="1"/>
  <c r="I51" i="1"/>
  <c r="X49" i="1"/>
  <c r="X48" i="1"/>
  <c r="X47" i="1"/>
  <c r="X46" i="1"/>
  <c r="X45" i="1"/>
  <c r="X44" i="1"/>
  <c r="X43" i="1"/>
  <c r="S43" i="1"/>
  <c r="S42" i="1"/>
  <c r="N42" i="1"/>
  <c r="I42" i="1"/>
  <c r="X41" i="1"/>
  <c r="S41" i="1"/>
  <c r="N41" i="1"/>
  <c r="I41" i="1"/>
  <c r="X40" i="1"/>
  <c r="S40" i="1"/>
  <c r="N40" i="1"/>
  <c r="I40" i="1"/>
  <c r="X39" i="1"/>
  <c r="X38" i="1"/>
  <c r="S38" i="1"/>
  <c r="N38" i="1"/>
  <c r="I38" i="1"/>
  <c r="X37" i="1"/>
  <c r="S37" i="1"/>
  <c r="N37" i="1"/>
  <c r="I37" i="1"/>
  <c r="S36" i="1"/>
  <c r="N36" i="1"/>
  <c r="I36" i="1"/>
  <c r="N35" i="1"/>
  <c r="I35" i="1"/>
  <c r="S34" i="1"/>
  <c r="N34" i="1"/>
  <c r="I34" i="1"/>
  <c r="N33" i="1"/>
  <c r="I33" i="1"/>
  <c r="I32" i="1"/>
  <c r="I31" i="1"/>
  <c r="I30" i="1"/>
  <c r="X27" i="1"/>
  <c r="S27" i="1"/>
  <c r="N27" i="1"/>
  <c r="X26" i="1"/>
  <c r="S26" i="1"/>
  <c r="N26" i="1"/>
  <c r="I26" i="1"/>
  <c r="S25" i="1"/>
  <c r="N25" i="1"/>
  <c r="I25" i="1"/>
  <c r="X24" i="1"/>
  <c r="S24" i="1"/>
  <c r="N24" i="1"/>
  <c r="I24" i="1"/>
  <c r="N23" i="1"/>
  <c r="I23" i="1"/>
  <c r="X22" i="1"/>
  <c r="S22" i="1"/>
  <c r="N22" i="1"/>
  <c r="X21" i="1"/>
  <c r="S21" i="1"/>
  <c r="N21" i="1"/>
  <c r="I21" i="1"/>
  <c r="I20" i="1"/>
  <c r="I19" i="1"/>
  <c r="N18" i="1"/>
  <c r="I18" i="1"/>
  <c r="I17" i="1"/>
  <c r="R95" i="1"/>
  <c r="N14" i="1"/>
  <c r="I14" i="1"/>
  <c r="S13" i="1"/>
  <c r="N13" i="1"/>
  <c r="O10" i="1"/>
  <c r="P10" i="1" s="1"/>
  <c r="Q10" i="1" s="1"/>
  <c r="R10" i="1" s="1"/>
  <c r="N10" i="1"/>
  <c r="P9" i="1"/>
  <c r="N9" i="1"/>
  <c r="I9" i="1"/>
  <c r="P8" i="1"/>
  <c r="N8" i="1"/>
  <c r="I8" i="1"/>
  <c r="P7" i="1"/>
  <c r="N7" i="1"/>
  <c r="G98" i="1" l="1"/>
  <c r="R98" i="1"/>
  <c r="L95" i="1"/>
  <c r="L98" i="1" s="1"/>
  <c r="Q98" i="1"/>
  <c r="H95" i="1"/>
  <c r="H98" i="1" s="1"/>
  <c r="K98" i="1"/>
  <c r="M95" i="1"/>
  <c r="M98" i="1" s="1"/>
  <c r="N95" i="1"/>
  <c r="N98" i="1" s="1"/>
  <c r="I13" i="1"/>
  <c r="P95" i="1"/>
  <c r="P98" i="1" s="1"/>
  <c r="Q8" i="1"/>
  <c r="Q9" i="1"/>
  <c r="S10" i="1"/>
  <c r="T10" i="1" s="1"/>
  <c r="I52" i="1"/>
  <c r="I95" i="1" s="1"/>
  <c r="I98" i="1" s="1"/>
  <c r="O95" i="1"/>
  <c r="O98" i="1" s="1"/>
  <c r="J95" i="1"/>
  <c r="J98" i="1" s="1"/>
  <c r="Q7" i="1"/>
  <c r="S14" i="1"/>
  <c r="U10" i="1" l="1"/>
  <c r="V10" i="1" s="1"/>
  <c r="W10" i="1" s="1"/>
  <c r="R9" i="1"/>
  <c r="S9" i="1" s="1"/>
  <c r="R7" i="1"/>
  <c r="S95" i="1"/>
  <c r="S98" i="1" s="1"/>
  <c r="R8" i="1"/>
  <c r="X10" i="1" l="1"/>
  <c r="T9" i="1"/>
  <c r="T7" i="1"/>
  <c r="S7" i="1"/>
  <c r="T95" i="1"/>
  <c r="T98" i="1" s="1"/>
  <c r="T8" i="1"/>
  <c r="S8" i="1"/>
  <c r="U7" i="1" l="1"/>
  <c r="U8" i="1"/>
  <c r="U9" i="1"/>
  <c r="U95" i="1"/>
  <c r="U98" i="1" s="1"/>
  <c r="X13" i="1" l="1"/>
  <c r="V8" i="1"/>
  <c r="V9" i="1"/>
  <c r="V7" i="1"/>
  <c r="V95" i="1"/>
  <c r="W95" i="1" l="1"/>
  <c r="X14" i="1"/>
  <c r="W9" i="1"/>
  <c r="X9" i="1" s="1"/>
  <c r="V98" i="1"/>
  <c r="W8" i="1"/>
  <c r="W7" i="1"/>
  <c r="X7" i="1"/>
  <c r="W98" i="1" l="1"/>
  <c r="X8" i="1"/>
  <c r="X95" i="1"/>
  <c r="X98" i="1" l="1"/>
</calcChain>
</file>

<file path=xl/sharedStrings.xml><?xml version="1.0" encoding="utf-8"?>
<sst xmlns="http://schemas.openxmlformats.org/spreadsheetml/2006/main" count="34" uniqueCount="34">
  <si>
    <t>($MM, except per share data)</t>
  </si>
  <si>
    <t>DEBT SCHEDULE</t>
  </si>
  <si>
    <t>SOFR</t>
  </si>
  <si>
    <t>LIBOR</t>
  </si>
  <si>
    <t>EURIBOR</t>
  </si>
  <si>
    <t>EURUSD</t>
  </si>
  <si>
    <t>Revolvers</t>
  </si>
  <si>
    <t>Revolving Facility</t>
  </si>
  <si>
    <t>Amount Drawn</t>
  </si>
  <si>
    <t>Secured Debt</t>
  </si>
  <si>
    <t>Unsecured Debt</t>
  </si>
  <si>
    <t>Export Credit Facilities</t>
  </si>
  <si>
    <t>Total Debt</t>
  </si>
  <si>
    <t>Less: Short-Term Borrowings</t>
  </si>
  <si>
    <t>Less Short-Term Debt</t>
  </si>
  <si>
    <t>Total Long-Term Debt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</si>
  <si>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</si>
  <si>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</si>
  <si>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</si>
  <si>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</si>
  <si>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</si>
  <si>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</si>
  <si>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</si>
  <si>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</si>
  <si>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</si>
  <si>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</si>
  <si>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</si>
  <si>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</si>
  <si>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</si>
  <si>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</si>
  <si>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</si>
  <si>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</si>
  <si>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Carnival Corp</t>
  </si>
  <si>
    <t>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</si>
</sst>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#,##0.0000_);\(#,##0.0000\)"/>
    <numFmt numFmtId="167" formatCode="mm/dd/yy;@"/>
    <numFmt numFmtId="168" formatCode="#,##0.0"/>
    <numFmt numFmtId="169" formatCode="#,##0.0_);\(#,##0.0\)"/>
    <numFmt numFmtId="170" formatCode="#,##0.000_);\(#,##0.000\)"/>
  </numFmts>
  <fonts count="30" x14ac:knownFonts="1"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6"/>
      <color rgb="FFFF0000"/>
      <name val="Arial"/>
      <family val="2"/>
    </font>
    <font>
      <i/>
      <sz val="10"/>
      <color theme="0" tint="-0.499984740745262"/>
      <name val="Arial"/>
      <family val="2"/>
    </font>
    <font>
      <b/>
      <i/>
      <sz val="10"/>
      <color theme="0" tint="-0.499984740745262"/>
      <name val="Arial"/>
      <family val="2"/>
    </font>
    <font>
      <i/>
      <sz val="10"/>
      <color rgb="FF0000FF"/>
      <name val="Arial"/>
      <family val="2"/>
    </font>
    <font>
      <i/>
      <sz val="10"/>
      <name val="Arial"/>
      <family val="2"/>
    </font>
    <font>
      <i/>
      <sz val="10"/>
      <color rgb="FFC00000"/>
      <name val="Arial"/>
      <family val="2"/>
    </font>
    <font>
      <sz val="10"/>
      <color rgb="FF00B050"/>
      <name val="Arial"/>
      <family val="2"/>
    </font>
    <font>
      <i/>
      <sz val="10"/>
      <color rgb="FF00B050"/>
      <name val="Arial"/>
      <family val="2"/>
    </font>
    <font>
      <b/>
      <u/>
      <sz val="10"/>
      <name val="Arial"/>
      <family val="2"/>
    </font>
    <font>
      <i/>
      <sz val="10"/>
      <color indexed="12"/>
      <name val="Arial"/>
      <family val="2"/>
    </font>
    <font>
      <b/>
      <i/>
      <sz val="10"/>
      <color indexed="12"/>
      <name val="Arial"/>
      <family val="2"/>
    </font>
    <font>
      <sz val="10"/>
      <color rgb="FF0000FF"/>
      <name val="Arial"/>
      <family val="2"/>
    </font>
    <font>
      <sz val="10"/>
      <color theme="0" tint="-0.499984740745262"/>
      <name val="Arial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sz val="10"/>
      <color rgb="FFC00000"/>
      <name val="Arial"/>
      <family val="2"/>
    </font>
    <font>
      <b/>
      <sz val="10"/>
      <color rgb="FF0000FF"/>
      <name val="Arial"/>
      <family val="2"/>
    </font>
    <font>
      <sz val="10"/>
      <color rgb="FF0070C0"/>
      <name val="Arial"/>
      <family val="2"/>
    </font>
    <font>
      <b/>
      <sz val="10"/>
      <color rgb="FFC00000"/>
      <name val="Arial"/>
      <family val="2"/>
    </font>
    <font>
      <sz val="10"/>
      <color rgb="FF009900"/>
      <name val="Arial"/>
      <family val="2"/>
    </font>
    <font>
      <b/>
      <sz val="10"/>
      <color theme="0" tint="-0.499984740745262"/>
      <name val="Arial"/>
      <family val="2"/>
    </font>
    <font>
      <i/>
      <u/>
      <sz val="10"/>
      <name val="Arial"/>
      <family val="2"/>
    </font>
    <font>
      <sz val="10"/>
      <color rgb="FFFF0000"/>
      <name val="Arial"/>
      <family val="2"/>
    </font>
    <font>
      <sz val="10"/>
      <color rgb="FF3366FF"/>
      <name val="Arial"/>
      <family val="2"/>
    </font>
    <font>
      <i/>
      <sz val="10"/>
      <color rgb="FF3366FF"/>
      <name val="Arial"/>
      <family val="2"/>
    </font>
    <font>
      <b/>
      <sz val="10"/>
      <color rgb="FF3366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</cellStyleXfs>
  <cellXfs count="159">
    <xf numFmtId="0" fontId="0" fillId="0" borderId="0" xfId="0"/>
    <xf numFmtId="0" fontId="1" fillId="0" borderId="0" xfId="0" applyFont="1"/>
    <xf numFmtId="0" fontId="3" fillId="0" borderId="0" xfId="4" applyFont="1"/>
    <xf numFmtId="0" fontId="1" fillId="0" borderId="0" xfId="0" applyFont="1" applyAlignment="1">
      <alignment horizontal="center"/>
    </xf>
    <xf numFmtId="37" fontId="1" fillId="2" borderId="0" xfId="0" applyNumberFormat="1" applyFont="1" applyFill="1" applyAlignment="1">
      <alignment horizontal="center"/>
    </xf>
    <xf numFmtId="37" fontId="1" fillId="0" borderId="0" xfId="0" applyNumberFormat="1" applyFont="1" applyAlignment="1">
      <alignment horizontal="center"/>
    </xf>
    <xf numFmtId="9" fontId="1" fillId="0" borderId="0" xfId="3" applyFont="1" applyFill="1" applyBorder="1" applyAlignment="1">
      <alignment horizontal="center"/>
    </xf>
    <xf numFmtId="37" fontId="1" fillId="0" borderId="0" xfId="0" applyNumberFormat="1" applyFont="1"/>
    <xf numFmtId="0" fontId="1" fillId="0" borderId="0" xfId="4" applyFont="1"/>
    <xf numFmtId="164" fontId="1" fillId="0" borderId="0" xfId="3" applyNumberFormat="1" applyFont="1" applyFill="1" applyBorder="1" applyAlignment="1">
      <alignment horizontal="center"/>
    </xf>
    <xf numFmtId="165" fontId="1" fillId="0" borderId="0" xfId="1" applyNumberFormat="1" applyFont="1" applyFill="1" applyBorder="1" applyAlignment="1">
      <alignment horizontal="center"/>
    </xf>
    <xf numFmtId="43" fontId="1" fillId="0" borderId="0" xfId="1" applyFont="1" applyFill="1" applyBorder="1" applyAlignment="1">
      <alignment horizontal="center"/>
    </xf>
    <xf numFmtId="44" fontId="1" fillId="0" borderId="0" xfId="2" applyFont="1" applyFill="1" applyBorder="1" applyAlignment="1">
      <alignment horizontal="center"/>
    </xf>
    <xf numFmtId="39" fontId="1" fillId="0" borderId="0" xfId="0" applyNumberFormat="1" applyFont="1"/>
    <xf numFmtId="0" fontId="3" fillId="3" borderId="1" xfId="4" applyFont="1" applyFill="1" applyBorder="1"/>
    <xf numFmtId="0" fontId="3" fillId="3" borderId="2" xfId="4" applyFont="1" applyFill="1" applyBorder="1"/>
    <xf numFmtId="0" fontId="3" fillId="3" borderId="1" xfId="4" applyFont="1" applyFill="1" applyBorder="1" applyAlignment="1">
      <alignment horizontal="center"/>
    </xf>
    <xf numFmtId="0" fontId="3" fillId="3" borderId="2" xfId="4" applyFont="1" applyFill="1" applyBorder="1" applyAlignment="1">
      <alignment horizontal="center"/>
    </xf>
    <xf numFmtId="0" fontId="3" fillId="3" borderId="3" xfId="4" applyFont="1" applyFill="1" applyBorder="1" applyAlignment="1">
      <alignment horizontal="center"/>
    </xf>
    <xf numFmtId="0" fontId="3" fillId="3" borderId="4" xfId="4" applyFont="1" applyFill="1" applyBorder="1" applyAlignment="1">
      <alignment horizontal="center"/>
    </xf>
    <xf numFmtId="0" fontId="4" fillId="0" borderId="0" xfId="3" applyNumberFormat="1" applyFont="1" applyFill="1" applyBorder="1" applyAlignment="1">
      <alignment horizontal="left" indent="1"/>
    </xf>
    <xf numFmtId="0" fontId="5" fillId="0" borderId="0" xfId="4" applyFont="1"/>
    <xf numFmtId="0" fontId="5" fillId="3" borderId="1" xfId="4" applyFont="1" applyFill="1" applyBorder="1"/>
    <xf numFmtId="0" fontId="5" fillId="3" borderId="2" xfId="4" applyFont="1" applyFill="1" applyBorder="1"/>
    <xf numFmtId="167" fontId="5" fillId="3" borderId="1" xfId="4" applyNumberFormat="1" applyFont="1" applyFill="1" applyBorder="1" applyAlignment="1">
      <alignment horizontal="center"/>
    </xf>
    <xf numFmtId="167" fontId="5" fillId="3" borderId="2" xfId="4" applyNumberFormat="1" applyFont="1" applyFill="1" applyBorder="1" applyAlignment="1">
      <alignment horizontal="center"/>
    </xf>
    <xf numFmtId="167" fontId="5" fillId="3" borderId="3" xfId="4" applyNumberFormat="1" applyFont="1" applyFill="1" applyBorder="1" applyAlignment="1">
      <alignment horizontal="center"/>
    </xf>
    <xf numFmtId="167" fontId="5" fillId="3" borderId="4" xfId="4" applyNumberFormat="1" applyFont="1" applyFill="1" applyBorder="1" applyAlignment="1">
      <alignment horizontal="center"/>
    </xf>
    <xf numFmtId="9" fontId="6" fillId="0" borderId="0" xfId="4" applyNumberFormat="1" applyFont="1"/>
    <xf numFmtId="0" fontId="3" fillId="0" borderId="5" xfId="4" applyFont="1" applyBorder="1"/>
    <xf numFmtId="0" fontId="3" fillId="0" borderId="6" xfId="4" applyFont="1" applyBorder="1"/>
    <xf numFmtId="0" fontId="3" fillId="0" borderId="5" xfId="4" applyFont="1" applyBorder="1" applyAlignment="1">
      <alignment horizontal="center"/>
    </xf>
    <xf numFmtId="0" fontId="3" fillId="0" borderId="6" xfId="4" applyFont="1" applyBorder="1" applyAlignment="1">
      <alignment horizontal="center"/>
    </xf>
    <xf numFmtId="0" fontId="3" fillId="0" borderId="8" xfId="4" applyFont="1" applyBorder="1" applyAlignment="1">
      <alignment horizontal="center"/>
    </xf>
    <xf numFmtId="0" fontId="3" fillId="2" borderId="5" xfId="4" applyFont="1" applyFill="1" applyBorder="1" applyAlignment="1">
      <alignment horizontal="center"/>
    </xf>
    <xf numFmtId="0" fontId="3" fillId="2" borderId="6" xfId="4" applyFont="1" applyFill="1" applyBorder="1" applyAlignment="1">
      <alignment horizontal="center"/>
    </xf>
    <xf numFmtId="0" fontId="3" fillId="2" borderId="7" xfId="4" applyFont="1" applyFill="1" applyBorder="1" applyAlignment="1">
      <alignment horizontal="center"/>
    </xf>
    <xf numFmtId="0" fontId="3" fillId="0" borderId="9" xfId="4" applyFont="1" applyBorder="1"/>
    <xf numFmtId="0" fontId="3" fillId="0" borderId="11" xfId="4" applyFont="1" applyBorder="1" applyAlignment="1">
      <alignment horizontal="center"/>
    </xf>
    <xf numFmtId="0" fontId="3" fillId="2" borderId="0" xfId="4" applyFont="1" applyFill="1" applyAlignment="1">
      <alignment horizontal="center"/>
    </xf>
    <xf numFmtId="10" fontId="7" fillId="0" borderId="0" xfId="3" applyNumberFormat="1" applyFont="1" applyFill="1" applyAlignment="1">
      <alignment horizontal="center"/>
    </xf>
    <xf numFmtId="10" fontId="7" fillId="0" borderId="0" xfId="0" applyNumberFormat="1" applyFont="1" applyAlignment="1">
      <alignment horizontal="center"/>
    </xf>
    <xf numFmtId="10" fontId="8" fillId="0" borderId="11" xfId="0" applyNumberFormat="1" applyFont="1" applyBorder="1" applyAlignment="1">
      <alignment horizontal="center"/>
    </xf>
    <xf numFmtId="0" fontId="1" fillId="0" borderId="9" xfId="5" applyBorder="1"/>
    <xf numFmtId="0" fontId="10" fillId="0" borderId="0" xfId="5" applyFont="1"/>
    <xf numFmtId="10" fontId="11" fillId="0" borderId="0" xfId="0" applyNumberFormat="1" applyFont="1" applyAlignment="1">
      <alignment horizontal="center"/>
    </xf>
    <xf numFmtId="0" fontId="10" fillId="0" borderId="0" xfId="4" applyFont="1"/>
    <xf numFmtId="10" fontId="7" fillId="0" borderId="10" xfId="3" applyNumberFormat="1" applyFont="1" applyFill="1" applyBorder="1" applyAlignment="1">
      <alignment horizontal="center"/>
    </xf>
    <xf numFmtId="10" fontId="8" fillId="0" borderId="10" xfId="0" applyNumberFormat="1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10" fontId="8" fillId="0" borderId="0" xfId="0" applyNumberFormat="1" applyFont="1" applyAlignment="1">
      <alignment horizontal="center"/>
    </xf>
    <xf numFmtId="0" fontId="12" fillId="0" borderId="9" xfId="5" applyFont="1" applyBorder="1"/>
    <xf numFmtId="0" fontId="3" fillId="0" borderId="0" xfId="5" applyFont="1"/>
    <xf numFmtId="10" fontId="13" fillId="0" borderId="10" xfId="0" applyNumberFormat="1" applyFont="1" applyBorder="1" applyAlignment="1">
      <alignment horizontal="center"/>
    </xf>
    <xf numFmtId="10" fontId="14" fillId="0" borderId="9" xfId="0" applyNumberFormat="1" applyFont="1" applyBorder="1" applyAlignment="1">
      <alignment horizontal="center"/>
    </xf>
    <xf numFmtId="10" fontId="14" fillId="0" borderId="0" xfId="0" applyNumberFormat="1" applyFont="1" applyAlignment="1">
      <alignment horizontal="center"/>
    </xf>
    <xf numFmtId="10" fontId="14" fillId="0" borderId="10" xfId="0" applyNumberFormat="1" applyFont="1" applyBorder="1" applyAlignment="1">
      <alignment horizontal="center"/>
    </xf>
    <xf numFmtId="168" fontId="1" fillId="0" borderId="9" xfId="5" applyNumberFormat="1" applyBorder="1" applyAlignment="1">
      <alignment horizontal="left"/>
    </xf>
    <xf numFmtId="0" fontId="5" fillId="0" borderId="0" xfId="0" applyFont="1" applyAlignment="1">
      <alignment horizontal="left" indent="1"/>
    </xf>
    <xf numFmtId="168" fontId="15" fillId="0" borderId="0" xfId="5" quotePrefix="1" applyNumberFormat="1" applyFont="1" applyAlignment="1">
      <alignment horizontal="right"/>
    </xf>
    <xf numFmtId="37" fontId="3" fillId="0" borderId="0" xfId="4" applyNumberFormat="1" applyFont="1" applyAlignment="1">
      <alignment horizontal="center"/>
    </xf>
    <xf numFmtId="37" fontId="1" fillId="0" borderId="11" xfId="4" applyNumberFormat="1" applyFont="1" applyBorder="1" applyAlignment="1">
      <alignment horizontal="center"/>
    </xf>
    <xf numFmtId="37" fontId="1" fillId="0" borderId="0" xfId="4" applyNumberFormat="1" applyFont="1" applyAlignment="1">
      <alignment horizontal="center"/>
    </xf>
    <xf numFmtId="37" fontId="1" fillId="0" borderId="10" xfId="4" applyNumberFormat="1" applyFont="1" applyBorder="1" applyAlignment="1">
      <alignment horizontal="center"/>
    </xf>
    <xf numFmtId="37" fontId="15" fillId="0" borderId="0" xfId="4" applyNumberFormat="1" applyFont="1" applyAlignment="1">
      <alignment horizontal="center"/>
    </xf>
    <xf numFmtId="0" fontId="16" fillId="0" borderId="0" xfId="4" applyFont="1"/>
    <xf numFmtId="0" fontId="8" fillId="0" borderId="0" xfId="0" applyFont="1"/>
    <xf numFmtId="0" fontId="13" fillId="0" borderId="9" xfId="0" applyFont="1" applyBorder="1" applyAlignment="1">
      <alignment horizontal="left" indent="1"/>
    </xf>
    <xf numFmtId="168" fontId="17" fillId="0" borderId="0" xfId="5" applyNumberFormat="1" applyFont="1" applyAlignment="1">
      <alignment horizontal="left"/>
    </xf>
    <xf numFmtId="0" fontId="17" fillId="0" borderId="0" xfId="4" applyFont="1"/>
    <xf numFmtId="37" fontId="8" fillId="0" borderId="11" xfId="4" applyNumberFormat="1" applyFont="1" applyBorder="1" applyAlignment="1">
      <alignment horizontal="center"/>
    </xf>
    <xf numFmtId="37" fontId="8" fillId="0" borderId="0" xfId="4" applyNumberFormat="1" applyFont="1" applyAlignment="1">
      <alignment horizontal="center"/>
    </xf>
    <xf numFmtId="37" fontId="8" fillId="0" borderId="10" xfId="4" applyNumberFormat="1" applyFont="1" applyBorder="1" applyAlignment="1">
      <alignment horizontal="center"/>
    </xf>
    <xf numFmtId="37" fontId="17" fillId="0" borderId="0" xfId="4" applyNumberFormat="1" applyFont="1"/>
    <xf numFmtId="168" fontId="17" fillId="0" borderId="9" xfId="5" applyNumberFormat="1" applyFont="1" applyBorder="1" applyAlignment="1">
      <alignment horizontal="left"/>
    </xf>
    <xf numFmtId="9" fontId="1" fillId="0" borderId="0" xfId="3" applyFont="1" applyFill="1" applyBorder="1"/>
    <xf numFmtId="0" fontId="12" fillId="2" borderId="9" xfId="6" quotePrefix="1" applyFont="1" applyFill="1" applyBorder="1"/>
    <xf numFmtId="0" fontId="18" fillId="0" borderId="0" xfId="5" applyFont="1"/>
    <xf numFmtId="169" fontId="1" fillId="0" borderId="10" xfId="4" applyNumberFormat="1" applyFont="1" applyBorder="1" applyAlignment="1">
      <alignment horizontal="center"/>
    </xf>
    <xf numFmtId="169" fontId="1" fillId="0" borderId="9" xfId="4" applyNumberFormat="1" applyFont="1" applyBorder="1" applyAlignment="1">
      <alignment horizontal="center"/>
    </xf>
    <xf numFmtId="169" fontId="1" fillId="0" borderId="0" xfId="4" applyNumberFormat="1" applyFont="1" applyAlignment="1">
      <alignment horizontal="center"/>
    </xf>
    <xf numFmtId="169" fontId="1" fillId="0" borderId="11" xfId="4" applyNumberFormat="1" applyFont="1" applyBorder="1" applyAlignment="1">
      <alignment horizontal="center"/>
    </xf>
    <xf numFmtId="0" fontId="1" fillId="0" borderId="10" xfId="0" applyFont="1" applyBorder="1"/>
    <xf numFmtId="168" fontId="19" fillId="0" borderId="0" xfId="5" applyNumberFormat="1" applyFont="1" applyAlignment="1">
      <alignment horizontal="left"/>
    </xf>
    <xf numFmtId="168" fontId="3" fillId="0" borderId="0" xfId="5" applyNumberFormat="1" applyFont="1" applyAlignment="1">
      <alignment horizontal="left"/>
    </xf>
    <xf numFmtId="37" fontId="3" fillId="0" borderId="0" xfId="4" applyNumberFormat="1" applyFont="1"/>
    <xf numFmtId="37" fontId="3" fillId="0" borderId="10" xfId="4" applyNumberFormat="1" applyFont="1" applyBorder="1" applyAlignment="1">
      <alignment horizontal="center"/>
    </xf>
    <xf numFmtId="37" fontId="20" fillId="0" borderId="0" xfId="4" applyNumberFormat="1" applyFont="1" applyAlignment="1">
      <alignment horizontal="center"/>
    </xf>
    <xf numFmtId="168" fontId="21" fillId="0" borderId="9" xfId="5" applyNumberFormat="1" applyFont="1" applyBorder="1" applyAlignment="1">
      <alignment horizontal="left"/>
    </xf>
    <xf numFmtId="169" fontId="3" fillId="0" borderId="0" xfId="4" applyNumberFormat="1" applyFont="1"/>
    <xf numFmtId="164" fontId="1" fillId="0" borderId="0" xfId="3" applyNumberFormat="1" applyFont="1" applyFill="1" applyBorder="1"/>
    <xf numFmtId="168" fontId="19" fillId="0" borderId="9" xfId="5" applyNumberFormat="1" applyFont="1" applyBorder="1" applyAlignment="1">
      <alignment horizontal="left"/>
    </xf>
    <xf numFmtId="0" fontId="1" fillId="0" borderId="10" xfId="3" applyNumberFormat="1" applyFont="1" applyFill="1" applyBorder="1"/>
    <xf numFmtId="168" fontId="1" fillId="0" borderId="0" xfId="5" applyNumberFormat="1" applyAlignment="1">
      <alignment horizontal="left"/>
    </xf>
    <xf numFmtId="0" fontId="8" fillId="0" borderId="10" xfId="0" applyFont="1" applyBorder="1"/>
    <xf numFmtId="0" fontId="12" fillId="2" borderId="0" xfId="6" quotePrefix="1" applyFont="1" applyFill="1"/>
    <xf numFmtId="39" fontId="1" fillId="0" borderId="10" xfId="0" applyNumberFormat="1" applyFont="1" applyBorder="1"/>
    <xf numFmtId="7" fontId="22" fillId="0" borderId="10" xfId="0" applyNumberFormat="1" applyFont="1" applyBorder="1"/>
    <xf numFmtId="168" fontId="23" fillId="0" borderId="0" xfId="5" applyNumberFormat="1" applyFont="1" applyAlignment="1">
      <alignment horizontal="left"/>
    </xf>
    <xf numFmtId="7" fontId="1" fillId="0" borderId="10" xfId="0" applyNumberFormat="1" applyFont="1" applyBorder="1"/>
    <xf numFmtId="0" fontId="3" fillId="0" borderId="10" xfId="0" applyFont="1" applyBorder="1"/>
    <xf numFmtId="0" fontId="1" fillId="0" borderId="10" xfId="4" applyFont="1" applyBorder="1"/>
    <xf numFmtId="0" fontId="24" fillId="0" borderId="0" xfId="4" applyFont="1"/>
    <xf numFmtId="0" fontId="12" fillId="0" borderId="0" xfId="5" applyFont="1"/>
    <xf numFmtId="0" fontId="25" fillId="0" borderId="0" xfId="5" applyFont="1"/>
    <xf numFmtId="0" fontId="1" fillId="0" borderId="0" xfId="5"/>
    <xf numFmtId="37" fontId="1" fillId="0" borderId="0" xfId="4" applyNumberFormat="1" applyFont="1"/>
    <xf numFmtId="168" fontId="26" fillId="0" borderId="0" xfId="5" applyNumberFormat="1" applyFont="1" applyAlignment="1">
      <alignment horizontal="left"/>
    </xf>
    <xf numFmtId="37" fontId="17" fillId="0" borderId="10" xfId="4" applyNumberFormat="1" applyFont="1" applyBorder="1" applyAlignment="1">
      <alignment horizontal="center"/>
    </xf>
    <xf numFmtId="0" fontId="26" fillId="0" borderId="0" xfId="4" applyFont="1"/>
    <xf numFmtId="0" fontId="3" fillId="0" borderId="6" xfId="6" applyFont="1" applyBorder="1"/>
    <xf numFmtId="0" fontId="3" fillId="0" borderId="6" xfId="0" applyFont="1" applyBorder="1" applyAlignment="1">
      <alignment horizontal="center"/>
    </xf>
    <xf numFmtId="37" fontId="3" fillId="2" borderId="6" xfId="4" applyNumberFormat="1" applyFont="1" applyFill="1" applyBorder="1" applyAlignment="1">
      <alignment horizontal="center"/>
    </xf>
    <xf numFmtId="37" fontId="3" fillId="2" borderId="8" xfId="4" applyNumberFormat="1" applyFont="1" applyFill="1" applyBorder="1" applyAlignment="1">
      <alignment horizontal="center"/>
    </xf>
    <xf numFmtId="3" fontId="3" fillId="0" borderId="0" xfId="0" applyNumberFormat="1" applyFont="1"/>
    <xf numFmtId="0" fontId="3" fillId="0" borderId="0" xfId="0" applyFont="1"/>
    <xf numFmtId="0" fontId="1" fillId="0" borderId="0" xfId="6" applyFont="1"/>
    <xf numFmtId="37" fontId="1" fillId="2" borderId="0" xfId="4" applyNumberFormat="1" applyFont="1" applyFill="1" applyAlignment="1">
      <alignment horizontal="center"/>
    </xf>
    <xf numFmtId="3" fontId="1" fillId="0" borderId="0" xfId="0" applyNumberFormat="1" applyFont="1"/>
    <xf numFmtId="0" fontId="3" fillId="0" borderId="5" xfId="6" applyFont="1" applyBorder="1"/>
    <xf numFmtId="164" fontId="9" fillId="0" borderId="0" xfId="3" applyNumberFormat="1" applyFont="1" applyFill="1" applyBorder="1" applyAlignment="1"/>
    <xf numFmtId="0" fontId="19" fillId="0" borderId="0" xfId="3" applyNumberFormat="1" applyFont="1" applyFill="1" applyBorder="1"/>
    <xf numFmtId="0" fontId="1" fillId="2" borderId="0" xfId="6" quotePrefix="1" applyFont="1" applyFill="1"/>
    <xf numFmtId="164" fontId="8" fillId="0" borderId="0" xfId="3" applyNumberFormat="1" applyFont="1" applyFill="1" applyBorder="1" applyAlignment="1"/>
    <xf numFmtId="3" fontId="8" fillId="0" borderId="0" xfId="4" applyNumberFormat="1" applyFont="1" applyAlignment="1">
      <alignment horizontal="center"/>
    </xf>
    <xf numFmtId="3" fontId="8" fillId="0" borderId="11" xfId="4" applyNumberFormat="1" applyFont="1" applyBorder="1" applyAlignment="1">
      <alignment horizontal="center"/>
    </xf>
    <xf numFmtId="0" fontId="1" fillId="0" borderId="0" xfId="3" applyNumberFormat="1" applyFont="1" applyFill="1" applyBorder="1"/>
    <xf numFmtId="0" fontId="22" fillId="0" borderId="0" xfId="0" applyFont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16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70" fontId="1" fillId="0" borderId="0" xfId="0" applyNumberFormat="1" applyFont="1"/>
    <xf numFmtId="166" fontId="1" fillId="0" borderId="0" xfId="3" applyNumberFormat="1" applyFont="1" applyFill="1" applyBorder="1"/>
    <xf numFmtId="37" fontId="10" fillId="0" borderId="0" xfId="3" applyNumberFormat="1" applyFont="1" applyFill="1" applyBorder="1"/>
    <xf numFmtId="0" fontId="3" fillId="0" borderId="0" xfId="3" applyNumberFormat="1" applyFont="1" applyFill="1" applyBorder="1"/>
    <xf numFmtId="37" fontId="27" fillId="2" borderId="0" xfId="4" applyNumberFormat="1" applyFont="1" applyFill="1" applyAlignment="1">
      <alignment horizontal="center"/>
    </xf>
    <xf numFmtId="37" fontId="27" fillId="0" borderId="0" xfId="4" applyNumberFormat="1" applyFont="1" applyAlignment="1">
      <alignment horizontal="center"/>
    </xf>
    <xf numFmtId="37" fontId="27" fillId="0" borderId="10" xfId="4" applyNumberFormat="1" applyFont="1" applyBorder="1" applyAlignment="1">
      <alignment horizontal="center"/>
    </xf>
    <xf numFmtId="37" fontId="28" fillId="0" borderId="0" xfId="4" applyNumberFormat="1" applyFont="1" applyAlignment="1">
      <alignment horizontal="center"/>
    </xf>
    <xf numFmtId="37" fontId="28" fillId="0" borderId="10" xfId="4" applyNumberFormat="1" applyFont="1" applyBorder="1" applyAlignment="1">
      <alignment horizontal="center"/>
    </xf>
    <xf numFmtId="169" fontId="27" fillId="0" borderId="0" xfId="4" applyNumberFormat="1" applyFont="1" applyAlignment="1">
      <alignment horizontal="center"/>
    </xf>
    <xf numFmtId="169" fontId="27" fillId="0" borderId="10" xfId="4" applyNumberFormat="1" applyFont="1" applyBorder="1" applyAlignment="1">
      <alignment horizontal="center"/>
    </xf>
    <xf numFmtId="37" fontId="29" fillId="0" borderId="0" xfId="4" applyNumberFormat="1" applyFont="1" applyAlignment="1">
      <alignment horizontal="center"/>
    </xf>
    <xf numFmtId="37" fontId="29" fillId="0" borderId="10" xfId="4" applyNumberFormat="1" applyFont="1" applyBorder="1" applyAlignment="1">
      <alignment horizontal="center"/>
    </xf>
    <xf numFmtId="37" fontId="27" fillId="0" borderId="12" xfId="4" applyNumberFormat="1" applyFont="1" applyBorder="1" applyAlignment="1">
      <alignment horizontal="center"/>
    </xf>
    <xf numFmtId="169" fontId="27" fillId="0" borderId="9" xfId="4" applyNumberFormat="1" applyFont="1" applyBorder="1" applyAlignment="1">
      <alignment horizontal="center"/>
    </xf>
    <xf numFmtId="0" fontId="8" fillId="0" borderId="0" xfId="4" applyFont="1"/>
    <xf numFmtId="10" fontId="28" fillId="0" borderId="0" xfId="3" applyNumberFormat="1" applyFont="1" applyFill="1" applyAlignment="1">
      <alignment horizontal="center"/>
    </xf>
    <xf numFmtId="10" fontId="28" fillId="0" borderId="0" xfId="0" applyNumberFormat="1" applyFont="1" applyAlignment="1">
      <alignment horizontal="center"/>
    </xf>
    <xf numFmtId="10" fontId="28" fillId="0" borderId="10" xfId="3" applyNumberFormat="1" applyFont="1" applyFill="1" applyBorder="1" applyAlignment="1">
      <alignment horizontal="center"/>
    </xf>
    <xf numFmtId="0" fontId="29" fillId="0" borderId="0" xfId="4" applyFont="1" applyAlignment="1">
      <alignment horizontal="center"/>
    </xf>
    <xf numFmtId="2" fontId="28" fillId="0" borderId="0" xfId="3" applyNumberFormat="1" applyFont="1" applyFill="1" applyAlignment="1">
      <alignment horizontal="center"/>
    </xf>
    <xf numFmtId="2" fontId="28" fillId="0" borderId="0" xfId="0" applyNumberFormat="1" applyFont="1" applyAlignment="1">
      <alignment horizontal="center"/>
    </xf>
    <xf numFmtId="10" fontId="28" fillId="0" borderId="9" xfId="0" applyNumberFormat="1" applyFont="1" applyBorder="1" applyAlignment="1">
      <alignment horizontal="center"/>
    </xf>
    <xf numFmtId="2" fontId="28" fillId="0" borderId="9" xfId="0" applyNumberFormat="1" applyFont="1" applyBorder="1" applyAlignment="1">
      <alignment horizontal="center"/>
    </xf>
    <xf numFmtId="37" fontId="1" fillId="2" borderId="11" xfId="4" applyNumberFormat="1" applyFont="1" applyFill="1" applyBorder="1" applyAlignment="1">
      <alignment horizontal="center"/>
    </xf>
    <xf numFmtId="0" fontId="17" fillId="0" borderId="0" xfId="5" applyFont="1" applyAlignment="1">
      <alignment horizontal="center"/>
    </xf>
  </cellXfs>
  <cellStyles count="7">
    <cellStyle name="Comma" xfId="1" builtinId="3"/>
    <cellStyle name="Currency" xfId="2" builtinId="4"/>
    <cellStyle name="Normal" xfId="0" builtinId="0"/>
    <cellStyle name="Normal_Actual Revs-Earnings Model  (2)_1" xfId="5" xr:uid="{381980C5-8017-454A-8315-7A9E5AF09733}"/>
    <cellStyle name="Normal_BYD" xfId="6" xr:uid="{1F960B96-AE58-BF42-92D9-70891E9F1C65}"/>
    <cellStyle name="Normal_PRHTREEUnits" xfId="4" xr:uid="{C3B07265-8A19-5B4E-916D-869105E16F3D}"/>
    <cellStyle name="Percent" xfId="3" builtinId="5"/>
  </cellStyles>
  <dxfs count="0"/>
  <tableStyles count="0" defaultTableStyle="TableStyleMedium2" defaultPivotStyle="PivotStyleLight16"/>
  <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103" Type="http://schemas.openxmlformats.org/officeDocument/2006/relationships/calcChain" Target="calcChain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rch\HAND1&amp;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_FoodDrug\Models\Other%20Models\Delhaize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%20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Lodging%20Econometrics\Beige%20Book%20Files\Monthly%20Reports\May%202003%20\BEAR%20STEARNS\Yosemite%20SharedDesktop%20Folder\Lodging%20Econometrics\Sales%20Comp%20Information\Excel%20Files\REIT%20D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%20Folder\Corporate%20Reports\Lodging%20Econometrics\Sales%20Comp%20Information\Excel%20Files\MSTRDB1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Lodging%20Econometrics\Lodging%20Econometrics\Beige%20Book%20Files\Q2%202004%20Margarita%20Book\BEAR%20STEARNS\Yosemite%20SharedDesktop%20Folder\Lodging%20Econometrics\Sales%20Comp%20Information\Excel%20Files\REIT%20DB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TEMP\CVS_Model_CLewi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\EQRES\Equity%20Research\Shishir\noelle's\Companies\Tommy\To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roadlines%20Retailing\Macro\Final%20Econ%20Dat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TAIL\HARDLINE\C%20E\Industry\Economic%20Da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naeast.ad.jpmorganchase.com/amerib$/Retail_FoodDrug/Reports/Initiation/Tables/Drug%20Retailing/GD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GSRXL.xla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Sales%20Comps%20Charts\2002%20Sales%20Charts\2Q%2002%20Sales\2Q02%20Sales%20Chart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SURE\Giordano\Met\Model\Met2000-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inpres99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sumer_Small%20Cap\Home%20Furniture\FBN\FB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UILDING\Furniture\Ethan%20Allen\ETH%2007_31_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fgpny-fsvr02/FulcrumResearch/JGreff/New%20Shared%20Drive/Gaming%20Industry/ASCA/Model/ASCA%20Mode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NYEQDCL2_RESDATA_SERVER/RESDATA/Tunick/AEOS/AEOSQT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549235\Desktop\We%20made%20too%20much%20pricing%20-%2010.19.2016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ACC%20Research\Greff\New%20Shared%20Drive\Gaming%20Industry\AZR\Model\AZR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UILDING\MODELS\Hb\CTX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ILDING\MODELS\Hb\LE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%20Folder\Corporate%20Reports\Lodging%20Econometrics\Beige%20Book%20Excel%20Charts\Lodging%20Econometric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%20Folder\Corporate%20Reports\Lodging%20Econometrics\Sales%20Comp%20Information\Excel%20Files\1991-1995%20Sale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Beige%20Book%20Files\reference%20charts\Top%2025%20Markets-National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EISURE\Ivankoe\models\ASSTRAI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Home\Book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\shcomeae\REPORTS\DUANEREA\Relative%20valuatio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Beige%20Book%20Files\Q4%202001%20Purple%20Book\Pivots\Pivot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Paula's%20HDDesktop%20Folder\Park%20Inn\Hote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XTILE\Quiksilver\Models\ZQK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fgpny-fsvr02/FulcrumResearch/CONSUMER/GAMING/IN_PRES/inpres99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unick\YCC\YCC_Qtr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ter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rthur--working\Administrative%20&amp;%20Misc\Sent%20to%20Website\EQ2000--08we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Lodging%20Models\Current%20Published\FS%20Model%2011-11-9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Models\In%20Progress\FS\FS%20Model%2009-13-99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871888\Local%20Settings\Temp\c.data.u871888.notes_cdi\~450291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\EQRES\Equity%20Research\Shishir\noelle's\Companies\Columbia\Columbia_Ispeed_template_noell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odels-Start\CV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C.Program%20Files.Notedat5\~064997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_FoodDrug\Models\Ecker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CHH\Models\Relaunch%20Drafts\LodgingRelaunchCharts_KM_2004.12.1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333313\Local%20Settings\Temp\c.data.u333313.notes_cdi\Tom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E%20Sales%20Presentation%20Sample\3Q%2001%20Samples\Samples%20Chapter%205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Paula's%20HDLodging%20Econometrics\Lodging%20Econometrics\Beige%20Book%20Files\Q3%202001%20Orange%20Book\CL,BS,DKW%20%20COMPANY%20REPORT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CKUP\Chris\Analyst%20Information\Information%20Packet\Historic%20Comp%20Sales%20Figures%20-%20Monthly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gpny-fsvr02/FulcrumResearch/USERS/AACC%20Research/Greff/New%20Shared%20Drive/Lodging%20Industry/FS/Model/F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3%202001%20Orange%20Book\Q3%20Projects\Devp%20Q3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C.Program%20Files.Notedat5\Archives\Fleming\Simrell%20Report%20April%20200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Beige%20Book%20Files\1999,%20Q2%20BT%20Alex%20Deutsche\BT%20Q299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Nyp17w2/sys2/GAMING/IN_PRES/INPRES99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SUMER\GAMING\IN_PRES\inpres99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VIN%20GRAINGER\Local%20Settings\Temporary%20Internet%20Files\OLK5F\RBK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Paula's%20HDDesktop%20Folder\Devp%201999%20Q1%20LE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3%202001%20Orange%20Book\MARKET%20TREND%20REPORTS\PIVOT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1%202002%20Green%20Book\GENERAL%20STUFF\q1%20prelim%20package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4%202001%20Purple%20Book\%20%20%20Lead%20Charts\top%20companie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3%202000%20Beige%20Book/Marriott%203q%2000/Marriott%2011/00%20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4%202001%20Purple%20Book\Pivots\Pivot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Beige%20Book%20Files\Q4%202000%20Beige%20Book\CREDIT%20LYONNAIS\CL%204q%2000%20%232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3%202000%20Beige%20Book/top%20companies-not%20marriott/CENDANT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reference%20charts/Top%2010%20Companie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1%202002%20Green%20Book\MARKET%20TREND%20REPORTS\PIVOT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Projects%20Files\1997-3q01%20ALL%20OPEN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1%202001%20Beige%20Book/DRILLDOWNS/Marriott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1%202002%20Green%20Book\%20%20Guidance%20Memo%20Charts\Conversion%20Lead%20Charts%201Q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1%202001%20Beige%20Book/Cendant/Cendant%201q%2001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Zip%20100reference%20charts\openings\starts\historical%20open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1%202001%20Beige%20Book/top%2025%20markets/PIVOT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1%202002%20Green%20Book\%20%20Guidance%20Memo%20Charts\Guidance%20Chart%201Q%2002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E%20Sales%20Presentation%20Sample\Quarterly%20Sample%20Books\3Q%2001%20Samples\Samples%20Chapter%202-q3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1%202001%20Beige%20Book/top%2025%20markets/LE,%20HPT,%20CORNERSTONE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3%202000%20Beige%20Book/Cendant/Cendan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eq-rsrch-nt1/spec_retail/HANDOUT/New&amp;Impr_estsheet00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E%20Sales%20Presentation%20Sample\1Q01%20Samples\Excel%20Sample%201Q01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\Analysts\Keiser\European%20Charts\Stats%20update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Lodging%20EconometricsLodging%20Econometrics\Beige%20Book%20Files\Q3%202000%20Beige%20Book\Q3%20projects\Devp%20Q3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2%202001%20Beige%20Book/LE%20Sales%20Presentation%202Q01/Top%20Cos%20v2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4%202000%20Beige%20Book/Marriott/Marriott%204q%2000%20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E%20Sales%20Presentation%20Sample\Quarterly%20Sample%20Books\2001%20Samples\3Q%2001%20Samples\Samples%20Chapter%202-q3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4%202000%20Beige%20Book/DRILLDOWNS/Marriott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Macintosh%20HDbackups%20of%20big%20time%20stuff\Q1%202001%20Beige%20Book\top%2025%20markets\PIVOT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1%202002%20Green%20Book\Pivots\Pivot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Rent-Way%20Pro%20Forma%20Spread%2011-08-99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Beige%20Book%20Files\Q3%202001%20Orange%20Book\DRILLDOWNS\PIVOT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VS-Q%20(old)%20(2)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%20Econometrics\Lodging%20Econometrics\Beige%20Book%20Files\Q2%202001%20Beige%20Book\CREDIT%20LYONNAIS\CL%202q%2001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dging\Lodging%20Models%20(Old)\Current%20Published\PDQ%20current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lsheet\2001%20Fiscal%20Year\0009\Closing\StmtOpResultsP9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1m/Library/Group%20Containers/UBF8T346G9.Office/User%20Content.localized/Startup.localized/Excel/Beige%20Book%20Files/Q3%202000%20Beige%20Book/Brand%20Census%20from%20DBAB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PaulEDITOR\bscsegments\1999\%201Q99%20Chronicle\LE%20folder\Paula's%20HDDesktop%20Folder\Devp%201999%20Q1%20LE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Shared%20Drive\Lodging%20Industry\Industry\Notes\2006\Reports\NAV%20May%202006\NAV%20Report%20Previous\Zip%20100Lodging%20Econometrics\Beige%20Book%20Files\Q2%202000%20Beige%20Book\BEAR%20STEARNS\BS%20Q2%2000%20no-msa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fgpny-fsvr02/FulcrumResearch/JGreff/New%20Shared%20Drive/Gaming%20Industry/STN/Model/STN%20Mode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Nyp6w8/sys2/CONSUMER/GAMING/IN_PRES/Inpres99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uff\New%20ANF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_EC- 2000"/>
      <sheetName val="D_EC- 2000_Old"/>
      <sheetName val="D_EC-"/>
      <sheetName val="Presentation"/>
      <sheetName val="Drug"/>
      <sheetName val="Historical"/>
      <sheetName val="Module1"/>
      <sheetName val="Module2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Valuation DCF"/>
      <sheetName val="IS"/>
      <sheetName val="LBO"/>
      <sheetName val="Sheet1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BC"/>
      <sheetName val="Ann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 Analysis"/>
      <sheetName val="Impact model"/>
      <sheetName val="Synergy DCF"/>
      <sheetName val="Inputs"/>
      <sheetName val="Long-Term Care Comps"/>
      <sheetName val="Nicks excl B&amp;C"/>
      <sheetName val="V1B"/>
      <sheetName val="V1C"/>
      <sheetName val="Nicks"/>
      <sheetName val="Stock"/>
      <sheetName val="lbo-sum"/>
      <sheetName val="18"/>
      <sheetName val="Scenarios"/>
      <sheetName val="PXMODEL"/>
      <sheetName val="Existing cap structure"/>
      <sheetName val="Edge 10797 Drilling Inventory"/>
      <sheetName val="2 YR Reg"/>
      <sheetName val="Transaction"/>
      <sheetName val="SHTCOMPS"/>
      <sheetName val="BELO Cash Flow"/>
      <sheetName val="FxdChg"/>
      <sheetName val="Transaction Summary"/>
      <sheetName val="DCF"/>
      <sheetName val="Magen_x0005_G"/>
      <sheetName val="Tab#1 Dispositions"/>
      <sheetName val="RCN-Building - Office"/>
      <sheetName val="Roundy's Projection Model"/>
      <sheetName val="Summary #2 wo CLSC"/>
      <sheetName val="Insight"/>
      <sheetName val="Link"/>
      <sheetName val="Rollforward"/>
      <sheetName val="Rev. Royalty Sch. + Proj."/>
      <sheetName val="Results from Nov 98"/>
      <sheetName val="1994 PE Dots"/>
      <sheetName val="Detail By Dept"/>
      <sheetName val="Actuals"/>
      <sheetName val="1098 loc"/>
      <sheetName val="Ref"/>
      <sheetName val="PremiumsInputs"/>
      <sheetName val="AACLIENT"/>
      <sheetName val="Company summary items"/>
      <sheetName val="Dashboard"/>
      <sheetName val="Cash Work"/>
      <sheetName val="#REF"/>
      <sheetName val="Preamble"/>
      <sheetName val="Revenue Sum"/>
      <sheetName val="Accretion Analysis"/>
      <sheetName val="Rev Sen"/>
      <sheetName val="Internet IS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ensetivities"/>
      <sheetName val="Model"/>
      <sheetName val="financials"/>
      <sheetName val="p"/>
      <sheetName val="Summary"/>
      <sheetName val="Switchboard"/>
      <sheetName val="Deal Summary"/>
      <sheetName val="proptax97"/>
      <sheetName val="PERF_INCENTIVE"/>
      <sheetName val="Comp Inputs"/>
      <sheetName val="InvestorSum"/>
      <sheetName val="Moodys"/>
      <sheetName val="Expenses"/>
      <sheetName val="Master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Input Page"/>
      <sheetName val="pg 2    1997 Mthly Forecast"/>
      <sheetName val="Cashflow Model"/>
      <sheetName val="Consolidated"/>
      <sheetName val="BILL"/>
      <sheetName val="Cntmrs-Recruit"/>
      <sheetName val="Returns"/>
      <sheetName val="Prices"/>
      <sheetName val="Exh A-6"/>
      <sheetName val="Exh A-1"/>
      <sheetName val="Exh A-4"/>
      <sheetName val="Exh A-8"/>
      <sheetName val="Exh A-3"/>
      <sheetName val="Exh A-5"/>
      <sheetName val="Exh A-2"/>
      <sheetName val="BI-POLAR"/>
      <sheetName val="KION - RE Value Summary"/>
      <sheetName val="Data Validation"/>
      <sheetName val="Size_Growth_Adj"/>
      <sheetName val="AcqBS"/>
      <sheetName val="qtrfcst"/>
      <sheetName val="LCGRAPH"/>
      <sheetName val="synthgraph"/>
      <sheetName val="Budget after Changes"/>
      <sheetName val="WACC"/>
      <sheetName val="Acquiror"/>
      <sheetName val="INV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y Out 2"/>
      <sheetName val="&lt;EuroCF&gt;"/>
      <sheetName val="Valuation Charts "/>
      <sheetName val="forex"/>
      <sheetName val="FDLN&amp;HRD Annual Used"/>
      <sheetName val="000 eur"/>
      <sheetName val="Delhaize America"/>
      <sheetName val="SuperDiscount"/>
      <sheetName val="Delvita"/>
      <sheetName val="Alfa Beta"/>
      <sheetName val="Delhaize Belgium"/>
      <sheetName val="P.G. Group"/>
      <sheetName val="Others (Asia)"/>
      <sheetName val="Mega Image"/>
      <sheetName val="Old Spreadsheet"/>
      <sheetName val="Goodwill"/>
      <sheetName val="Capex"/>
      <sheetName val="Div Quarterlies as reported"/>
      <sheetName val="(e)Spreadsheet"/>
      <sheetName val="Template"/>
      <sheetName val="DCF"/>
      <sheetName val="Minority interest"/>
      <sheetName val="FL_Quarterly"/>
      <sheetName val="Summary"/>
      <sheetName val="(e)Summary"/>
      <sheetName val="Datastream"/>
      <sheetName val="Roci"/>
      <sheetName val="(e)Roci"/>
      <sheetName val="WACC"/>
      <sheetName val="EVA"/>
      <sheetName val="Valuation ex-Food Lion"/>
      <sheetName val="CVS-Q (old) (2)"/>
      <sheetName val="Base Data"/>
      <sheetName val="Quarterly GDP"/>
      <sheetName val="Semi GDP"/>
      <sheetName val="(3) Personal Income"/>
      <sheetName val="(3) Savings Rate-Q"/>
      <sheetName val="(2) Consumer Sentiment"/>
    </sheetNames>
    <sheetDataSet>
      <sheetData sheetId="0"/>
      <sheetData sheetId="1" refreshError="1">
        <row r="18">
          <cell r="B18">
            <v>2.4789352477323941E-2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4">
          <cell r="O4">
            <v>92.02131700000001</v>
          </cell>
        </row>
        <row r="5">
          <cell r="N5">
            <v>3855.7111996666667</v>
          </cell>
        </row>
        <row r="6">
          <cell r="N6">
            <v>4736.4014501528709</v>
          </cell>
        </row>
        <row r="7">
          <cell r="N7">
            <v>8592.1126498195372</v>
          </cell>
        </row>
      </sheetData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2"/>
      <sheetName val="Notes"/>
      <sheetName val="Lookups"/>
      <sheetName val="Q2 99 Projects"/>
      <sheetName val="Pivots"/>
      <sheetName val="LE Brand Chart"/>
      <sheetName val="All C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</sheetNames>
    <sheetDataSet>
      <sheetData sheetId="0" refreshError="1">
        <row r="1">
          <cell r="A1" t="str">
            <v>source</v>
          </cell>
          <cell r="C1" t="str">
            <v>Name</v>
          </cell>
          <cell r="D1" t="str">
            <v>Addr</v>
          </cell>
          <cell r="E1" t="str">
            <v>City</v>
          </cell>
          <cell r="H1" t="str">
            <v>Rooms</v>
          </cell>
          <cell r="J1" t="str">
            <v>Date Sold</v>
          </cell>
          <cell r="L1" t="str">
            <v>Qtr</v>
          </cell>
          <cell r="M1" t="str">
            <v>Yr</v>
          </cell>
          <cell r="N1" t="str">
            <v>FB</v>
          </cell>
          <cell r="O1" t="str">
            <v>All Ste</v>
          </cell>
          <cell r="P1" t="str">
            <v>Franch Code</v>
          </cell>
          <cell r="Q1" t="str">
            <v>Franchise Name</v>
          </cell>
          <cell r="R1" t="str">
            <v>Market Segment</v>
          </cell>
          <cell r="T1" t="str">
            <v>name change</v>
          </cell>
          <cell r="U1" t="str">
            <v>Leasehold</v>
          </cell>
          <cell r="V1" t="str">
            <v>Lease type</v>
          </cell>
          <cell r="W1" t="str">
            <v>other RE</v>
          </cell>
          <cell r="X1" t="str">
            <v>open?</v>
          </cell>
          <cell r="Y1" t="str">
            <v>still a hotel</v>
          </cell>
          <cell r="Z1" t="str">
            <v>part owner</v>
          </cell>
          <cell r="AA1" t="str">
            <v>large city</v>
          </cell>
          <cell r="AB1" t="str">
            <v>city proximity</v>
          </cell>
          <cell r="AC1" t="str">
            <v>package deal</v>
          </cell>
          <cell r="AE1" t="str">
            <v>5 Region</v>
          </cell>
          <cell r="AF1" t="str">
            <v>Not  Top 40</v>
          </cell>
          <cell r="AG1" t="str">
            <v>Other</v>
          </cell>
          <cell r="AI1" t="str">
            <v>By Svc Type</v>
          </cell>
          <cell r="AJ1" t="str">
            <v>Master</v>
          </cell>
          <cell r="AK1" t="str">
            <v>Buyer name</v>
          </cell>
          <cell r="AL1" t="str">
            <v>Seller name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-Summary"/>
      <sheetName val="BalanceSheet"/>
      <sheetName val="Cash Flow"/>
      <sheetName val="DCF - EVA"/>
      <sheetName val="ROI"/>
      <sheetName val="Ratio Analysis"/>
      <sheetName val="Income-Segment"/>
      <sheetName val="Inc.-Qtr Var Analysis"/>
      <sheetName val="Geographic- Breakdown"/>
      <sheetName val="Free Cash Flow"/>
      <sheetName val="Depreciation Schedule"/>
      <sheetName val="Restructuring"/>
      <sheetName val="SAP"/>
      <sheetName val="Valuation"/>
      <sheetName val=" Segment Growth Trends"/>
      <sheetName val="MainCode"/>
      <sheetName val="ISBS"/>
      <sheetName val="input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Acquisition"/>
      <sheetName val="Pro Forma Sales"/>
      <sheetName val="Sales Analysis"/>
      <sheetName val="2001 Quar GM"/>
      <sheetName val="2000 Quar GM"/>
      <sheetName val="Summary Model"/>
      <sheetName val="2004 Quarterly Model "/>
      <sheetName val="2003 Quarterly Model"/>
      <sheetName val="2002 Quarterly Model"/>
      <sheetName val="2001 Quarterly Model"/>
      <sheetName val="PF Quarterly Model "/>
      <sheetName val="Quarterly Model"/>
      <sheetName val="1999 Quar GM"/>
      <sheetName val="ROIC"/>
      <sheetName val="Marketing Template"/>
      <sheetName val="Rpt Tables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SumSheet"/>
      <sheetName val="IncStat(PctofSales)"/>
      <sheetName val="Storage"/>
      <sheetName val="ValuationSummary"/>
      <sheetName val="Valuation"/>
      <sheetName val="ValuationInput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T_CFM"/>
      <sheetName val="Mobility"/>
      <sheetName val="Summary"/>
      <sheetName val="(e)Summary"/>
      <sheetName val="&lt;EuroCF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C1" t="str">
            <v>Tommy Hilfiger</v>
          </cell>
        </row>
        <row r="8">
          <cell r="F8">
            <v>12</v>
          </cell>
        </row>
        <row r="9">
          <cell r="F9">
            <v>1993</v>
          </cell>
        </row>
        <row r="10">
          <cell r="F10">
            <v>3</v>
          </cell>
        </row>
        <row r="17">
          <cell r="C17" t="str">
            <v>International Speed 97 version 4.0c   July 2000</v>
          </cell>
          <cell r="F17">
            <v>34059</v>
          </cell>
        </row>
        <row r="419">
          <cell r="B419">
            <v>0</v>
          </cell>
        </row>
        <row r="429">
          <cell r="B429" t="b">
            <v>0</v>
          </cell>
        </row>
        <row r="431">
          <cell r="B431" t="b">
            <v>0</v>
          </cell>
        </row>
        <row r="433">
          <cell r="B433" t="b">
            <v>0</v>
          </cell>
        </row>
        <row r="435">
          <cell r="B435" t="b">
            <v>0</v>
          </cell>
        </row>
        <row r="437">
          <cell r="B437">
            <v>2</v>
          </cell>
        </row>
        <row r="439">
          <cell r="B439" t="b">
            <v>0</v>
          </cell>
        </row>
        <row r="443">
          <cell r="B443">
            <v>6</v>
          </cell>
        </row>
        <row r="445">
          <cell r="B445" t="b">
            <v>0</v>
          </cell>
        </row>
        <row r="446">
          <cell r="D446">
            <v>2</v>
          </cell>
        </row>
        <row r="447">
          <cell r="D447">
            <v>1</v>
          </cell>
        </row>
        <row r="450">
          <cell r="D450">
            <v>2</v>
          </cell>
        </row>
        <row r="451">
          <cell r="D451">
            <v>1</v>
          </cell>
        </row>
        <row r="473">
          <cell r="C473">
            <v>2</v>
          </cell>
        </row>
        <row r="474">
          <cell r="C474">
            <v>2</v>
          </cell>
        </row>
        <row r="475">
          <cell r="C475">
            <v>2</v>
          </cell>
        </row>
        <row r="476">
          <cell r="C476">
            <v>2</v>
          </cell>
        </row>
        <row r="477">
          <cell r="C477">
            <v>2</v>
          </cell>
        </row>
        <row r="481">
          <cell r="D481">
            <v>1</v>
          </cell>
        </row>
        <row r="482">
          <cell r="D482">
            <v>1</v>
          </cell>
        </row>
        <row r="483">
          <cell r="D483">
            <v>1</v>
          </cell>
        </row>
        <row r="484">
          <cell r="D484">
            <v>1</v>
          </cell>
        </row>
        <row r="485">
          <cell r="D485">
            <v>1</v>
          </cell>
        </row>
        <row r="486">
          <cell r="D486">
            <v>1</v>
          </cell>
        </row>
        <row r="487">
          <cell r="D487">
            <v>1</v>
          </cell>
        </row>
        <row r="488">
          <cell r="D488">
            <v>1</v>
          </cell>
        </row>
        <row r="489">
          <cell r="D489">
            <v>1</v>
          </cell>
        </row>
        <row r="490">
          <cell r="D490">
            <v>1</v>
          </cell>
        </row>
        <row r="491">
          <cell r="D491">
            <v>1</v>
          </cell>
        </row>
        <row r="492">
          <cell r="D492">
            <v>1</v>
          </cell>
        </row>
        <row r="493">
          <cell r="D493">
            <v>1</v>
          </cell>
        </row>
        <row r="494">
          <cell r="D494">
            <v>1</v>
          </cell>
        </row>
        <row r="495">
          <cell r="D495">
            <v>1</v>
          </cell>
        </row>
        <row r="496">
          <cell r="D496">
            <v>2</v>
          </cell>
        </row>
        <row r="497">
          <cell r="D497">
            <v>2</v>
          </cell>
        </row>
        <row r="498">
          <cell r="D498">
            <v>2</v>
          </cell>
        </row>
        <row r="499">
          <cell r="D499">
            <v>2</v>
          </cell>
        </row>
        <row r="501">
          <cell r="D501" t="b">
            <v>0</v>
          </cell>
        </row>
        <row r="502">
          <cell r="D502" t="b">
            <v>0</v>
          </cell>
        </row>
        <row r="504">
          <cell r="D504" t="b">
            <v>0</v>
          </cell>
        </row>
        <row r="505">
          <cell r="D505" t="b">
            <v>0</v>
          </cell>
        </row>
        <row r="530">
          <cell r="D530">
            <v>0</v>
          </cell>
        </row>
      </sheetData>
      <sheetData sheetId="17" refreshError="1">
        <row r="8">
          <cell r="F8">
            <v>12</v>
          </cell>
        </row>
        <row r="9">
          <cell r="A9" t="str">
            <v>n</v>
          </cell>
          <cell r="B9" t="str">
            <v>n</v>
          </cell>
          <cell r="C9" t="str">
            <v>Annualization factor HALF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</row>
        <row r="123">
          <cell r="D123">
            <v>66.925567750000567</v>
          </cell>
        </row>
        <row r="201">
          <cell r="A201" t="str">
            <v>n</v>
          </cell>
          <cell r="B201" t="str">
            <v>n</v>
          </cell>
          <cell r="C201" t="str">
            <v>Income Statement factor in use</v>
          </cell>
          <cell r="D201" t="str">
            <v>FXS</v>
          </cell>
          <cell r="E201">
            <v>0</v>
          </cell>
          <cell r="F201">
            <v>1</v>
          </cell>
          <cell r="G201">
            <v>1</v>
          </cell>
          <cell r="H201">
            <v>1</v>
          </cell>
          <cell r="I201">
            <v>1</v>
          </cell>
          <cell r="J201">
            <v>1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P201">
            <v>1</v>
          </cell>
          <cell r="Q201">
            <v>1</v>
          </cell>
          <cell r="R201">
            <v>1</v>
          </cell>
        </row>
        <row r="202">
          <cell r="A202" t="str">
            <v>n</v>
          </cell>
          <cell r="B202" t="str">
            <v>n</v>
          </cell>
          <cell r="C202" t="str">
            <v>Balance sheet factor in use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J202">
            <v>1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1</v>
          </cell>
          <cell r="Q202">
            <v>1</v>
          </cell>
          <cell r="R202">
            <v>1</v>
          </cell>
        </row>
        <row r="379">
          <cell r="C379" t="str">
            <v>End Print</v>
          </cell>
        </row>
        <row r="380">
          <cell r="C380" t="str">
            <v>DO NOT ERASE "End Print" ABOVE</v>
          </cell>
        </row>
        <row r="643">
          <cell r="D643">
            <v>12</v>
          </cell>
          <cell r="F643">
            <v>4</v>
          </cell>
        </row>
        <row r="644">
          <cell r="D644" t="str">
            <v>Q</v>
          </cell>
        </row>
      </sheetData>
      <sheetData sheetId="18" refreshError="1"/>
      <sheetData sheetId="19" refreshError="1">
        <row r="80">
          <cell r="C80" t="str">
            <v>Net income</v>
          </cell>
        </row>
        <row r="112">
          <cell r="B112" t="str">
            <v>n</v>
          </cell>
        </row>
        <row r="114">
          <cell r="B114" t="str">
            <v>n</v>
          </cell>
        </row>
        <row r="118">
          <cell r="B118" t="str">
            <v>n</v>
          </cell>
        </row>
        <row r="120">
          <cell r="B120" t="str">
            <v>y</v>
          </cell>
        </row>
        <row r="126">
          <cell r="B126" t="str">
            <v>y</v>
          </cell>
        </row>
        <row r="129">
          <cell r="B129" t="str">
            <v>y</v>
          </cell>
        </row>
        <row r="145">
          <cell r="E145">
            <v>13</v>
          </cell>
        </row>
        <row r="150">
          <cell r="C150" t="str">
            <v>OISFactor</v>
          </cell>
          <cell r="F150">
            <v>1</v>
          </cell>
          <cell r="G150">
            <v>1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</row>
        <row r="151">
          <cell r="C151" t="str">
            <v>OBSFactor</v>
          </cell>
          <cell r="F151">
            <v>1</v>
          </cell>
          <cell r="G151">
            <v>1</v>
          </cell>
          <cell r="H151">
            <v>1</v>
          </cell>
          <cell r="I151">
            <v>1</v>
          </cell>
          <cell r="J151">
            <v>1</v>
          </cell>
          <cell r="K151">
            <v>1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Q151">
            <v>1</v>
          </cell>
          <cell r="R151">
            <v>1</v>
          </cell>
        </row>
        <row r="152">
          <cell r="C152" t="str">
            <v>ODouble</v>
          </cell>
          <cell r="F152">
            <v>1</v>
          </cell>
          <cell r="G152">
            <v>1</v>
          </cell>
          <cell r="H152">
            <v>1</v>
          </cell>
          <cell r="I152">
            <v>1</v>
          </cell>
          <cell r="J152">
            <v>1</v>
          </cell>
          <cell r="K152">
            <v>1</v>
          </cell>
          <cell r="L152">
            <v>1</v>
          </cell>
          <cell r="M152">
            <v>1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</row>
        <row r="153">
          <cell r="C153" t="str">
            <v>ValInCol for row, CurrentValPeriod for cell</v>
          </cell>
          <cell r="D153">
            <v>12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12</v>
          </cell>
          <cell r="R153">
            <v>12</v>
          </cell>
        </row>
      </sheetData>
      <sheetData sheetId="20" refreshError="1">
        <row r="43">
          <cell r="C43" t="str">
            <v>Total assets</v>
          </cell>
        </row>
        <row r="75">
          <cell r="C75" t="str">
            <v>Total liabilities</v>
          </cell>
        </row>
        <row r="88">
          <cell r="C88" t="str">
            <v>Net worth</v>
          </cell>
        </row>
        <row r="103">
          <cell r="E103">
            <v>0</v>
          </cell>
        </row>
      </sheetData>
      <sheetData sheetId="21" refreshError="1"/>
      <sheetData sheetId="22" refreshError="1">
        <row r="76">
          <cell r="E76">
            <v>580.6</v>
          </cell>
        </row>
      </sheetData>
      <sheetData sheetId="23" refreshError="1"/>
      <sheetData sheetId="24" refreshError="1"/>
      <sheetData sheetId="25" refreshError="1">
        <row r="17">
          <cell r="C17">
            <v>0</v>
          </cell>
        </row>
        <row r="117">
          <cell r="C117">
            <v>0</v>
          </cell>
        </row>
        <row r="121">
          <cell r="C121">
            <v>13</v>
          </cell>
        </row>
        <row r="125">
          <cell r="C125" t="str">
            <v>Tangible net worth</v>
          </cell>
        </row>
      </sheetData>
      <sheetData sheetId="26" refreshError="1"/>
      <sheetData sheetId="27" refreshError="1">
        <row r="1">
          <cell r="I1">
            <v>20</v>
          </cell>
        </row>
        <row r="2">
          <cell r="I2">
            <v>415</v>
          </cell>
          <cell r="BO2">
            <v>7</v>
          </cell>
          <cell r="BP2" t="str">
            <v>LastPrintSelection</v>
          </cell>
        </row>
        <row r="3">
          <cell r="BL3">
            <v>1</v>
          </cell>
          <cell r="BO3" t="b">
            <v>0</v>
          </cell>
          <cell r="BP3" t="str">
            <v>IncStatement</v>
          </cell>
        </row>
        <row r="4">
          <cell r="BL4">
            <v>1</v>
          </cell>
          <cell r="BO4" t="b">
            <v>1</v>
          </cell>
          <cell r="BP4" t="str">
            <v>IncStat(PctofSales)</v>
          </cell>
        </row>
        <row r="5">
          <cell r="BP5" t="str">
            <v>BalanceSheet</v>
          </cell>
        </row>
        <row r="6">
          <cell r="BJ6" t="str">
            <v>ISPctList</v>
          </cell>
          <cell r="BL6">
            <v>1</v>
          </cell>
          <cell r="BP6" t="str">
            <v>NWI</v>
          </cell>
        </row>
        <row r="7">
          <cell r="BJ7" t="str">
            <v>Income statement as % Sales</v>
          </cell>
          <cell r="BP7" t="str">
            <v>CashFlow</v>
          </cell>
        </row>
        <row r="8">
          <cell r="BC8" t="str">
            <v>99 Ratio guidelines (M=Median) updated 8/8/2000</v>
          </cell>
          <cell r="BJ8" t="str">
            <v>Income statement as % growth</v>
          </cell>
          <cell r="BP8" t="str">
            <v>OperatingRatios</v>
          </cell>
        </row>
        <row r="9">
          <cell r="BC9" t="str">
            <v xml:space="preserve">AA 25 </v>
          </cell>
          <cell r="BD9" t="str">
            <v xml:space="preserve">A 75 </v>
          </cell>
          <cell r="BE9" t="str">
            <v xml:space="preserve">A M </v>
          </cell>
          <cell r="BF9" t="str">
            <v xml:space="preserve">A M </v>
          </cell>
          <cell r="BG9" t="str">
            <v xml:space="preserve">BBB 75 </v>
          </cell>
          <cell r="BJ9" t="str">
            <v>Income statement % growth less % Sales g</v>
          </cell>
          <cell r="BP9" t="str">
            <v>CreditRatios</v>
          </cell>
        </row>
        <row r="10">
          <cell r="BL10" t="str">
            <v>Off</v>
          </cell>
        </row>
        <row r="11">
          <cell r="AH11" t="str">
            <v>AAA 75 percentile</v>
          </cell>
          <cell r="AK11">
            <v>8</v>
          </cell>
          <cell r="BJ11" t="str">
            <v>SAList</v>
          </cell>
          <cell r="BL11">
            <v>2</v>
          </cell>
        </row>
        <row r="12">
          <cell r="AK12">
            <v>0</v>
          </cell>
          <cell r="BJ12" t="str">
            <v>Balance sheet as % of Sales</v>
          </cell>
        </row>
        <row r="13">
          <cell r="AK13">
            <v>1</v>
          </cell>
          <cell r="BJ13" t="str">
            <v>Balance sheet as % of Assets</v>
          </cell>
        </row>
        <row r="14">
          <cell r="BJ14" t="str">
            <v>Balance sheet as % growth</v>
          </cell>
        </row>
        <row r="15">
          <cell r="BJ15" t="str">
            <v>Balance sheet % growth less % Sales g</v>
          </cell>
        </row>
        <row r="16">
          <cell r="BL16" t="b">
            <v>1</v>
          </cell>
        </row>
        <row r="17">
          <cell r="BL17">
            <v>5</v>
          </cell>
        </row>
        <row r="18">
          <cell r="BL18">
            <v>7</v>
          </cell>
        </row>
        <row r="19">
          <cell r="BL19">
            <v>2</v>
          </cell>
        </row>
        <row r="20">
          <cell r="BL20" t="b">
            <v>0</v>
          </cell>
        </row>
        <row r="21">
          <cell r="BL21">
            <v>0</v>
          </cell>
        </row>
        <row r="22">
          <cell r="BL22" t="b">
            <v>0</v>
          </cell>
        </row>
        <row r="23">
          <cell r="BL23">
            <v>18</v>
          </cell>
        </row>
        <row r="25">
          <cell r="BL25">
            <v>20001</v>
          </cell>
        </row>
        <row r="27">
          <cell r="BL27">
            <v>2</v>
          </cell>
        </row>
        <row r="28">
          <cell r="BJ28" t="str">
            <v>Discounting of flows occurs at period-end</v>
          </cell>
        </row>
        <row r="29">
          <cell r="BC29">
            <v>4349</v>
          </cell>
          <cell r="BD29">
            <v>4349</v>
          </cell>
          <cell r="BE29">
            <v>4349</v>
          </cell>
          <cell r="BF29">
            <v>4349</v>
          </cell>
          <cell r="BG29">
            <v>4349</v>
          </cell>
          <cell r="BJ29" t="str">
            <v>Discounting of flows occurs at mid-period</v>
          </cell>
        </row>
        <row r="30">
          <cell r="BL30">
            <v>1</v>
          </cell>
        </row>
        <row r="31">
          <cell r="BL31">
            <v>2</v>
          </cell>
        </row>
        <row r="32">
          <cell r="BJ32" t="str">
            <v>FCF includes changes in other assets/liabs</v>
          </cell>
        </row>
        <row r="33">
          <cell r="BJ33" t="str">
            <v>FCF excludes changes in other assets/liabs</v>
          </cell>
        </row>
        <row r="34">
          <cell r="E34" t="str">
            <v>Input</v>
          </cell>
          <cell r="BL34">
            <v>0</v>
          </cell>
        </row>
        <row r="35">
          <cell r="C35" t="str">
            <v>SumSheet</v>
          </cell>
          <cell r="E35" t="str">
            <v>TrailingLTMInput</v>
          </cell>
          <cell r="BL35">
            <v>1</v>
          </cell>
        </row>
        <row r="36">
          <cell r="C36" t="str">
            <v>IncStatement</v>
          </cell>
          <cell r="E36" t="str">
            <v>ISBS</v>
          </cell>
          <cell r="AK36">
            <v>1</v>
          </cell>
          <cell r="BL36" t="str">
            <v>Free CF</v>
          </cell>
        </row>
        <row r="37">
          <cell r="C37" t="str">
            <v>BalanceSheet</v>
          </cell>
          <cell r="E37" t="str">
            <v>CFNWI</v>
          </cell>
          <cell r="AH37" t="str">
            <v>Bond rating model OFF</v>
          </cell>
          <cell r="AJ37">
            <v>0</v>
          </cell>
          <cell r="AK37">
            <v>0</v>
          </cell>
          <cell r="AL37">
            <v>0</v>
          </cell>
          <cell r="BL37">
            <v>1</v>
          </cell>
        </row>
        <row r="38">
          <cell r="C38" t="str">
            <v>CashFlow</v>
          </cell>
          <cell r="E38" t="str">
            <v>IncStatement</v>
          </cell>
          <cell r="AH38" t="str">
            <v>Bond rating model ON, unadjusted</v>
          </cell>
          <cell r="AJ38">
            <v>0</v>
          </cell>
          <cell r="AK38">
            <v>0</v>
          </cell>
          <cell r="AL38">
            <v>0</v>
          </cell>
          <cell r="BL38">
            <v>1</v>
          </cell>
        </row>
        <row r="39">
          <cell r="C39" t="str">
            <v>DebtSchedule</v>
          </cell>
          <cell r="E39" t="str">
            <v>BalanceSheet</v>
          </cell>
          <cell r="AH39" t="str">
            <v>AEROSPACE/DEFENSE</v>
          </cell>
          <cell r="AJ39">
            <v>10</v>
          </cell>
          <cell r="AK39">
            <v>-1.8767496152790188</v>
          </cell>
          <cell r="AL39">
            <v>9</v>
          </cell>
        </row>
        <row r="40">
          <cell r="C40" t="str">
            <v>NWI</v>
          </cell>
          <cell r="E40" t="str">
            <v>NWI</v>
          </cell>
          <cell r="AH40" t="str">
            <v>AUTOMOTIVE-MANUFACTURE &amp; ASSEMBLY</v>
          </cell>
          <cell r="AJ40">
            <v>30</v>
          </cell>
          <cell r="AK40">
            <v>2.3166897262402903</v>
          </cell>
          <cell r="AL40">
            <v>9</v>
          </cell>
          <cell r="BJ40" t="str">
            <v>To cash</v>
          </cell>
        </row>
        <row r="41">
          <cell r="C41" t="str">
            <v>OperatingRatios</v>
          </cell>
          <cell r="E41" t="str">
            <v>CashFlow</v>
          </cell>
          <cell r="AH41" t="str">
            <v>AUTOMOTIVE-COMPONENTS &amp; TIRES</v>
          </cell>
          <cell r="AJ41">
            <v>31</v>
          </cell>
          <cell r="AK41">
            <v>-0.58871359214658581</v>
          </cell>
          <cell r="AL41">
            <v>6</v>
          </cell>
          <cell r="BJ41" t="str">
            <v>To repay debt</v>
          </cell>
        </row>
        <row r="42">
          <cell r="C42" t="str">
            <v>CreditRatios</v>
          </cell>
          <cell r="E42" t="str">
            <v>OperatingRatios</v>
          </cell>
          <cell r="AH42" t="str">
            <v>BUILDING MATERIALS</v>
          </cell>
          <cell r="AJ42">
            <v>60</v>
          </cell>
          <cell r="AK42">
            <v>-0.86067025398723329</v>
          </cell>
          <cell r="AL42">
            <v>6</v>
          </cell>
          <cell r="BJ42" t="str">
            <v>To dividend out</v>
          </cell>
        </row>
        <row r="43">
          <cell r="C43" t="str">
            <v>TokyoBondRating</v>
          </cell>
          <cell r="E43" t="str">
            <v>CreditRatios</v>
          </cell>
          <cell r="AH43" t="str">
            <v>CHEMICALS</v>
          </cell>
          <cell r="AJ43">
            <v>70</v>
          </cell>
          <cell r="AK43">
            <v>-9.6131122656852377E-3</v>
          </cell>
          <cell r="AL43">
            <v>36</v>
          </cell>
          <cell r="BL43">
            <v>1</v>
          </cell>
        </row>
        <row r="44">
          <cell r="C44" t="str">
            <v>TokyoOfficeRatios</v>
          </cell>
          <cell r="E44" t="str">
            <v>SumSheet</v>
          </cell>
          <cell r="AH44" t="str">
            <v>CONSTRUCTION</v>
          </cell>
          <cell r="AJ44">
            <v>90</v>
          </cell>
          <cell r="AK44">
            <v>1.3617927363829472E-2</v>
          </cell>
          <cell r="AL44">
            <v>9</v>
          </cell>
          <cell r="BC44" t="str">
            <v xml:space="preserve">AA 25 </v>
          </cell>
          <cell r="BD44" t="str">
            <v xml:space="preserve">A 75 </v>
          </cell>
          <cell r="BE44" t="str">
            <v xml:space="preserve">A M </v>
          </cell>
          <cell r="BF44" t="str">
            <v xml:space="preserve">A M </v>
          </cell>
          <cell r="BG44" t="str">
            <v xml:space="preserve">BBB 75 </v>
          </cell>
        </row>
        <row r="45">
          <cell r="C45" t="str">
            <v>IncStat(PctofSales)</v>
          </cell>
          <cell r="E45" t="str">
            <v>SingaporeCRStats</v>
          </cell>
          <cell r="F45" t="b">
            <v>0</v>
          </cell>
          <cell r="AH45" t="str">
            <v>CONSUMER DURABLES</v>
          </cell>
          <cell r="AJ45">
            <v>100</v>
          </cell>
          <cell r="AK45">
            <v>3.5698130751048218E-2</v>
          </cell>
          <cell r="AL45">
            <v>2</v>
          </cell>
        </row>
        <row r="46">
          <cell r="C46" t="str">
            <v>BSheet(PctOf)</v>
          </cell>
          <cell r="E46" t="str">
            <v>TokyoOfficeRatios</v>
          </cell>
          <cell r="AH46" t="str">
            <v>PACKAGING</v>
          </cell>
          <cell r="AJ46">
            <v>110</v>
          </cell>
          <cell r="AK46">
            <v>-0.64864191397905269</v>
          </cell>
          <cell r="AL46">
            <v>9</v>
          </cell>
          <cell r="BC46">
            <v>0.6</v>
          </cell>
          <cell r="BD46">
            <v>0.6</v>
          </cell>
          <cell r="BE46">
            <v>0.6</v>
          </cell>
          <cell r="BF46">
            <v>0.6</v>
          </cell>
          <cell r="BG46">
            <v>0.6</v>
          </cell>
        </row>
        <row r="47">
          <cell r="C47" t="str">
            <v>Reconciliations</v>
          </cell>
          <cell r="E47" t="str">
            <v>TokyoBondRating</v>
          </cell>
          <cell r="AH47" t="str">
            <v>TECHNOLOGY MANUFACTURING</v>
          </cell>
          <cell r="AJ47">
            <v>120</v>
          </cell>
          <cell r="AK47">
            <v>-0.87732250326710959</v>
          </cell>
          <cell r="AL47">
            <v>43</v>
          </cell>
          <cell r="BC47">
            <v>0.37</v>
          </cell>
          <cell r="BD47">
            <v>0.37</v>
          </cell>
          <cell r="BE47">
            <v>0.37</v>
          </cell>
          <cell r="BF47">
            <v>0.37</v>
          </cell>
          <cell r="BG47">
            <v>0.37</v>
          </cell>
        </row>
        <row r="48">
          <cell r="C48" t="str">
            <v>ValuationInput</v>
          </cell>
          <cell r="E48" t="str">
            <v>IncStat(PctofSales)</v>
          </cell>
          <cell r="AH48" t="str">
            <v>CONSUMER LEISURE</v>
          </cell>
          <cell r="AJ48">
            <v>125</v>
          </cell>
          <cell r="AK48">
            <v>-0.94390799915809198</v>
          </cell>
          <cell r="AL48">
            <v>12</v>
          </cell>
        </row>
        <row r="49">
          <cell r="C49" t="str">
            <v>Valuation</v>
          </cell>
          <cell r="E49" t="str">
            <v>BalanceSheet(Pct)</v>
          </cell>
          <cell r="AH49" t="str">
            <v>PHARMACEUTICALS</v>
          </cell>
          <cell r="AJ49">
            <v>130</v>
          </cell>
          <cell r="AK49">
            <v>0.72382988595820619</v>
          </cell>
          <cell r="AL49">
            <v>22</v>
          </cell>
          <cell r="BC49">
            <v>8.11</v>
          </cell>
          <cell r="BD49">
            <v>8.11</v>
          </cell>
          <cell r="BE49">
            <v>8.11</v>
          </cell>
          <cell r="BF49">
            <v>8.11</v>
          </cell>
          <cell r="BG49">
            <v>8.11</v>
          </cell>
        </row>
        <row r="50">
          <cell r="C50" t="str">
            <v>ValuationSummary</v>
          </cell>
          <cell r="E50" t="str">
            <v>ValuationInput</v>
          </cell>
          <cell r="AH50" t="str">
            <v>HEALTHCARE SUPPLIERS</v>
          </cell>
          <cell r="AJ50">
            <v>131</v>
          </cell>
          <cell r="AK50">
            <v>0.22307597382680416</v>
          </cell>
          <cell r="AL50">
            <v>9</v>
          </cell>
          <cell r="BC50">
            <v>11.5</v>
          </cell>
          <cell r="BD50">
            <v>11.5</v>
          </cell>
          <cell r="BE50">
            <v>11.5</v>
          </cell>
          <cell r="BF50">
            <v>11.5</v>
          </cell>
          <cell r="BG50">
            <v>11.5</v>
          </cell>
          <cell r="BJ50" t="str">
            <v>Senior</v>
          </cell>
        </row>
        <row r="51">
          <cell r="C51" t="str">
            <v>APV</v>
          </cell>
          <cell r="E51" t="str">
            <v>Valuation</v>
          </cell>
          <cell r="AH51" t="str">
            <v>CONSUMER NON-DURABLES</v>
          </cell>
          <cell r="AJ51">
            <v>135</v>
          </cell>
          <cell r="AK51">
            <v>2.814601685045745E-2</v>
          </cell>
          <cell r="AL51">
            <v>17</v>
          </cell>
          <cell r="BC51">
            <v>7.28</v>
          </cell>
          <cell r="BD51">
            <v>7.28</v>
          </cell>
          <cell r="BE51">
            <v>7.28</v>
          </cell>
          <cell r="BF51">
            <v>7.28</v>
          </cell>
          <cell r="BG51">
            <v>7.28</v>
          </cell>
          <cell r="BJ51" t="str">
            <v>Subordinated</v>
          </cell>
        </row>
        <row r="52">
          <cell r="C52" t="str">
            <v>EVA</v>
          </cell>
          <cell r="E52" t="str">
            <v>ValuationSummary</v>
          </cell>
          <cell r="AH52" t="str">
            <v>HEALTHCARE PROVIDERS</v>
          </cell>
          <cell r="AJ52">
            <v>136</v>
          </cell>
          <cell r="AK52">
            <v>-0.50919892284554236</v>
          </cell>
          <cell r="AL52">
            <v>3</v>
          </cell>
          <cell r="BC52">
            <v>4.79</v>
          </cell>
          <cell r="BD52">
            <v>4.79</v>
          </cell>
          <cell r="BE52">
            <v>4.79</v>
          </cell>
          <cell r="BF52">
            <v>4.79</v>
          </cell>
          <cell r="BG52">
            <v>4.79</v>
          </cell>
        </row>
        <row r="53">
          <cell r="E53" t="str">
            <v>APV</v>
          </cell>
          <cell r="AH53" t="str">
            <v>CAPITAL GOODS &amp; EQUIPMENT</v>
          </cell>
          <cell r="AJ53">
            <v>140</v>
          </cell>
          <cell r="AK53">
            <v>0.52328531150451052</v>
          </cell>
          <cell r="AL53">
            <v>47</v>
          </cell>
        </row>
        <row r="54">
          <cell r="E54" t="str">
            <v>EVA</v>
          </cell>
          <cell r="AH54" t="str">
            <v>FOOD &amp; BEVERAGE</v>
          </cell>
          <cell r="AJ54">
            <v>150</v>
          </cell>
          <cell r="AK54">
            <v>1.7130061657997779</v>
          </cell>
          <cell r="AL54">
            <v>20</v>
          </cell>
          <cell r="BJ54" t="str">
            <v>Short-term</v>
          </cell>
        </row>
        <row r="55">
          <cell r="E55" t="str">
            <v>Storage</v>
          </cell>
          <cell r="AH55" t="str">
            <v>AGRICULTURE</v>
          </cell>
          <cell r="AJ55">
            <v>151</v>
          </cell>
          <cell r="AK55">
            <v>0.70651989059058085</v>
          </cell>
          <cell r="AL55">
            <v>17</v>
          </cell>
          <cell r="BC55">
            <v>1.41</v>
          </cell>
          <cell r="BD55">
            <v>1.41</v>
          </cell>
          <cell r="BE55">
            <v>1.41</v>
          </cell>
          <cell r="BF55">
            <v>1.41</v>
          </cell>
          <cell r="BG55">
            <v>1.41</v>
          </cell>
          <cell r="BJ55" t="str">
            <v>Long-term</v>
          </cell>
        </row>
        <row r="56">
          <cell r="AH56" t="str">
            <v>ENVIRONMENTAL SERVICES</v>
          </cell>
          <cell r="AJ56">
            <v>170</v>
          </cell>
          <cell r="AK56">
            <v>-0.90342242809299411</v>
          </cell>
          <cell r="AL56">
            <v>5</v>
          </cell>
          <cell r="BC56">
            <v>0.51</v>
          </cell>
          <cell r="BD56">
            <v>0.51</v>
          </cell>
          <cell r="BE56">
            <v>0.51</v>
          </cell>
          <cell r="BF56">
            <v>0.51</v>
          </cell>
          <cell r="BG56">
            <v>0.51</v>
          </cell>
        </row>
        <row r="57">
          <cell r="C57">
            <v>-2</v>
          </cell>
          <cell r="D57" t="str">
            <v>Bankrupt</v>
          </cell>
          <cell r="AH57" t="str">
            <v>TRANSPORTATION-RAILROADS</v>
          </cell>
          <cell r="AJ57">
            <v>190</v>
          </cell>
          <cell r="AL57">
            <v>1</v>
          </cell>
        </row>
        <row r="58">
          <cell r="C58">
            <v>1.5</v>
          </cell>
          <cell r="D58" t="str">
            <v xml:space="preserve">CCC </v>
          </cell>
          <cell r="AH58" t="str">
            <v>TRANSPORTATION-TRUCKING/AIR FREIGHT</v>
          </cell>
          <cell r="AJ58">
            <v>191</v>
          </cell>
          <cell r="AK58">
            <v>1.4134316629790586</v>
          </cell>
          <cell r="AL58">
            <v>7</v>
          </cell>
          <cell r="BJ58">
            <v>1</v>
          </cell>
        </row>
        <row r="59">
          <cell r="C59">
            <v>2.5</v>
          </cell>
          <cell r="D59" t="str">
            <v xml:space="preserve">B- </v>
          </cell>
          <cell r="AH59" t="str">
            <v>SERVICES-MISC &amp; OTHER</v>
          </cell>
          <cell r="AJ59">
            <v>210</v>
          </cell>
          <cell r="AK59">
            <v>-0.73124109539942272</v>
          </cell>
          <cell r="AL59">
            <v>7</v>
          </cell>
        </row>
        <row r="60">
          <cell r="C60">
            <v>3.5</v>
          </cell>
          <cell r="D60" t="str">
            <v xml:space="preserve">B </v>
          </cell>
          <cell r="AH60" t="str">
            <v>SERVICES-PROFESSIONAL SERVICES</v>
          </cell>
          <cell r="AJ60">
            <v>211</v>
          </cell>
          <cell r="AK60">
            <v>-0.71458338584567593</v>
          </cell>
          <cell r="AL60">
            <v>6</v>
          </cell>
        </row>
        <row r="61">
          <cell r="C61">
            <v>4.5</v>
          </cell>
          <cell r="D61" t="str">
            <v xml:space="preserve">B+ </v>
          </cell>
          <cell r="AH61" t="str">
            <v>COAL, MINING &amp; METALS</v>
          </cell>
          <cell r="AJ61">
            <v>230</v>
          </cell>
          <cell r="AK61">
            <v>2.3334115388037875E-2</v>
          </cell>
          <cell r="AL61">
            <v>17</v>
          </cell>
        </row>
        <row r="62">
          <cell r="C62">
            <v>5.5</v>
          </cell>
          <cell r="D62" t="str">
            <v xml:space="preserve">BB- </v>
          </cell>
          <cell r="AH62" t="str">
            <v>FOREST PRODUCTS</v>
          </cell>
          <cell r="AJ62">
            <v>240</v>
          </cell>
          <cell r="AK62">
            <v>0.27088958901213689</v>
          </cell>
          <cell r="AL62">
            <v>17</v>
          </cell>
        </row>
        <row r="63">
          <cell r="C63">
            <v>6.5</v>
          </cell>
          <cell r="D63" t="str">
            <v xml:space="preserve">BB </v>
          </cell>
          <cell r="AH63" t="str">
            <v>PETROLEUM-OIL &amp; GAS PIPELINES</v>
          </cell>
          <cell r="AJ63">
            <v>250</v>
          </cell>
          <cell r="AK63">
            <v>7.6910216100344181E-2</v>
          </cell>
          <cell r="AL63">
            <v>5</v>
          </cell>
        </row>
        <row r="64">
          <cell r="C64">
            <v>7.5</v>
          </cell>
          <cell r="D64" t="str">
            <v xml:space="preserve">BB+ </v>
          </cell>
          <cell r="AH64" t="str">
            <v>PETROLEUM - INTEGRATED</v>
          </cell>
          <cell r="AJ64">
            <v>251</v>
          </cell>
          <cell r="AK64">
            <v>0.854167645059281</v>
          </cell>
          <cell r="AL64">
            <v>22</v>
          </cell>
        </row>
        <row r="65">
          <cell r="C65">
            <v>8.5</v>
          </cell>
          <cell r="D65" t="str">
            <v xml:space="preserve">BBB- </v>
          </cell>
          <cell r="AH65" t="str">
            <v>PETROLEUM-EXPLORATION &amp; PRODUCTION</v>
          </cell>
          <cell r="AJ65">
            <v>255</v>
          </cell>
          <cell r="AK65">
            <v>-0.52203425745166931</v>
          </cell>
          <cell r="AL65">
            <v>6</v>
          </cell>
        </row>
        <row r="66">
          <cell r="C66">
            <v>9.5</v>
          </cell>
          <cell r="D66" t="str">
            <v xml:space="preserve">BBB </v>
          </cell>
          <cell r="AH66" t="str">
            <v>PETROLEUM-REFINING &amp; MARKETING</v>
          </cell>
          <cell r="AJ66">
            <v>256</v>
          </cell>
          <cell r="AK66">
            <v>4.4978316495522835E-2</v>
          </cell>
          <cell r="AL66">
            <v>23</v>
          </cell>
        </row>
        <row r="67">
          <cell r="C67">
            <v>10.5</v>
          </cell>
          <cell r="D67" t="str">
            <v xml:space="preserve">BBB+ </v>
          </cell>
          <cell r="AH67" t="str">
            <v>MEDIA-GENERAL</v>
          </cell>
          <cell r="AJ67">
            <v>274</v>
          </cell>
          <cell r="AK67">
            <v>-1.2262536638757304</v>
          </cell>
          <cell r="AL67">
            <v>6</v>
          </cell>
        </row>
        <row r="68">
          <cell r="C68">
            <v>11.5</v>
          </cell>
          <cell r="D68" t="str">
            <v xml:space="preserve">A-  </v>
          </cell>
          <cell r="AH68" t="str">
            <v>MEDIA-PRINTING &amp; PUBLISHING</v>
          </cell>
          <cell r="AJ68">
            <v>280</v>
          </cell>
          <cell r="AK68">
            <v>0.90453955330025926</v>
          </cell>
          <cell r="AL68">
            <v>13</v>
          </cell>
          <cell r="BJ68" t="str">
            <v>Depreciation in Gross Profits</v>
          </cell>
        </row>
        <row r="69">
          <cell r="C69">
            <v>12.5</v>
          </cell>
          <cell r="D69" t="str">
            <v xml:space="preserve">A  </v>
          </cell>
          <cell r="AH69" t="str">
            <v>REAL ESTATE</v>
          </cell>
          <cell r="AJ69">
            <v>290</v>
          </cell>
          <cell r="AK69">
            <v>-1.3905111941348576</v>
          </cell>
          <cell r="AL69">
            <v>12</v>
          </cell>
          <cell r="BJ69" t="str">
            <v>Depr in Operating Profits</v>
          </cell>
        </row>
        <row r="70">
          <cell r="C70">
            <v>13.5</v>
          </cell>
          <cell r="D70" t="str">
            <v xml:space="preserve">A+  </v>
          </cell>
          <cell r="AH70" t="str">
            <v>RETAIL FOOD</v>
          </cell>
          <cell r="AJ70">
            <v>310</v>
          </cell>
          <cell r="AK70">
            <v>0.72457533296434762</v>
          </cell>
          <cell r="AL70">
            <v>7</v>
          </cell>
        </row>
        <row r="71">
          <cell r="C71">
            <v>14.5</v>
          </cell>
          <cell r="D71" t="str">
            <v xml:space="preserve">AA-  </v>
          </cell>
          <cell r="AH71" t="str">
            <v>RETAIL NON-FOOD</v>
          </cell>
          <cell r="AJ71">
            <v>320</v>
          </cell>
          <cell r="AK71">
            <v>1.0649278707152323</v>
          </cell>
          <cell r="AL71">
            <v>2</v>
          </cell>
        </row>
        <row r="72">
          <cell r="C72">
            <v>15.5</v>
          </cell>
          <cell r="D72" t="str">
            <v xml:space="preserve">AA  </v>
          </cell>
          <cell r="AH72" t="str">
            <v>TRANSPORTATION-SHIPPING</v>
          </cell>
          <cell r="AJ72">
            <v>340</v>
          </cell>
          <cell r="AK72">
            <v>0.88656178846162226</v>
          </cell>
          <cell r="AL72">
            <v>3</v>
          </cell>
          <cell r="BJ72" t="str">
            <v>Interest income in EBIT</v>
          </cell>
        </row>
        <row r="73">
          <cell r="C73">
            <v>16.5</v>
          </cell>
          <cell r="D73" t="str">
            <v xml:space="preserve">AA+  </v>
          </cell>
          <cell r="AH73" t="str">
            <v>STEEL</v>
          </cell>
          <cell r="AJ73">
            <v>350</v>
          </cell>
          <cell r="AK73">
            <v>-0.9781608857913483</v>
          </cell>
          <cell r="AL73">
            <v>12</v>
          </cell>
          <cell r="BJ73" t="str">
            <v>Interest income after EBIT</v>
          </cell>
        </row>
        <row r="74">
          <cell r="C74">
            <v>17.5</v>
          </cell>
          <cell r="D74" t="str">
            <v xml:space="preserve">AAA  </v>
          </cell>
          <cell r="AH74" t="str">
            <v>APPAREL,TEXTILES &amp; FURNITURE</v>
          </cell>
          <cell r="AJ74">
            <v>360</v>
          </cell>
          <cell r="AK74">
            <v>0.2622080128086699</v>
          </cell>
          <cell r="AL74">
            <v>24</v>
          </cell>
        </row>
        <row r="75">
          <cell r="C75">
            <v>18.5</v>
          </cell>
          <cell r="D75" t="str">
            <v xml:space="preserve">AAA  </v>
          </cell>
          <cell r="AH75" t="str">
            <v>TOBACCO</v>
          </cell>
          <cell r="AJ75">
            <v>380</v>
          </cell>
          <cell r="AK75">
            <v>-4.2524163832024122</v>
          </cell>
          <cell r="AL75">
            <v>1</v>
          </cell>
        </row>
        <row r="86">
          <cell r="AI86" t="str">
            <v xml:space="preserve"> </v>
          </cell>
        </row>
        <row r="95">
          <cell r="AI95">
            <v>3</v>
          </cell>
        </row>
        <row r="96">
          <cell r="AH96" t="str">
            <v>Very volatile EBIT (bad)</v>
          </cell>
        </row>
        <row r="175">
          <cell r="H175">
            <v>175</v>
          </cell>
        </row>
        <row r="176">
          <cell r="Y176" t="str">
            <v>=IDD(Ticker,"fyr_end_mo",0)</v>
          </cell>
        </row>
        <row r="177">
          <cell r="Y177" t="str">
            <v>=IDD(Ticker,"fbaseqtr",0)</v>
          </cell>
        </row>
        <row r="178">
          <cell r="Y178" t="str">
            <v>=IDD(Ticker,"nam",0)</v>
          </cell>
        </row>
        <row r="179">
          <cell r="Y179" t="str">
            <v>=IDD(Ticker,"industry",0)</v>
          </cell>
        </row>
        <row r="185">
          <cell r="A185" t="str">
            <v>General</v>
          </cell>
          <cell r="B185">
            <v>0</v>
          </cell>
        </row>
        <row r="186">
          <cell r="A186" t="str">
            <v>Airlines</v>
          </cell>
          <cell r="B186">
            <v>-1</v>
          </cell>
        </row>
        <row r="187">
          <cell r="A187" t="str">
            <v>Alcoholic beverage</v>
          </cell>
          <cell r="B187">
            <v>-1.3333333333333333</v>
          </cell>
        </row>
        <row r="188">
          <cell r="A188" t="str">
            <v>Auto makers</v>
          </cell>
          <cell r="B188">
            <v>-2.4285714285714284</v>
          </cell>
        </row>
        <row r="189">
          <cell r="A189" t="str">
            <v>Auto parts</v>
          </cell>
          <cell r="B189">
            <v>-0.25</v>
          </cell>
        </row>
        <row r="190">
          <cell r="A190" t="str">
            <v>Building materials</v>
          </cell>
          <cell r="B190">
            <v>0</v>
          </cell>
        </row>
        <row r="191">
          <cell r="A191" t="str">
            <v>Capital equipment</v>
          </cell>
          <cell r="B191">
            <v>0.1666666666666666</v>
          </cell>
        </row>
        <row r="192">
          <cell r="A192" t="str">
            <v>Chemicals</v>
          </cell>
          <cell r="B192">
            <v>-5.5555555555555566E-2</v>
          </cell>
        </row>
        <row r="193">
          <cell r="A193" t="str">
            <v>Construction</v>
          </cell>
          <cell r="B193">
            <v>-0.72222222222222188</v>
          </cell>
        </row>
        <row r="194">
          <cell r="A194" t="str">
            <v>Consumer durables</v>
          </cell>
          <cell r="B194">
            <v>-0.16666666666666666</v>
          </cell>
        </row>
        <row r="195">
          <cell r="A195" t="str">
            <v>Consumer electronics</v>
          </cell>
          <cell r="B195">
            <v>-0.57142857142857129</v>
          </cell>
        </row>
        <row r="196">
          <cell r="A196" t="str">
            <v>Consumer non-durables</v>
          </cell>
          <cell r="B196">
            <v>0</v>
          </cell>
        </row>
        <row r="197">
          <cell r="A197" t="str">
            <v>Department store</v>
          </cell>
          <cell r="B197">
            <v>-1.5</v>
          </cell>
        </row>
        <row r="198">
          <cell r="A198" t="str">
            <v>Food</v>
          </cell>
          <cell r="B198">
            <v>0.73684210526315763</v>
          </cell>
        </row>
        <row r="199">
          <cell r="A199" t="str">
            <v>General trading company</v>
          </cell>
          <cell r="B199">
            <v>-0.77777777777777779</v>
          </cell>
        </row>
        <row r="200">
          <cell r="A200" t="str">
            <v>Glass and ceramics</v>
          </cell>
          <cell r="B200">
            <v>0.7142857142857143</v>
          </cell>
        </row>
        <row r="201">
          <cell r="A201" t="str">
            <v>Industrial electronics</v>
          </cell>
          <cell r="B201">
            <v>-0.21739130434782614</v>
          </cell>
        </row>
        <row r="202">
          <cell r="A202" t="str">
            <v>Ink and polymers</v>
          </cell>
          <cell r="B202">
            <v>-0.66666666666666663</v>
          </cell>
        </row>
        <row r="203">
          <cell r="A203" t="str">
            <v>Land transport and trucking</v>
          </cell>
          <cell r="B203">
            <v>0.33333333333333331</v>
          </cell>
        </row>
        <row r="204">
          <cell r="A204" t="str">
            <v>Marine transport and shipping</v>
          </cell>
          <cell r="B204">
            <v>-2.6666666666666665</v>
          </cell>
        </row>
        <row r="205">
          <cell r="A205" t="str">
            <v>Metal products</v>
          </cell>
          <cell r="B205">
            <v>-0.3</v>
          </cell>
        </row>
        <row r="206">
          <cell r="A206" t="str">
            <v>Mining</v>
          </cell>
          <cell r="B206">
            <v>0</v>
          </cell>
        </row>
        <row r="207">
          <cell r="A207" t="str">
            <v>Music products</v>
          </cell>
          <cell r="B207">
            <v>-1</v>
          </cell>
        </row>
        <row r="208">
          <cell r="A208" t="str">
            <v>Nonferrous metals</v>
          </cell>
          <cell r="B208">
            <v>-1.1428571428571426</v>
          </cell>
        </row>
        <row r="209">
          <cell r="A209" t="str">
            <v>Oil, coal, and petroleum</v>
          </cell>
          <cell r="B209">
            <v>-1</v>
          </cell>
        </row>
        <row r="210">
          <cell r="A210" t="str">
            <v>Pharmaceuticals</v>
          </cell>
          <cell r="B210">
            <v>-0.2</v>
          </cell>
        </row>
        <row r="211">
          <cell r="A211" t="str">
            <v>Plastics</v>
          </cell>
          <cell r="B211">
            <v>0</v>
          </cell>
        </row>
        <row r="212">
          <cell r="A212" t="str">
            <v>Precision Instruments</v>
          </cell>
          <cell r="B212">
            <v>-0.3</v>
          </cell>
        </row>
        <row r="213">
          <cell r="A213" t="str">
            <v>Pulp &amp; Paper</v>
          </cell>
          <cell r="B213">
            <v>1</v>
          </cell>
        </row>
        <row r="214">
          <cell r="A214" t="str">
            <v>Railway</v>
          </cell>
          <cell r="B214">
            <v>1.7058823529411766</v>
          </cell>
        </row>
        <row r="215">
          <cell r="A215" t="str">
            <v>Real estate</v>
          </cell>
          <cell r="B215">
            <v>-1</v>
          </cell>
        </row>
        <row r="216">
          <cell r="A216" t="str">
            <v>Retail– electronics</v>
          </cell>
          <cell r="B216">
            <v>-0.2</v>
          </cell>
        </row>
        <row r="217">
          <cell r="A217" t="str">
            <v>Retail– food</v>
          </cell>
          <cell r="B217">
            <v>-0.25</v>
          </cell>
        </row>
        <row r="218">
          <cell r="A218" t="str">
            <v>Retail– general</v>
          </cell>
          <cell r="B218">
            <v>-1.75</v>
          </cell>
        </row>
        <row r="219">
          <cell r="A219" t="str">
            <v>Retail– others</v>
          </cell>
          <cell r="B219">
            <v>-2.5</v>
          </cell>
        </row>
        <row r="220">
          <cell r="A220" t="str">
            <v>Rubber products</v>
          </cell>
          <cell r="B220">
            <v>-1.2</v>
          </cell>
        </row>
        <row r="221">
          <cell r="A221" t="str">
            <v>Steel</v>
          </cell>
          <cell r="B221">
            <v>-1.0909090909090906</v>
          </cell>
        </row>
        <row r="222">
          <cell r="A222" t="str">
            <v>Telecommunications</v>
          </cell>
          <cell r="B222">
            <v>1.5</v>
          </cell>
        </row>
        <row r="223">
          <cell r="A223" t="str">
            <v>Texttiles and apparel</v>
          </cell>
          <cell r="B223">
            <v>-0.75</v>
          </cell>
        </row>
        <row r="224">
          <cell r="A224" t="str">
            <v>Utility companies</v>
          </cell>
          <cell r="B224">
            <v>4.4545454545454541</v>
          </cell>
        </row>
        <row r="225">
          <cell r="A225" t="str">
            <v>Warehousing</v>
          </cell>
          <cell r="B225">
            <v>0.5</v>
          </cell>
        </row>
        <row r="226">
          <cell r="A226" t="str">
            <v>Wholesale</v>
          </cell>
          <cell r="B226">
            <v>-1.1428571428571426</v>
          </cell>
        </row>
        <row r="227">
          <cell r="A227" t="str">
            <v>Wire and cable</v>
          </cell>
          <cell r="B227">
            <v>-0.28571428571428564</v>
          </cell>
        </row>
        <row r="231">
          <cell r="A231">
            <v>1</v>
          </cell>
          <cell r="B231" t="str">
            <v>CCC</v>
          </cell>
        </row>
        <row r="232">
          <cell r="A232">
            <v>2</v>
          </cell>
          <cell r="B232" t="str">
            <v>B-</v>
          </cell>
        </row>
        <row r="233">
          <cell r="A233">
            <v>3</v>
          </cell>
          <cell r="B233" t="str">
            <v>B</v>
          </cell>
        </row>
        <row r="234">
          <cell r="A234">
            <v>4</v>
          </cell>
          <cell r="B234" t="str">
            <v>B+</v>
          </cell>
        </row>
        <row r="235">
          <cell r="A235">
            <v>5</v>
          </cell>
          <cell r="B235" t="str">
            <v>BB-</v>
          </cell>
        </row>
        <row r="236">
          <cell r="A236">
            <v>6</v>
          </cell>
          <cell r="B236" t="str">
            <v>BB</v>
          </cell>
        </row>
        <row r="237">
          <cell r="A237">
            <v>7</v>
          </cell>
          <cell r="B237" t="str">
            <v>BB+</v>
          </cell>
        </row>
        <row r="238">
          <cell r="A238">
            <v>8</v>
          </cell>
          <cell r="B238" t="str">
            <v>BBB-</v>
          </cell>
        </row>
        <row r="239">
          <cell r="A239">
            <v>9</v>
          </cell>
          <cell r="B239" t="str">
            <v>BBB</v>
          </cell>
        </row>
        <row r="240">
          <cell r="A240">
            <v>10</v>
          </cell>
          <cell r="B240" t="str">
            <v>BBB+</v>
          </cell>
        </row>
        <row r="241">
          <cell r="A241">
            <v>11</v>
          </cell>
          <cell r="B241" t="str">
            <v>A-</v>
          </cell>
        </row>
        <row r="242">
          <cell r="A242">
            <v>12</v>
          </cell>
          <cell r="B242" t="str">
            <v>A</v>
          </cell>
        </row>
        <row r="243">
          <cell r="A243">
            <v>13</v>
          </cell>
          <cell r="B243" t="str">
            <v>A+</v>
          </cell>
        </row>
        <row r="244">
          <cell r="A244">
            <v>14</v>
          </cell>
          <cell r="B244" t="str">
            <v>AA-</v>
          </cell>
        </row>
        <row r="245">
          <cell r="A245">
            <v>15</v>
          </cell>
          <cell r="B245" t="str">
            <v>AA</v>
          </cell>
        </row>
        <row r="246">
          <cell r="A246">
            <v>16</v>
          </cell>
          <cell r="B246" t="str">
            <v>AA+</v>
          </cell>
        </row>
        <row r="247">
          <cell r="A247">
            <v>17</v>
          </cell>
          <cell r="B247" t="str">
            <v>AAA</v>
          </cell>
        </row>
      </sheetData>
      <sheetData sheetId="28" refreshError="1"/>
      <sheetData sheetId="29" refreshError="1">
        <row r="9">
          <cell r="C9" t="str">
            <v>valuation</v>
          </cell>
          <cell r="F9">
            <v>38077</v>
          </cell>
        </row>
        <row r="34">
          <cell r="C34" t="str">
            <v>Terminal free cash flow</v>
          </cell>
        </row>
        <row r="71">
          <cell r="E71">
            <v>360</v>
          </cell>
        </row>
        <row r="72">
          <cell r="E72">
            <v>0.19722222222222222</v>
          </cell>
        </row>
        <row r="73">
          <cell r="E73">
            <v>33695</v>
          </cell>
        </row>
        <row r="74">
          <cell r="E74">
            <v>-0.30277777777777781</v>
          </cell>
        </row>
      </sheetData>
      <sheetData sheetId="30" refreshError="1">
        <row r="9">
          <cell r="V9">
            <v>242.29000000000002</v>
          </cell>
        </row>
        <row r="11">
          <cell r="G11">
            <v>38006.605969444441</v>
          </cell>
          <cell r="V11">
            <v>4.4234233737900197E-2</v>
          </cell>
        </row>
        <row r="14">
          <cell r="O14" t="str">
            <v>Terminal</v>
          </cell>
        </row>
        <row r="15">
          <cell r="O15" t="str">
            <v>period</v>
          </cell>
        </row>
        <row r="17">
          <cell r="K17">
            <v>1815.11</v>
          </cell>
          <cell r="O17">
            <v>1815.11</v>
          </cell>
        </row>
        <row r="18">
          <cell r="K18">
            <v>-3.8644671766042915E-2</v>
          </cell>
          <cell r="O18">
            <v>0</v>
          </cell>
        </row>
        <row r="19">
          <cell r="O19">
            <v>190.26999999999975</v>
          </cell>
        </row>
        <row r="20">
          <cell r="K20">
            <v>0.10482560285602513</v>
          </cell>
          <cell r="O20">
            <v>0.10482560285602513</v>
          </cell>
        </row>
        <row r="21">
          <cell r="O21">
            <v>40.863644672396042</v>
          </cell>
        </row>
        <row r="22">
          <cell r="K22">
            <v>0.21198134913314359</v>
          </cell>
          <cell r="O22">
            <v>0.21198134913314362</v>
          </cell>
        </row>
        <row r="23">
          <cell r="O23">
            <v>149.40635532760371</v>
          </cell>
        </row>
        <row r="24">
          <cell r="O24">
            <v>273.76999999999975</v>
          </cell>
        </row>
        <row r="26">
          <cell r="K26">
            <v>81</v>
          </cell>
          <cell r="O26">
            <v>81</v>
          </cell>
        </row>
        <row r="27">
          <cell r="G27">
            <v>0</v>
          </cell>
          <cell r="K27">
            <v>0</v>
          </cell>
          <cell r="O27">
            <v>0</v>
          </cell>
        </row>
        <row r="28">
          <cell r="K28">
            <v>2.5</v>
          </cell>
          <cell r="O28">
            <v>2.5</v>
          </cell>
        </row>
        <row r="29">
          <cell r="K29">
            <v>0</v>
          </cell>
          <cell r="O29">
            <v>0</v>
          </cell>
        </row>
        <row r="30">
          <cell r="K30">
            <v>0</v>
          </cell>
          <cell r="O30">
            <v>0</v>
          </cell>
        </row>
        <row r="31">
          <cell r="G31">
            <v>1.2500000000000001E-2</v>
          </cell>
          <cell r="K31">
            <v>0</v>
          </cell>
          <cell r="O31">
            <v>0</v>
          </cell>
        </row>
        <row r="32">
          <cell r="J32">
            <v>0.16793547161217981</v>
          </cell>
          <cell r="O32">
            <v>0</v>
          </cell>
        </row>
        <row r="33">
          <cell r="G33">
            <v>1</v>
          </cell>
          <cell r="J33">
            <v>4.1319809818688678E-2</v>
          </cell>
          <cell r="O33">
            <v>-81</v>
          </cell>
        </row>
        <row r="34">
          <cell r="G34">
            <v>0.05</v>
          </cell>
          <cell r="K34">
            <v>0.13348502294626774</v>
          </cell>
        </row>
        <row r="35">
          <cell r="K35">
            <v>0</v>
          </cell>
          <cell r="O35">
            <v>0</v>
          </cell>
        </row>
        <row r="36">
          <cell r="G36">
            <v>0</v>
          </cell>
          <cell r="K36">
            <v>0</v>
          </cell>
          <cell r="O36">
            <v>0</v>
          </cell>
        </row>
        <row r="37">
          <cell r="K37">
            <v>0</v>
          </cell>
          <cell r="O37">
            <v>0</v>
          </cell>
        </row>
        <row r="40">
          <cell r="O40">
            <v>151.90635532760371</v>
          </cell>
        </row>
        <row r="41">
          <cell r="G41">
            <v>0</v>
          </cell>
        </row>
        <row r="45">
          <cell r="O45">
            <v>0</v>
          </cell>
        </row>
        <row r="50">
          <cell r="J50">
            <v>1815.11</v>
          </cell>
          <cell r="K50">
            <v>0</v>
          </cell>
          <cell r="L50">
            <v>1815.11</v>
          </cell>
          <cell r="M50">
            <v>1</v>
          </cell>
        </row>
        <row r="51">
          <cell r="J51">
            <v>179.26999999999975</v>
          </cell>
          <cell r="K51">
            <v>0</v>
          </cell>
          <cell r="L51">
            <v>179.26999999999975</v>
          </cell>
          <cell r="M51">
            <v>1</v>
          </cell>
        </row>
        <row r="52">
          <cell r="J52">
            <v>190.26999999999975</v>
          </cell>
          <cell r="K52">
            <v>0</v>
          </cell>
          <cell r="L52">
            <v>190.26999999999975</v>
          </cell>
          <cell r="M52">
            <v>1</v>
          </cell>
        </row>
        <row r="53">
          <cell r="J53">
            <v>273.76999999999975</v>
          </cell>
          <cell r="K53">
            <v>0</v>
          </cell>
          <cell r="L53">
            <v>273.76999999999975</v>
          </cell>
          <cell r="M53">
            <v>1</v>
          </cell>
        </row>
        <row r="54">
          <cell r="K54">
            <v>0</v>
          </cell>
          <cell r="L54">
            <v>0</v>
          </cell>
          <cell r="M54">
            <v>1</v>
          </cell>
        </row>
        <row r="55">
          <cell r="K55">
            <v>0</v>
          </cell>
          <cell r="L55">
            <v>0</v>
          </cell>
          <cell r="M55">
            <v>1</v>
          </cell>
        </row>
        <row r="56">
          <cell r="K56">
            <v>0</v>
          </cell>
          <cell r="L56">
            <v>0</v>
          </cell>
          <cell r="M56">
            <v>1</v>
          </cell>
        </row>
        <row r="58">
          <cell r="G58">
            <v>5.0000000000000001E-3</v>
          </cell>
        </row>
        <row r="59">
          <cell r="G59">
            <v>0.5</v>
          </cell>
        </row>
        <row r="60">
          <cell r="F60">
            <v>5.0000000000000001E-3</v>
          </cell>
        </row>
        <row r="61">
          <cell r="C61" t="str">
            <v>End Print</v>
          </cell>
        </row>
        <row r="69">
          <cell r="D69">
            <v>37711</v>
          </cell>
          <cell r="E69">
            <v>38077</v>
          </cell>
          <cell r="F69">
            <v>38077</v>
          </cell>
        </row>
      </sheetData>
      <sheetData sheetId="31" refreshError="1"/>
      <sheetData sheetId="32" refreshError="1">
        <row r="43">
          <cell r="C43" t="str">
            <v>EVA</v>
          </cell>
        </row>
      </sheetData>
      <sheetData sheetId="33" refreshError="1">
        <row r="19">
          <cell r="C19" t="str">
            <v>Free cash flows for discounting</v>
          </cell>
        </row>
        <row r="23">
          <cell r="F23" t="str">
            <v>}{IF(ISNUMBER(HardCodedUntaxedWACC),HardCodedUntaxedWACC,IF(HardCodedATDebtCost,HardCodedATDebtCost/(1-ValuationInput!G26),ATDebtCost/IF(ValuationInput!G26,(1-ValuationInput!G26),(1-ValuationInput!F15))*TargetDebtToCapital+IF(HardCodedEquityCost,HardCoded</v>
          </cell>
        </row>
      </sheetData>
      <sheetData sheetId="34" refreshError="1">
        <row r="13">
          <cell r="C13" t="str">
            <v>}{INDEX(TokyoIndGroup,TokyoIndChoice,2)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keaway"/>
      <sheetName val="Summary"/>
      <sheetName val="(1) Consumer Confidence"/>
      <sheetName val="Comps vs. CC"/>
      <sheetName val="(2) Consumer Sentiment"/>
      <sheetName val="(3) Consumer Spending-Q"/>
      <sheetName val="(3) Consumer Spending-M"/>
      <sheetName val="(3) Wage &amp; Salary-Q"/>
      <sheetName val="(3) Personal Income"/>
      <sheetName val="(3) Wage &amp; Salary-M"/>
      <sheetName val="(3) Disposable Income-Q"/>
      <sheetName val="(3) Disposable Income"/>
      <sheetName val="(3) Real Consumption (Q)"/>
      <sheetName val="(3) Nominal Consumer Spending"/>
      <sheetName val="(3) Real Consumer Spending"/>
      <sheetName val="(3) Personal Income-Q"/>
      <sheetName val="(3) Savings Rate-Q"/>
      <sheetName val="(3) Savings Rate"/>
      <sheetName val="(4) Industrial Production"/>
      <sheetName val="(5) Unemployment Rate"/>
      <sheetName val="(5) Unemployment by Edu."/>
      <sheetName val="(6) CPI"/>
      <sheetName val="(7) PPI"/>
      <sheetName val="(8) Retail Sales"/>
      <sheetName val="(9) Fed Funds"/>
      <sheetName val="(9) Fed Funds Target"/>
      <sheetName val="(9) 10-yr Treasury"/>
      <sheetName val="(9) Prime Rate"/>
      <sheetName val="(9) Consumer Credit"/>
      <sheetName val="Mort Delinquency"/>
      <sheetName val="(9) HH Debt Service Ratio"/>
      <sheetName val="(10) Gas - All Grades"/>
      <sheetName val="Gas vs. Comps"/>
      <sheetName val="(10) Retail Gas "/>
      <sheetName val="(10) Gas (UL) Spot-Daily"/>
      <sheetName val="(10) Heating Oil"/>
      <sheetName val="(10) Natural Gas"/>
      <sheetName val="(10) Electricity"/>
      <sheetName val="(10) Propane_DOE"/>
      <sheetName val="(10) Propane"/>
      <sheetName val="(10) Crude Oil"/>
      <sheetName val="(11) Delinquency Rate"/>
      <sheetName val="Crude - Daily"/>
      <sheetName val="(11) Housing"/>
      <sheetName val="(11) Med. Price - Exist Home"/>
      <sheetName val="(11) Mortgage App &amp; Refis (M)"/>
      <sheetName val="(11) Mortgage Apps &amp; Refis (w)"/>
      <sheetName val="(11) Home Equity (M)"/>
      <sheetName val="(14) Home Equity (w)"/>
      <sheetName val="(12) Population"/>
      <sheetName val="(14) Mortgage Aps, Refis"/>
      <sheetName val="Sheet2"/>
      <sheetName val="Sheet3"/>
      <sheetName val="Sheet1"/>
      <sheetName val="Sheet6"/>
      <sheetName val="(14) Home Equity -1"/>
      <sheetName val="(11) Mortgage Apps &amp; Refis"/>
      <sheetName val="(11) Home Equity"/>
      <sheetName val="Sheet8"/>
      <sheetName val="(11) Real Consumer Spending"/>
      <sheetName val="(4) Unemployment Rate"/>
      <sheetName val="(4) Unemployment by Edu."/>
      <sheetName val="Sheet5"/>
      <sheetName val="(5) CPI"/>
      <sheetName val="(6) PPI"/>
      <sheetName val="(7) Retail Sales"/>
      <sheetName val="Fed Funds Target"/>
      <sheetName val="(8) Fed Funds"/>
      <sheetName val="(8) 10-yr Treasury"/>
      <sheetName val="(8) Prime Rate"/>
      <sheetName val="(9) Gas - All Grades"/>
      <sheetName val="(9) Retail Gas "/>
      <sheetName val="(9) Gas (UL) Spot-Daily"/>
      <sheetName val="(9) Heating Oil"/>
      <sheetName val="(9) Electricity"/>
      <sheetName val="(9) Natural Gas"/>
      <sheetName val="(9) Propane"/>
      <sheetName val="(10) Industrial Production"/>
      <sheetName val="(12) Consumer Credit"/>
      <sheetName val="(12) Delinquency Rate"/>
      <sheetName val="(12) HH Debt Service Ratio"/>
      <sheetName val="(13) Population"/>
      <sheetName val=""/>
      <sheetName val="Sheet4"/>
      <sheetName val="Checklist"/>
      <sheetName val="(1) Consumer Confidence-old"/>
      <sheetName val="(2) Consumer Sentiment-old"/>
      <sheetName val="(3) Wage &amp; Salary-M-old"/>
      <sheetName val="RCS by Product"/>
      <sheetName val="(3) Real Consumer Spending_old"/>
      <sheetName val="(3) Savings Rate-old"/>
      <sheetName val="Foreclosures"/>
      <sheetName val="Subprime"/>
      <sheetName val="Correlation"/>
      <sheetName val="Correlation-old"/>
      <sheetName val="Sheet11"/>
      <sheetName val="Sheet12"/>
      <sheetName val="Winter"/>
      <sheetName val="Chin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/>
      <sheetData sheetId="26" refreshError="1"/>
      <sheetData sheetId="27"/>
      <sheetData sheetId="28"/>
      <sheetData sheetId="29" refreshError="1"/>
      <sheetData sheetId="30"/>
      <sheetData sheetId="31" refreshError="1"/>
      <sheetData sheetId="32" refreshError="1"/>
      <sheetData sheetId="33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Data Page"/>
      <sheetName val="Macro4"/>
      <sheetName val="Charts Econ. Section of Report"/>
      <sheetName val="Rev credit"/>
      <sheetName val="Real GDP"/>
      <sheetName val="BBY Comps"/>
      <sheetName val="CC Comps"/>
      <sheetName val="Macro3"/>
      <sheetName val="Macro8"/>
      <sheetName val="Macro5"/>
      <sheetName val="Macro6"/>
      <sheetName val="Macro7"/>
      <sheetName val="Macro9"/>
      <sheetName val="Macro10"/>
      <sheetName val="Macro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 Level (3)"/>
      <sheetName val="GDP Level (2)"/>
      <sheetName val="GDP Level"/>
      <sheetName val="GDP Work"/>
      <sheetName val="Semi GDP (2)"/>
      <sheetName val="Semi GDP"/>
      <sheetName val="Quarterly GDP"/>
      <sheetName val="Base Data"/>
      <sheetName val="Sheet2"/>
      <sheetName val="Sheet3"/>
      <sheetName val="Fed Funds"/>
      <sheetName val="Data Page"/>
      <sheetName val="99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(9) Fed Funds Target"/>
      <sheetName val="Analysis"/>
      <sheetName val="Annual"/>
      <sheetName val="Events"/>
      <sheetName val="Quarter"/>
      <sheetName val="GSRXL"/>
      <sheetName val="Data - NonFoo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r Lookups"/>
      <sheetName val="Brand Lookups"/>
      <sheetName val="97 cat pivots"/>
      <sheetName val="Yr Pivots"/>
      <sheetName val="Qtr Pivots"/>
      <sheetName val="Lookups"/>
      <sheetName val="Sales"/>
      <sheetName val="Natl Roll4 brand"/>
      <sheetName val="Natl Roll4 Category"/>
      <sheetName val="2002"/>
      <sheetName val="2001"/>
      <sheetName val="2000"/>
      <sheetName val="cat 2002"/>
      <sheetName val="cat 2001"/>
      <sheetName val="cat 2000"/>
      <sheetName val="97-01"/>
      <sheetName val="97-01 Cat"/>
      <sheetName val="Natl Roll4 brand LEC"/>
      <sheetName val="Natl Roll4 Category L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 t="str">
            <v>A</v>
          </cell>
        </row>
        <row r="4">
          <cell r="B4" t="str">
            <v>Adam's Mark</v>
          </cell>
          <cell r="C4" t="str">
            <v>First Class (Upscale)</v>
          </cell>
          <cell r="F4" t="str">
            <v>Budget</v>
          </cell>
          <cell r="G4" t="str">
            <v>g</v>
          </cell>
          <cell r="H4" t="str">
            <v>e</v>
          </cell>
          <cell r="I4" t="str">
            <v>e</v>
          </cell>
          <cell r="K4" t="str">
            <v>AK</v>
          </cell>
          <cell r="L4" t="str">
            <v>Alaska</v>
          </cell>
          <cell r="M4" t="str">
            <v>M/P</v>
          </cell>
          <cell r="N4" t="str">
            <v>P</v>
          </cell>
          <cell r="S4" t="str">
            <v>ENC</v>
          </cell>
          <cell r="T4" t="str">
            <v>4ENC</v>
          </cell>
        </row>
        <row r="5">
          <cell r="B5" t="str">
            <v>AmericInn</v>
          </cell>
          <cell r="C5" t="str">
            <v>Limited-Service (Economy)</v>
          </cell>
          <cell r="F5" t="str">
            <v>Budget x</v>
          </cell>
          <cell r="G5" t="str">
            <v>gg</v>
          </cell>
          <cell r="K5" t="str">
            <v>AL</v>
          </cell>
          <cell r="L5" t="str">
            <v>Alabama</v>
          </cell>
          <cell r="M5" t="str">
            <v>SC</v>
          </cell>
          <cell r="N5" t="str">
            <v>ESC</v>
          </cell>
          <cell r="S5" t="str">
            <v>ESC</v>
          </cell>
          <cell r="T5" t="str">
            <v>6ESC</v>
          </cell>
        </row>
        <row r="6">
          <cell r="B6" t="str">
            <v>AmeriHost Inn</v>
          </cell>
          <cell r="C6" t="str">
            <v>Limited-Service (Mid-Market)</v>
          </cell>
          <cell r="F6" t="str">
            <v>Casino</v>
          </cell>
          <cell r="G6" t="str">
            <v>k</v>
          </cell>
          <cell r="H6" t="str">
            <v>k</v>
          </cell>
          <cell r="I6" t="str">
            <v>k</v>
          </cell>
          <cell r="K6" t="str">
            <v>AR</v>
          </cell>
          <cell r="L6" t="str">
            <v>Arkansas</v>
          </cell>
          <cell r="M6" t="str">
            <v>SC</v>
          </cell>
          <cell r="N6" t="str">
            <v>WSC</v>
          </cell>
          <cell r="S6" t="str">
            <v>M</v>
          </cell>
          <cell r="T6" t="str">
            <v>8M</v>
          </cell>
        </row>
        <row r="7">
          <cell r="B7" t="str">
            <v>AmeriSuites</v>
          </cell>
          <cell r="C7" t="str">
            <v>Limited-Service (Mid-Market)</v>
          </cell>
          <cell r="F7" t="str">
            <v>Extended-Stay (Lower Tier)</v>
          </cell>
          <cell r="G7" t="str">
            <v>j</v>
          </cell>
          <cell r="H7" t="str">
            <v>j</v>
          </cell>
          <cell r="I7" t="str">
            <v>j</v>
          </cell>
          <cell r="K7" t="str">
            <v>AZ</v>
          </cell>
          <cell r="L7" t="str">
            <v>Arizona</v>
          </cell>
          <cell r="M7" t="str">
            <v>M/P</v>
          </cell>
          <cell r="N7" t="str">
            <v>M</v>
          </cell>
          <cell r="S7" t="str">
            <v>MA</v>
          </cell>
          <cell r="T7" t="str">
            <v>2MA</v>
          </cell>
        </row>
        <row r="8">
          <cell r="B8" t="str">
            <v>Baymont Inn</v>
          </cell>
          <cell r="C8" t="str">
            <v>Limited-Service (Mid-Market)</v>
          </cell>
          <cell r="F8" t="str">
            <v>Extended-Stay (Lower Tier) x</v>
          </cell>
          <cell r="G8" t="str">
            <v>jj</v>
          </cell>
          <cell r="K8" t="str">
            <v>CA</v>
          </cell>
          <cell r="L8" t="str">
            <v>California</v>
          </cell>
          <cell r="M8" t="str">
            <v>M/P</v>
          </cell>
          <cell r="N8" t="str">
            <v>P</v>
          </cell>
          <cell r="S8" t="str">
            <v>NE</v>
          </cell>
          <cell r="T8" t="str">
            <v>1NE</v>
          </cell>
        </row>
        <row r="9">
          <cell r="B9" t="str">
            <v>Best Inn</v>
          </cell>
          <cell r="C9" t="str">
            <v>Budget</v>
          </cell>
          <cell r="F9" t="str">
            <v>Extended-Stay (Middle Tier)</v>
          </cell>
          <cell r="G9" t="str">
            <v>i</v>
          </cell>
          <cell r="H9" t="str">
            <v>i</v>
          </cell>
          <cell r="I9" t="str">
            <v>i</v>
          </cell>
          <cell r="K9" t="str">
            <v>CO</v>
          </cell>
          <cell r="L9" t="str">
            <v>Colorado</v>
          </cell>
          <cell r="M9" t="str">
            <v>M/P</v>
          </cell>
          <cell r="N9" t="str">
            <v>M</v>
          </cell>
          <cell r="S9" t="str">
            <v>P</v>
          </cell>
          <cell r="T9" t="str">
            <v>9P</v>
          </cell>
        </row>
        <row r="10">
          <cell r="B10" t="str">
            <v>Best Western</v>
          </cell>
          <cell r="C10" t="str">
            <v>Full-Service (Mid-Market)</v>
          </cell>
          <cell r="F10" t="str">
            <v>Extended-Stay (Middle Tier)x</v>
          </cell>
          <cell r="G10" t="str">
            <v>ii</v>
          </cell>
          <cell r="K10" t="str">
            <v>CT</v>
          </cell>
          <cell r="L10" t="str">
            <v>Connecticut</v>
          </cell>
          <cell r="M10" t="str">
            <v>NE/MA</v>
          </cell>
          <cell r="N10" t="str">
            <v>NE</v>
          </cell>
          <cell r="S10" t="str">
            <v>SA</v>
          </cell>
          <cell r="T10" t="str">
            <v>3SA</v>
          </cell>
        </row>
        <row r="11">
          <cell r="B11" t="str">
            <v>Bradford Suites</v>
          </cell>
          <cell r="C11" t="str">
            <v>Extended-Stay (Lower Tier)</v>
          </cell>
          <cell r="F11" t="str">
            <v>Extended-Stay (Upper Tier)</v>
          </cell>
          <cell r="G11" t="str">
            <v>h</v>
          </cell>
          <cell r="H11" t="str">
            <v>h</v>
          </cell>
          <cell r="I11" t="str">
            <v>h</v>
          </cell>
          <cell r="K11" t="str">
            <v>DC</v>
          </cell>
          <cell r="L11" t="str">
            <v>District of Columbia</v>
          </cell>
          <cell r="M11" t="str">
            <v>SA</v>
          </cell>
          <cell r="N11" t="str">
            <v>SA</v>
          </cell>
          <cell r="S11" t="str">
            <v>WNC</v>
          </cell>
          <cell r="T11" t="str">
            <v>5WNC</v>
          </cell>
        </row>
        <row r="12">
          <cell r="B12" t="str">
            <v>Budget Suites of America</v>
          </cell>
          <cell r="C12" t="str">
            <v>Full-Service (Mid-Market)</v>
          </cell>
          <cell r="F12" t="str">
            <v>Extended-Stay (Upper Tier) x</v>
          </cell>
          <cell r="G12" t="str">
            <v>hh</v>
          </cell>
          <cell r="K12" t="str">
            <v>DE</v>
          </cell>
          <cell r="L12" t="str">
            <v>Delaware</v>
          </cell>
          <cell r="M12" t="str">
            <v>SA</v>
          </cell>
          <cell r="N12" t="str">
            <v>SA</v>
          </cell>
          <cell r="S12" t="str">
            <v>WSC</v>
          </cell>
          <cell r="T12" t="str">
            <v>7WSC</v>
          </cell>
        </row>
        <row r="13">
          <cell r="B13" t="str">
            <v>Budgetel Inn</v>
          </cell>
          <cell r="C13" t="str">
            <v>Limited-Service (Economy)</v>
          </cell>
          <cell r="F13" t="str">
            <v>First Class (Upscale)</v>
          </cell>
          <cell r="G13" t="str">
            <v>b</v>
          </cell>
          <cell r="H13" t="str">
            <v>b</v>
          </cell>
          <cell r="I13" t="str">
            <v>b</v>
          </cell>
          <cell r="K13" t="str">
            <v>FL</v>
          </cell>
          <cell r="L13" t="str">
            <v>Florida</v>
          </cell>
          <cell r="M13" t="str">
            <v>SA</v>
          </cell>
          <cell r="N13" t="str">
            <v>SA</v>
          </cell>
        </row>
        <row r="14">
          <cell r="B14" t="str">
            <v>Candlewood Suites</v>
          </cell>
          <cell r="C14" t="str">
            <v>Extended-Stay (Lower Tier)</v>
          </cell>
          <cell r="F14" t="str">
            <v>First Class (Upscale) x</v>
          </cell>
          <cell r="G14" t="str">
            <v>bb</v>
          </cell>
          <cell r="K14" t="str">
            <v>GA</v>
          </cell>
          <cell r="L14" t="str">
            <v>Georgia</v>
          </cell>
          <cell r="M14" t="str">
            <v>SA</v>
          </cell>
          <cell r="N14" t="str">
            <v>SA</v>
          </cell>
        </row>
        <row r="15">
          <cell r="B15" t="str">
            <v>Clarion</v>
          </cell>
          <cell r="C15" t="str">
            <v>Full-Service (Mid-Market)</v>
          </cell>
          <cell r="F15" t="str">
            <v>Full-Service (Economy)</v>
          </cell>
          <cell r="G15" t="str">
            <v>e</v>
          </cell>
          <cell r="H15" t="str">
            <v>d</v>
          </cell>
          <cell r="I15" t="str">
            <v>d</v>
          </cell>
          <cell r="K15" t="str">
            <v>HI</v>
          </cell>
          <cell r="L15" t="str">
            <v>Hawaii</v>
          </cell>
          <cell r="M15" t="str">
            <v>M/P</v>
          </cell>
          <cell r="N15" t="str">
            <v>P</v>
          </cell>
        </row>
        <row r="16">
          <cell r="B16" t="str">
            <v>Club Hotel by Doubletree</v>
          </cell>
          <cell r="C16" t="str">
            <v>Full-Service (Mid-Market)</v>
          </cell>
          <cell r="F16" t="str">
            <v>Full-Service (Economy) x</v>
          </cell>
          <cell r="G16" t="str">
            <v>ee</v>
          </cell>
          <cell r="K16" t="str">
            <v>IA</v>
          </cell>
          <cell r="L16" t="str">
            <v>Iowa</v>
          </cell>
          <cell r="M16" t="str">
            <v>NC</v>
          </cell>
          <cell r="N16" t="str">
            <v>WNC</v>
          </cell>
        </row>
        <row r="17">
          <cell r="B17" t="str">
            <v>ClubHouse Inn</v>
          </cell>
          <cell r="C17" t="str">
            <v>Full-Service (Mid-Market)</v>
          </cell>
          <cell r="F17" t="str">
            <v>Full-Service (Mid-Market)</v>
          </cell>
          <cell r="G17" t="str">
            <v>c</v>
          </cell>
          <cell r="H17" t="str">
            <v>c</v>
          </cell>
          <cell r="I17" t="str">
            <v>c</v>
          </cell>
          <cell r="K17" t="str">
            <v>ID</v>
          </cell>
          <cell r="L17" t="str">
            <v>Idaho</v>
          </cell>
          <cell r="M17" t="str">
            <v>M/P</v>
          </cell>
          <cell r="N17" t="str">
            <v>M</v>
          </cell>
        </row>
        <row r="18">
          <cell r="B18" t="str">
            <v>Comfort Inn</v>
          </cell>
          <cell r="C18" t="str">
            <v>Limited-Service (Mid-Market)</v>
          </cell>
          <cell r="F18" t="str">
            <v>Full-Service (Mid-Market) x</v>
          </cell>
          <cell r="G18" t="str">
            <v>cc</v>
          </cell>
          <cell r="K18" t="str">
            <v>IL</v>
          </cell>
          <cell r="L18" t="str">
            <v>Illinois</v>
          </cell>
          <cell r="M18" t="str">
            <v>NC</v>
          </cell>
          <cell r="N18" t="str">
            <v>ENC</v>
          </cell>
          <cell r="S18" t="str">
            <v>Airport</v>
          </cell>
          <cell r="T18" t="str">
            <v>3Airport</v>
          </cell>
        </row>
        <row r="19">
          <cell r="B19" t="str">
            <v>Comfort Suites</v>
          </cell>
          <cell r="C19" t="str">
            <v>Limited-Service (Mid-Market)</v>
          </cell>
          <cell r="F19" t="str">
            <v>Limited-Service (Economy)</v>
          </cell>
          <cell r="G19" t="str">
            <v>f</v>
          </cell>
          <cell r="H19" t="str">
            <v>d</v>
          </cell>
          <cell r="I19" t="str">
            <v>d</v>
          </cell>
          <cell r="K19" t="str">
            <v>IN</v>
          </cell>
          <cell r="L19" t="str">
            <v>Indiana</v>
          </cell>
          <cell r="M19" t="str">
            <v>NC</v>
          </cell>
          <cell r="N19" t="str">
            <v>ENC</v>
          </cell>
          <cell r="S19" t="str">
            <v>CBD</v>
          </cell>
          <cell r="T19" t="str">
            <v>1CBD</v>
          </cell>
        </row>
        <row r="20">
          <cell r="B20" t="str">
            <v>Country Hearth Inn</v>
          </cell>
          <cell r="C20" t="str">
            <v>Limited-Service (Mid-Market)</v>
          </cell>
          <cell r="F20" t="str">
            <v>Limited-Service (Economy) x</v>
          </cell>
          <cell r="G20" t="str">
            <v>ff</v>
          </cell>
          <cell r="K20" t="str">
            <v>KS</v>
          </cell>
          <cell r="L20" t="str">
            <v>Kansas</v>
          </cell>
          <cell r="M20" t="str">
            <v>NC</v>
          </cell>
          <cell r="N20" t="str">
            <v>WNC</v>
          </cell>
          <cell r="S20" t="str">
            <v>Highway</v>
          </cell>
          <cell r="T20" t="str">
            <v>5Highway</v>
          </cell>
        </row>
        <row r="21">
          <cell r="B21" t="str">
            <v>Country Inn &amp; Suites</v>
          </cell>
          <cell r="C21" t="str">
            <v>Limited-Service (Mid-Market)</v>
          </cell>
          <cell r="F21" t="str">
            <v>Limited-Service (Mid-Market)</v>
          </cell>
          <cell r="G21" t="str">
            <v>d</v>
          </cell>
          <cell r="H21" t="str">
            <v>c</v>
          </cell>
          <cell r="I21" t="str">
            <v>c</v>
          </cell>
          <cell r="K21" t="str">
            <v>KY</v>
          </cell>
          <cell r="L21" t="str">
            <v>Kentucky</v>
          </cell>
          <cell r="M21" t="str">
            <v>SC</v>
          </cell>
          <cell r="N21" t="str">
            <v>ESC</v>
          </cell>
          <cell r="S21" t="str">
            <v>Resort</v>
          </cell>
          <cell r="T21" t="str">
            <v>4Resort</v>
          </cell>
        </row>
        <row r="22">
          <cell r="B22" t="str">
            <v>Courtyard by Marriott</v>
          </cell>
          <cell r="C22" t="str">
            <v>Full-Service (Mid-Market)</v>
          </cell>
          <cell r="F22" t="str">
            <v>Limited-Service (Mid-Market) x</v>
          </cell>
          <cell r="G22" t="str">
            <v>dd</v>
          </cell>
          <cell r="K22" t="str">
            <v>LA</v>
          </cell>
          <cell r="L22" t="str">
            <v>Louisiana</v>
          </cell>
          <cell r="M22" t="str">
            <v>SC</v>
          </cell>
          <cell r="N22" t="str">
            <v>WSC</v>
          </cell>
          <cell r="S22" t="str">
            <v>Suburban</v>
          </cell>
          <cell r="T22" t="str">
            <v>2Suburban</v>
          </cell>
        </row>
        <row r="23">
          <cell r="B23" t="str">
            <v>Crestwood Suites</v>
          </cell>
          <cell r="C23" t="str">
            <v>Limited-Service (Mid-Market)</v>
          </cell>
          <cell r="F23" t="str">
            <v>Luxury</v>
          </cell>
          <cell r="G23" t="str">
            <v>a</v>
          </cell>
          <cell r="H23" t="str">
            <v>a</v>
          </cell>
          <cell r="I23" t="str">
            <v>a</v>
          </cell>
          <cell r="K23" t="str">
            <v>MA</v>
          </cell>
          <cell r="L23" t="str">
            <v>Massachusetts</v>
          </cell>
          <cell r="M23" t="str">
            <v>NE/MA</v>
          </cell>
          <cell r="N23" t="str">
            <v>NE</v>
          </cell>
        </row>
        <row r="24">
          <cell r="B24" t="str">
            <v>Crossland Economy Studios</v>
          </cell>
          <cell r="C24" t="str">
            <v>Extended-Stay (Lower Tier)</v>
          </cell>
          <cell r="F24" t="str">
            <v>Luxury x</v>
          </cell>
          <cell r="G24" t="str">
            <v>aa</v>
          </cell>
          <cell r="K24" t="str">
            <v>MD</v>
          </cell>
          <cell r="L24" t="str">
            <v>Maryland</v>
          </cell>
          <cell r="M24" t="str">
            <v>SA</v>
          </cell>
          <cell r="N24" t="str">
            <v>SA</v>
          </cell>
        </row>
        <row r="25">
          <cell r="B25" t="str">
            <v>Crowne Plaza</v>
          </cell>
          <cell r="C25" t="str">
            <v>First Class (Upscale)</v>
          </cell>
          <cell r="K25" t="str">
            <v>ME</v>
          </cell>
          <cell r="L25" t="str">
            <v>Maine</v>
          </cell>
          <cell r="M25" t="str">
            <v>NE/MA</v>
          </cell>
          <cell r="N25" t="str">
            <v>NE</v>
          </cell>
        </row>
        <row r="26">
          <cell r="B26" t="str">
            <v>Crystal Inn</v>
          </cell>
          <cell r="C26" t="str">
            <v>Limited-Service (Mid-Market)</v>
          </cell>
          <cell r="F26">
            <v>1</v>
          </cell>
          <cell r="G26">
            <v>1</v>
          </cell>
          <cell r="K26" t="str">
            <v>MI</v>
          </cell>
          <cell r="L26" t="str">
            <v>Michigan</v>
          </cell>
          <cell r="M26" t="str">
            <v>NC</v>
          </cell>
          <cell r="N26" t="str">
            <v>ENC</v>
          </cell>
        </row>
        <row r="27">
          <cell r="B27" t="str">
            <v>Days Inn</v>
          </cell>
          <cell r="C27" t="str">
            <v>Full-Service (Economy)</v>
          </cell>
          <cell r="F27">
            <v>1000000</v>
          </cell>
          <cell r="G27">
            <v>2</v>
          </cell>
          <cell r="K27" t="str">
            <v>MN</v>
          </cell>
          <cell r="L27" t="str">
            <v>Minnesota</v>
          </cell>
          <cell r="M27" t="str">
            <v>NC</v>
          </cell>
          <cell r="N27" t="str">
            <v>WNC</v>
          </cell>
        </row>
        <row r="28">
          <cell r="B28" t="str">
            <v>Doubletree Guest Suites</v>
          </cell>
          <cell r="C28" t="str">
            <v>First Class (Upscale)</v>
          </cell>
          <cell r="F28">
            <v>2500000</v>
          </cell>
          <cell r="G28">
            <v>3</v>
          </cell>
          <cell r="K28" t="str">
            <v>MO</v>
          </cell>
          <cell r="L28" t="str">
            <v>Missouri</v>
          </cell>
          <cell r="M28" t="str">
            <v>NC</v>
          </cell>
          <cell r="N28" t="str">
            <v>WNC</v>
          </cell>
        </row>
        <row r="29">
          <cell r="B29" t="str">
            <v>Doubletree Hotel</v>
          </cell>
          <cell r="C29" t="str">
            <v>First Class (Upscale)</v>
          </cell>
          <cell r="F29">
            <v>5000000</v>
          </cell>
          <cell r="G29">
            <v>4</v>
          </cell>
          <cell r="K29" t="str">
            <v>MS</v>
          </cell>
          <cell r="L29" t="str">
            <v>Mississippi</v>
          </cell>
          <cell r="M29" t="str">
            <v>SC</v>
          </cell>
          <cell r="N29" t="str">
            <v>ESC</v>
          </cell>
        </row>
        <row r="30">
          <cell r="B30" t="str">
            <v>Drury Inn</v>
          </cell>
          <cell r="C30" t="str">
            <v>Full-Service (Mid-Market)</v>
          </cell>
          <cell r="F30">
            <v>10000000</v>
          </cell>
          <cell r="G30">
            <v>5</v>
          </cell>
          <cell r="K30" t="str">
            <v>MT</v>
          </cell>
          <cell r="L30" t="str">
            <v>Montana</v>
          </cell>
          <cell r="M30" t="str">
            <v>M/P</v>
          </cell>
          <cell r="N30" t="str">
            <v>M</v>
          </cell>
        </row>
        <row r="31">
          <cell r="B31" t="str">
            <v>Econo Lodge</v>
          </cell>
          <cell r="C31" t="str">
            <v>Limited-Service (Economy)</v>
          </cell>
          <cell r="F31">
            <v>20000000</v>
          </cell>
          <cell r="G31">
            <v>6</v>
          </cell>
          <cell r="K31" t="str">
            <v>NC</v>
          </cell>
          <cell r="L31" t="str">
            <v>North Carolina</v>
          </cell>
          <cell r="M31" t="str">
            <v>SA</v>
          </cell>
          <cell r="N31" t="str">
            <v>SA</v>
          </cell>
        </row>
        <row r="32">
          <cell r="B32" t="str">
            <v>Embassy Suites</v>
          </cell>
          <cell r="C32" t="str">
            <v>First Class (Upscale)</v>
          </cell>
          <cell r="F32">
            <v>999999999</v>
          </cell>
          <cell r="G32">
            <v>6</v>
          </cell>
          <cell r="K32" t="str">
            <v>ND</v>
          </cell>
          <cell r="L32" t="str">
            <v>North Dakota</v>
          </cell>
          <cell r="M32" t="str">
            <v>NC</v>
          </cell>
          <cell r="N32" t="str">
            <v>WNC</v>
          </cell>
        </row>
        <row r="33">
          <cell r="B33" t="str">
            <v>Extended Stay America</v>
          </cell>
          <cell r="C33" t="str">
            <v>Extended-Stay (Lower Tier)</v>
          </cell>
          <cell r="K33" t="str">
            <v>NE</v>
          </cell>
          <cell r="L33" t="str">
            <v>Nebraska</v>
          </cell>
          <cell r="M33" t="str">
            <v>NC</v>
          </cell>
          <cell r="N33" t="str">
            <v>WNC</v>
          </cell>
        </row>
        <row r="34">
          <cell r="B34" t="str">
            <v>Fairfield Inn</v>
          </cell>
          <cell r="C34" t="str">
            <v>Limited-Service (Economy)</v>
          </cell>
          <cell r="K34" t="str">
            <v>NH</v>
          </cell>
          <cell r="L34" t="str">
            <v>New Hampshire</v>
          </cell>
          <cell r="M34" t="str">
            <v>NE/MA</v>
          </cell>
          <cell r="N34" t="str">
            <v>NE</v>
          </cell>
        </row>
        <row r="35">
          <cell r="B35" t="str">
            <v>Fairfield Suites</v>
          </cell>
          <cell r="C35" t="str">
            <v>Limited-Service (Economy)</v>
          </cell>
          <cell r="K35" t="str">
            <v>NJ</v>
          </cell>
          <cell r="L35" t="str">
            <v>New Jersey</v>
          </cell>
          <cell r="M35" t="str">
            <v>NE/MA</v>
          </cell>
          <cell r="N35" t="str">
            <v>MA</v>
          </cell>
        </row>
        <row r="36">
          <cell r="B36" t="str">
            <v>Fairmont Hotel</v>
          </cell>
          <cell r="C36" t="str">
            <v>Luxury</v>
          </cell>
          <cell r="K36" t="str">
            <v>NM</v>
          </cell>
          <cell r="L36" t="str">
            <v>New Mexico</v>
          </cell>
          <cell r="M36" t="str">
            <v>M/P</v>
          </cell>
          <cell r="N36" t="str">
            <v>M</v>
          </cell>
        </row>
        <row r="37">
          <cell r="B37" t="str">
            <v>Four Points Hotel</v>
          </cell>
          <cell r="C37" t="str">
            <v>Full-Service (Mid-Market)</v>
          </cell>
          <cell r="F37">
            <v>1</v>
          </cell>
          <cell r="G37">
            <v>1</v>
          </cell>
          <cell r="K37" t="str">
            <v>NV</v>
          </cell>
          <cell r="L37" t="str">
            <v>Nevada</v>
          </cell>
          <cell r="M37" t="str">
            <v>M/P</v>
          </cell>
          <cell r="N37" t="str">
            <v>M</v>
          </cell>
        </row>
        <row r="38">
          <cell r="B38" t="str">
            <v>Four Seasons</v>
          </cell>
          <cell r="C38" t="str">
            <v>Luxury</v>
          </cell>
          <cell r="F38">
            <v>75</v>
          </cell>
          <cell r="G38">
            <v>2</v>
          </cell>
          <cell r="K38" t="str">
            <v>NY</v>
          </cell>
          <cell r="L38" t="str">
            <v>New York</v>
          </cell>
          <cell r="M38" t="str">
            <v>NE/MA</v>
          </cell>
          <cell r="N38" t="str">
            <v>MA</v>
          </cell>
        </row>
        <row r="39">
          <cell r="B39" t="str">
            <v>French Quarter Suites</v>
          </cell>
          <cell r="C39" t="str">
            <v>Full-Service (Mid-Market)</v>
          </cell>
          <cell r="F39">
            <v>150</v>
          </cell>
          <cell r="G39">
            <v>3</v>
          </cell>
          <cell r="K39" t="str">
            <v>OH</v>
          </cell>
          <cell r="L39" t="str">
            <v>Ohio</v>
          </cell>
          <cell r="M39" t="str">
            <v>NC</v>
          </cell>
          <cell r="N39" t="str">
            <v>ENC</v>
          </cell>
        </row>
        <row r="40">
          <cell r="B40" t="str">
            <v>Friendship Inn</v>
          </cell>
          <cell r="C40" t="str">
            <v>Budget</v>
          </cell>
          <cell r="F40">
            <v>300</v>
          </cell>
          <cell r="G40">
            <v>4</v>
          </cell>
          <cell r="K40" t="str">
            <v>OK</v>
          </cell>
          <cell r="L40" t="str">
            <v>Oklahoma</v>
          </cell>
          <cell r="M40" t="str">
            <v>SC</v>
          </cell>
          <cell r="N40" t="str">
            <v>WSC</v>
          </cell>
        </row>
        <row r="41">
          <cell r="B41" t="str">
            <v>Grand Bay Hotel</v>
          </cell>
          <cell r="C41" t="str">
            <v>First Class (Upscale)</v>
          </cell>
          <cell r="F41">
            <v>500</v>
          </cell>
          <cell r="G41">
            <v>5</v>
          </cell>
          <cell r="K41" t="str">
            <v>OR</v>
          </cell>
          <cell r="L41" t="str">
            <v>Oregon</v>
          </cell>
          <cell r="M41" t="str">
            <v>M/P</v>
          </cell>
          <cell r="N41" t="str">
            <v>P</v>
          </cell>
        </row>
        <row r="42">
          <cell r="B42" t="str">
            <v>GuestHouse Inn</v>
          </cell>
          <cell r="C42" t="str">
            <v>Limited-Service (Mid-Market)</v>
          </cell>
          <cell r="F42">
            <v>9999</v>
          </cell>
          <cell r="G42">
            <v>5</v>
          </cell>
          <cell r="K42" t="str">
            <v>PA</v>
          </cell>
          <cell r="L42" t="str">
            <v>Pennsylvania</v>
          </cell>
          <cell r="M42" t="str">
            <v>NE/MA</v>
          </cell>
          <cell r="N42" t="str">
            <v>MA</v>
          </cell>
        </row>
        <row r="43">
          <cell r="B43" t="str">
            <v>Hampton Inn</v>
          </cell>
          <cell r="C43" t="str">
            <v>Limited-Service (Mid-Market)</v>
          </cell>
          <cell r="K43" t="str">
            <v>RI</v>
          </cell>
          <cell r="L43" t="str">
            <v>Rhode Island</v>
          </cell>
          <cell r="M43" t="str">
            <v>NE/MA</v>
          </cell>
          <cell r="N43" t="str">
            <v>NE</v>
          </cell>
        </row>
        <row r="44">
          <cell r="B44" t="str">
            <v>Hampton Inn &amp; Suites</v>
          </cell>
          <cell r="C44" t="str">
            <v>Limited-Service (Mid-Market)</v>
          </cell>
          <cell r="K44" t="str">
            <v>SC</v>
          </cell>
          <cell r="L44" t="str">
            <v>South Carolina</v>
          </cell>
          <cell r="M44" t="str">
            <v>SA</v>
          </cell>
          <cell r="N44" t="str">
            <v>SA</v>
          </cell>
        </row>
        <row r="45">
          <cell r="B45" t="str">
            <v>Harley Hotel</v>
          </cell>
          <cell r="C45" t="str">
            <v>Full-Service (Mid-Market)</v>
          </cell>
          <cell r="K45" t="str">
            <v>SD</v>
          </cell>
          <cell r="L45" t="str">
            <v>South Dakota</v>
          </cell>
          <cell r="M45" t="str">
            <v>NC</v>
          </cell>
          <cell r="N45" t="str">
            <v>WNC</v>
          </cell>
        </row>
        <row r="46">
          <cell r="B46" t="str">
            <v>Hawthorn Suites</v>
          </cell>
          <cell r="C46" t="str">
            <v>Extended-Stay (Upper Tier)</v>
          </cell>
          <cell r="K46" t="str">
            <v>TN</v>
          </cell>
          <cell r="L46" t="str">
            <v>Tennessee</v>
          </cell>
          <cell r="M46" t="str">
            <v>SC</v>
          </cell>
          <cell r="N46" t="str">
            <v>ESC</v>
          </cell>
        </row>
        <row r="47">
          <cell r="B47" t="str">
            <v>Hawthorn Suites Ltd.</v>
          </cell>
          <cell r="C47" t="str">
            <v>Extended-Stay (Middle Tier)</v>
          </cell>
          <cell r="K47" t="str">
            <v>TX</v>
          </cell>
          <cell r="L47" t="str">
            <v>Texas</v>
          </cell>
          <cell r="M47" t="str">
            <v>SC</v>
          </cell>
          <cell r="N47" t="str">
            <v>WSC</v>
          </cell>
        </row>
        <row r="48">
          <cell r="B48" t="str">
            <v>Hearthside Inn</v>
          </cell>
          <cell r="C48" t="str">
            <v>Extended-Stay (Lower Tier)</v>
          </cell>
          <cell r="K48" t="str">
            <v>UT</v>
          </cell>
          <cell r="L48" t="str">
            <v>Utah</v>
          </cell>
          <cell r="M48" t="str">
            <v>M/P</v>
          </cell>
          <cell r="N48" t="str">
            <v>M</v>
          </cell>
        </row>
        <row r="49">
          <cell r="B49" t="str">
            <v>Hilton Garden Inn</v>
          </cell>
          <cell r="C49" t="str">
            <v>Full-Service (Mid-Market)</v>
          </cell>
          <cell r="K49" t="str">
            <v>VA</v>
          </cell>
          <cell r="L49" t="str">
            <v>Virginia</v>
          </cell>
          <cell r="M49" t="str">
            <v>SA</v>
          </cell>
          <cell r="N49" t="str">
            <v>SA</v>
          </cell>
        </row>
        <row r="50">
          <cell r="B50" t="str">
            <v>Hilton Hotel</v>
          </cell>
          <cell r="C50" t="str">
            <v>First Class (Upscale)</v>
          </cell>
          <cell r="K50" t="str">
            <v>VT</v>
          </cell>
          <cell r="L50" t="str">
            <v>Vermont</v>
          </cell>
          <cell r="M50" t="str">
            <v>NE/MA</v>
          </cell>
          <cell r="N50" t="str">
            <v>NE</v>
          </cell>
        </row>
        <row r="51">
          <cell r="B51" t="str">
            <v>Hilton Inn</v>
          </cell>
          <cell r="C51" t="str">
            <v>First Class (Upscale)</v>
          </cell>
          <cell r="K51" t="str">
            <v>WA</v>
          </cell>
          <cell r="L51" t="str">
            <v>Washington</v>
          </cell>
          <cell r="M51" t="str">
            <v>M/P</v>
          </cell>
          <cell r="N51" t="str">
            <v>P</v>
          </cell>
        </row>
        <row r="52">
          <cell r="B52" t="str">
            <v>Holiday Inn</v>
          </cell>
          <cell r="C52" t="str">
            <v>Full-Service (Mid-Market)</v>
          </cell>
          <cell r="K52" t="str">
            <v>WI</v>
          </cell>
          <cell r="L52" t="str">
            <v>Wisconsin</v>
          </cell>
          <cell r="M52" t="str">
            <v>NC</v>
          </cell>
          <cell r="N52" t="str">
            <v>ENC</v>
          </cell>
        </row>
        <row r="53">
          <cell r="B53" t="str">
            <v>Holiday Inn Express</v>
          </cell>
          <cell r="C53" t="str">
            <v>Limited-Service (Mid-Market)</v>
          </cell>
          <cell r="K53" t="str">
            <v>WV</v>
          </cell>
          <cell r="L53" t="str">
            <v>West Virginia</v>
          </cell>
          <cell r="M53" t="str">
            <v>SA</v>
          </cell>
          <cell r="N53" t="str">
            <v>SA</v>
          </cell>
        </row>
        <row r="54">
          <cell r="B54" t="str">
            <v>Holiday Inn Select</v>
          </cell>
          <cell r="C54" t="str">
            <v>Full-Service (Mid-Market)</v>
          </cell>
          <cell r="K54" t="str">
            <v>WY</v>
          </cell>
          <cell r="L54" t="str">
            <v>Wyoming</v>
          </cell>
          <cell r="M54" t="str">
            <v>M/P</v>
          </cell>
          <cell r="N54" t="str">
            <v>M</v>
          </cell>
        </row>
        <row r="55">
          <cell r="B55" t="str">
            <v>Holiday Inn Sunspree</v>
          </cell>
          <cell r="C55" t="str">
            <v>First Class (Upscale)</v>
          </cell>
        </row>
        <row r="56">
          <cell r="B56" t="str">
            <v>Homegate Studios &amp; Suites</v>
          </cell>
          <cell r="C56" t="str">
            <v>Extended-Stay (Lower Tier)</v>
          </cell>
        </row>
        <row r="57">
          <cell r="B57" t="str">
            <v>Homestead Studio Suites</v>
          </cell>
          <cell r="C57" t="str">
            <v>Extended-Stay (Lower Tier)</v>
          </cell>
        </row>
        <row r="58">
          <cell r="B58" t="str">
            <v>Homewood Suites by Hilton</v>
          </cell>
          <cell r="C58" t="str">
            <v>Extended-Stay (Upper Tier)</v>
          </cell>
        </row>
        <row r="59">
          <cell r="B59" t="str">
            <v>Hotel Novotel</v>
          </cell>
          <cell r="C59" t="str">
            <v>First Class (Upscale)</v>
          </cell>
        </row>
        <row r="60">
          <cell r="B60" t="str">
            <v>Hotel Sofitel</v>
          </cell>
          <cell r="C60" t="str">
            <v>First Class (Upscale)</v>
          </cell>
        </row>
        <row r="61">
          <cell r="B61" t="str">
            <v>Howard Johnson</v>
          </cell>
          <cell r="C61" t="str">
            <v>Full-Service (Economy)</v>
          </cell>
        </row>
        <row r="62">
          <cell r="B62" t="str">
            <v>Howard Johnson Express Inn</v>
          </cell>
          <cell r="C62" t="str">
            <v>Limited-Service (Economy)</v>
          </cell>
        </row>
        <row r="63">
          <cell r="B63" t="str">
            <v>Howard Johnson Hotel</v>
          </cell>
          <cell r="C63" t="str">
            <v>Full-Service (Mid-Market)</v>
          </cell>
        </row>
        <row r="64">
          <cell r="B64" t="str">
            <v>Howard Johnson Inn</v>
          </cell>
          <cell r="C64" t="str">
            <v>Limited-Service (Economy)</v>
          </cell>
        </row>
        <row r="65">
          <cell r="B65" t="str">
            <v>Howard Johnson Plaza</v>
          </cell>
          <cell r="C65" t="str">
            <v>Full-Service (Mid-Market)</v>
          </cell>
        </row>
        <row r="66">
          <cell r="B66" t="str">
            <v>Hyatt Hotel</v>
          </cell>
          <cell r="C66" t="str">
            <v>First Class (Upscale)</v>
          </cell>
        </row>
        <row r="67">
          <cell r="B67" t="str">
            <v>Hyatt Regency</v>
          </cell>
          <cell r="C67" t="str">
            <v>First Class (Upscale)</v>
          </cell>
        </row>
        <row r="68">
          <cell r="B68" t="str">
            <v>InnSuites</v>
          </cell>
          <cell r="C68" t="str">
            <v>Extended-Stay (Lower Tier)</v>
          </cell>
        </row>
        <row r="69">
          <cell r="B69" t="str">
            <v>Inter-Continental</v>
          </cell>
          <cell r="C69" t="str">
            <v>First Class (Upscale)</v>
          </cell>
        </row>
        <row r="70">
          <cell r="B70" t="str">
            <v>Intown Suites</v>
          </cell>
          <cell r="C70" t="str">
            <v>Limited-Service (Economy)</v>
          </cell>
        </row>
        <row r="71">
          <cell r="B71" t="str">
            <v>Jameson Inn</v>
          </cell>
          <cell r="C71" t="str">
            <v>Limited-Service (Mid-Market)</v>
          </cell>
        </row>
        <row r="72">
          <cell r="B72" t="str">
            <v>Key West Inn</v>
          </cell>
          <cell r="C72" t="str">
            <v>Limited-Service (Mid-Market)</v>
          </cell>
        </row>
        <row r="73">
          <cell r="B73" t="str">
            <v>Knights Inn</v>
          </cell>
          <cell r="C73" t="str">
            <v>Limited-Service (Economy)</v>
          </cell>
        </row>
        <row r="74">
          <cell r="B74" t="str">
            <v>La Quinta</v>
          </cell>
          <cell r="C74" t="str">
            <v>Limited-Service (Mid-Market)</v>
          </cell>
        </row>
        <row r="75">
          <cell r="B75" t="str">
            <v>La Quinta Motor Inn</v>
          </cell>
          <cell r="C75" t="str">
            <v>Limited-Service (Mid-Market)</v>
          </cell>
        </row>
        <row r="76">
          <cell r="B76" t="str">
            <v xml:space="preserve">Le Meridien </v>
          </cell>
          <cell r="C76" t="str">
            <v>Luxury</v>
          </cell>
        </row>
        <row r="77">
          <cell r="B77" t="str">
            <v>Loews Hotel</v>
          </cell>
          <cell r="C77" t="str">
            <v>First Class (Upscale)</v>
          </cell>
        </row>
        <row r="78">
          <cell r="B78" t="str">
            <v>MainStay Suites</v>
          </cell>
          <cell r="C78" t="str">
            <v>Extended-Stay (Lower Tier)</v>
          </cell>
        </row>
        <row r="79">
          <cell r="B79" t="str">
            <v>Marriott Hotel</v>
          </cell>
          <cell r="C79" t="str">
            <v>First Class (Upscale)</v>
          </cell>
        </row>
        <row r="80">
          <cell r="B80" t="str">
            <v>Microtel Inn</v>
          </cell>
          <cell r="C80" t="str">
            <v>Budget</v>
          </cell>
        </row>
        <row r="81">
          <cell r="B81" t="str">
            <v>Motel 6</v>
          </cell>
          <cell r="C81" t="str">
            <v>Budget</v>
          </cell>
        </row>
        <row r="82">
          <cell r="B82" t="str">
            <v>Omni Hotel</v>
          </cell>
          <cell r="C82" t="str">
            <v>First Class (Upscale)</v>
          </cell>
        </row>
        <row r="83">
          <cell r="B83" t="str">
            <v>Park Inn</v>
          </cell>
          <cell r="C83" t="str">
            <v>Full-Service (Economy)</v>
          </cell>
        </row>
        <row r="84">
          <cell r="B84" t="str">
            <v>Platinum Suites</v>
          </cell>
          <cell r="C84" t="str">
            <v>Limited-Service (Mid-Market)</v>
          </cell>
        </row>
        <row r="85">
          <cell r="B85" t="str">
            <v>Quality Inn</v>
          </cell>
          <cell r="C85" t="str">
            <v>Full-Service (Mid-Market)</v>
          </cell>
        </row>
        <row r="86">
          <cell r="B86" t="str">
            <v>Quality Suites</v>
          </cell>
          <cell r="C86" t="str">
            <v>Full-Service (Mid-Market)</v>
          </cell>
        </row>
        <row r="87">
          <cell r="B87" t="str">
            <v>Radisson Hotel</v>
          </cell>
          <cell r="C87" t="str">
            <v>First Class (Upscale)</v>
          </cell>
        </row>
        <row r="88">
          <cell r="B88" t="str">
            <v>Radisson Inn</v>
          </cell>
          <cell r="C88" t="str">
            <v>Full-Service (Mid-Market)</v>
          </cell>
        </row>
        <row r="89">
          <cell r="B89" t="str">
            <v>Ramada</v>
          </cell>
          <cell r="C89" t="str">
            <v>Full-Service (Mid-Market)</v>
          </cell>
        </row>
        <row r="90">
          <cell r="B90" t="str">
            <v>Ramada Limited</v>
          </cell>
          <cell r="C90" t="str">
            <v>Limited-Service (Mid-Market)</v>
          </cell>
        </row>
        <row r="91">
          <cell r="B91" t="str">
            <v>Ramada Plaza</v>
          </cell>
          <cell r="C91" t="str">
            <v>Full-Service (Mid-Market)</v>
          </cell>
        </row>
        <row r="92">
          <cell r="B92" t="str">
            <v>Red Lion</v>
          </cell>
          <cell r="C92" t="str">
            <v>First Class (Upscale)</v>
          </cell>
        </row>
        <row r="93">
          <cell r="B93" t="str">
            <v>Red Roof Inn</v>
          </cell>
          <cell r="C93" t="str">
            <v>Limited-Service (Economy)</v>
          </cell>
        </row>
        <row r="94">
          <cell r="B94" t="str">
            <v>Renaissance Hotel</v>
          </cell>
          <cell r="C94" t="str">
            <v>First Class (Upscale)</v>
          </cell>
        </row>
        <row r="95">
          <cell r="B95" t="str">
            <v>Residence Inn</v>
          </cell>
          <cell r="C95" t="str">
            <v>Extended-Stay (Upper Tier)</v>
          </cell>
        </row>
        <row r="96">
          <cell r="B96" t="str">
            <v>Ritz-Carlton</v>
          </cell>
          <cell r="C96" t="str">
            <v>Luxury</v>
          </cell>
        </row>
        <row r="97">
          <cell r="B97" t="str">
            <v>Rodeway Inn</v>
          </cell>
          <cell r="C97" t="str">
            <v>Full-Service (Economy)</v>
          </cell>
        </row>
        <row r="98">
          <cell r="B98" t="str">
            <v>Sheraton Hotel</v>
          </cell>
          <cell r="C98" t="str">
            <v>First Class (Upscale)</v>
          </cell>
        </row>
        <row r="99">
          <cell r="B99" t="str">
            <v>Sheraton Inn</v>
          </cell>
          <cell r="C99" t="str">
            <v>Full-Service (Mid-Market)</v>
          </cell>
        </row>
        <row r="100">
          <cell r="B100" t="str">
            <v>Sheraton Luxury Hotel</v>
          </cell>
          <cell r="C100" t="str">
            <v>Luxury</v>
          </cell>
        </row>
        <row r="101">
          <cell r="B101" t="str">
            <v>Sheraton Inn</v>
          </cell>
          <cell r="C101" t="str">
            <v>Full-Service (Mid-Market)</v>
          </cell>
        </row>
        <row r="102">
          <cell r="B102" t="str">
            <v>Shoney's Inn</v>
          </cell>
          <cell r="C102" t="str">
            <v>Limited-Service (Mid-Market)</v>
          </cell>
        </row>
        <row r="103">
          <cell r="B103" t="str">
            <v>Sierra Suites</v>
          </cell>
          <cell r="C103" t="str">
            <v>Extended-Stay (Lower Tier)</v>
          </cell>
        </row>
        <row r="104">
          <cell r="B104" t="str">
            <v>Signature Inns</v>
          </cell>
          <cell r="C104" t="str">
            <v>Limited-Service (Mid-Market)</v>
          </cell>
        </row>
        <row r="105">
          <cell r="B105" t="str">
            <v>Sleep Inn</v>
          </cell>
          <cell r="C105" t="str">
            <v>Limited-Service (Economy)</v>
          </cell>
        </row>
        <row r="106">
          <cell r="B106" t="str">
            <v>Sofitel</v>
          </cell>
          <cell r="C106" t="str">
            <v>First Class (Upscale)</v>
          </cell>
        </row>
        <row r="107">
          <cell r="B107" t="str">
            <v>SpringHill Suites</v>
          </cell>
          <cell r="C107" t="str">
            <v>Limited-Service (Mid-Market)</v>
          </cell>
        </row>
        <row r="108">
          <cell r="B108" t="str">
            <v>Starwood Hotel</v>
          </cell>
          <cell r="C108" t="str">
            <v>First Class (Upscale)</v>
          </cell>
        </row>
        <row r="109">
          <cell r="B109" t="str">
            <v>Staybridge Suites</v>
          </cell>
          <cell r="C109" t="str">
            <v>Extended-Stay (Lower Tier)</v>
          </cell>
        </row>
        <row r="110">
          <cell r="B110" t="str">
            <v>StudioPlus Hotel</v>
          </cell>
          <cell r="C110" t="str">
            <v>Extended-Stay (Lower Tier)</v>
          </cell>
        </row>
        <row r="111">
          <cell r="B111" t="str">
            <v>Suburban Extended Stay Hotel</v>
          </cell>
          <cell r="C111" t="str">
            <v>Extended-Stay (Lower Tier)</v>
          </cell>
        </row>
        <row r="112">
          <cell r="B112" t="str">
            <v>Suite Carolina</v>
          </cell>
          <cell r="C112" t="str">
            <v>Limited-Service (Economy)</v>
          </cell>
        </row>
        <row r="113">
          <cell r="B113" t="str">
            <v>Summerfield Suites by Wyndham</v>
          </cell>
          <cell r="C113" t="str">
            <v>Extended-Stay (Upper Tier)</v>
          </cell>
        </row>
        <row r="114">
          <cell r="B114" t="str">
            <v>Sumner Suites</v>
          </cell>
          <cell r="C114" t="str">
            <v>Limited-Service (Mid-Market)</v>
          </cell>
        </row>
        <row r="115">
          <cell r="B115" t="str">
            <v>Sun Suites</v>
          </cell>
          <cell r="C115" t="str">
            <v>Limited-Service (Economy)</v>
          </cell>
        </row>
        <row r="116">
          <cell r="B116" t="str">
            <v>Sun Suites</v>
          </cell>
          <cell r="C116" t="str">
            <v>Limited-Service (Mid-Market)</v>
          </cell>
        </row>
        <row r="117">
          <cell r="B117" t="str">
            <v>Sunspree Resort</v>
          </cell>
          <cell r="C117" t="str">
            <v>First Class (Upscale)</v>
          </cell>
        </row>
        <row r="118">
          <cell r="B118" t="str">
            <v>Super 8</v>
          </cell>
          <cell r="C118" t="str">
            <v>Limited-Service (Economy)</v>
          </cell>
        </row>
        <row r="119">
          <cell r="B119" t="str">
            <v>Susse Chalet</v>
          </cell>
          <cell r="C119" t="str">
            <v>Limited-Service (Economy)</v>
          </cell>
        </row>
        <row r="120">
          <cell r="B120" t="str">
            <v>Swissotel</v>
          </cell>
          <cell r="C120" t="str">
            <v>First Class (Upscale)</v>
          </cell>
        </row>
        <row r="121">
          <cell r="B121" t="str">
            <v>TownePlace Suites</v>
          </cell>
          <cell r="C121" t="str">
            <v>Extended-Stay (Lower Tier)</v>
          </cell>
        </row>
        <row r="122">
          <cell r="B122" t="str">
            <v>Travelodge</v>
          </cell>
          <cell r="C122" t="str">
            <v>Limited-Service (Economy)</v>
          </cell>
        </row>
        <row r="123">
          <cell r="B123" t="str">
            <v>Vagabond Inn</v>
          </cell>
          <cell r="C123" t="str">
            <v>Limited-Service (Economy)</v>
          </cell>
        </row>
        <row r="124">
          <cell r="B124" t="str">
            <v>Villager Lodge</v>
          </cell>
          <cell r="C124" t="str">
            <v>Limited-Service (Economy)</v>
          </cell>
        </row>
        <row r="125">
          <cell r="B125" t="str">
            <v>W Hotel</v>
          </cell>
          <cell r="C125" t="str">
            <v>First Class (Upscale)</v>
          </cell>
        </row>
        <row r="126">
          <cell r="B126" t="str">
            <v>Wellesley Inn</v>
          </cell>
          <cell r="C126" t="str">
            <v>Limited-Service (Mid-Market)</v>
          </cell>
        </row>
        <row r="127">
          <cell r="B127" t="str">
            <v>Wellesley Inn &amp; Suites</v>
          </cell>
          <cell r="C127" t="str">
            <v>Limited-Service (Mid-Market)</v>
          </cell>
        </row>
        <row r="128">
          <cell r="B128" t="str">
            <v>Westin  Hotel</v>
          </cell>
          <cell r="C128" t="str">
            <v>First Class (Upscale)</v>
          </cell>
        </row>
        <row r="129">
          <cell r="B129" t="str">
            <v>Wingate Inn</v>
          </cell>
          <cell r="C129" t="str">
            <v>Limited-Service (Mid-Market)</v>
          </cell>
        </row>
        <row r="130">
          <cell r="B130" t="str">
            <v>Woodfield Suites</v>
          </cell>
          <cell r="C130" t="str">
            <v>First Class (Upscale)</v>
          </cell>
        </row>
        <row r="131">
          <cell r="B131" t="str">
            <v>Wyndham Garden</v>
          </cell>
          <cell r="C131" t="str">
            <v>Full-Service (Mid-Market)</v>
          </cell>
        </row>
        <row r="132">
          <cell r="B132" t="str">
            <v>Wyndham Hotel</v>
          </cell>
          <cell r="C132" t="str">
            <v>First Class (Upscale)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Annuity Data"/>
      <sheetName val="Introduction"/>
      <sheetName val="Analysis"/>
      <sheetName val="Annual"/>
      <sheetName val="Events"/>
      <sheetName val="Quarter"/>
      <sheetName val="(3) Personal Income"/>
      <sheetName val="(3) Savings Rate-Q"/>
      <sheetName val="(2) Consumer Sentiment"/>
      <sheetName val="(3) Disposable Income"/>
      <sheetName val="(3) Wage &amp; Salary-M"/>
      <sheetName val="(3) Consumer Spending-M"/>
      <sheetName val="(3) Consumer Spending-Q"/>
      <sheetName val="(3) Wage &amp; Salary-Q"/>
      <sheetName val="(3) Disposable Income-Q"/>
      <sheetName val="(3) Personal Income-Q"/>
      <sheetName val="(1) Consumer Confidence"/>
      <sheetName val="JCP"/>
      <sheetName val="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Major v. River v. Equip."/>
      <sheetName val="LgCapEBITDA"/>
      <sheetName val="SmCapEBITDA"/>
      <sheetName val="SupplyEBITDA"/>
      <sheetName val="LgCapEPS"/>
      <sheetName val="SmCapEPS"/>
      <sheetName val="SupplyEPS"/>
      <sheetName val="LodgingEBITDA"/>
      <sheetName val="LodgingEPS"/>
      <sheetName val="LargerCap Gaming Stock Val 2001"/>
      <sheetName val="LargerCap Gaming Stock Val 2002"/>
      <sheetName val="Smaller Cap Gaming Stock Val"/>
      <sheetName val="Lodging Stock Val."/>
      <sheetName val="Universe Table"/>
      <sheetName val="Universe Table Gaming only"/>
      <sheetName val="Universe Table Lodging Only"/>
      <sheetName val="CruiseEBITDA"/>
      <sheetName val="CruiseEPS"/>
      <sheetName val="Industry (2)"/>
      <sheetName val="Industry"/>
      <sheetName val="Lodging Returns ppt"/>
      <sheetName val="pbos"/>
      <sheetName val="Major v. River"/>
      <sheetName val="Major v. Equipment"/>
      <sheetName val="EBITDA Growth"/>
      <sheetName val="LV REt"/>
      <sheetName val="River Ret"/>
      <sheetName val="Demographics"/>
      <sheetName val="Leisure"/>
      <sheetName val="States"/>
      <sheetName val="nongame"/>
      <sheetName val="nongame2"/>
      <sheetName val="Room Margin"/>
      <sheetName val="Hyp Casino"/>
      <sheetName val="lv gates"/>
      <sheetName val="potential"/>
      <sheetName val="LV Detail $1 Mil"/>
      <sheetName val="Room Mrgn 95"/>
      <sheetName val="ACcap2"/>
      <sheetName val="ACcap"/>
      <sheetName val="LVCap"/>
      <sheetName val="LVCap2"/>
      <sheetName val="LVrooms"/>
      <sheetName val="LV Investment"/>
      <sheetName val="disclosure"/>
      <sheetName val="disclosure inpres"/>
      <sheetName val="EBITDA Mix"/>
      <sheetName val="Free Cash Flow"/>
      <sheetName val="Tougher Comps in 01 "/>
      <sheetName val="Lodging Historical Returns"/>
      <sheetName val="Lodging Recent Price Trends"/>
      <sheetName val="Daily Closes"/>
      <sheetName val="Lodging PE Multiples"/>
      <sheetName val="Lodging EBITDA Multiples"/>
      <sheetName val="Lodging Stock Valuation"/>
      <sheetName val="Cash EPS, PE Multiples"/>
      <sheetName val="ABN EPS Est. V First Call"/>
      <sheetName val="THE LINK FOR ALL"/>
      <sheetName val="Worksheet Cash EPS, P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5">
          <cell r="C5" t="str">
            <v>-</v>
          </cell>
          <cell r="D5" t="str">
            <v>Hold</v>
          </cell>
        </row>
        <row r="6">
          <cell r="C6">
            <v>13</v>
          </cell>
          <cell r="D6" t="str">
            <v>Accumulate</v>
          </cell>
        </row>
        <row r="7">
          <cell r="C7">
            <v>43</v>
          </cell>
          <cell r="D7" t="str">
            <v>Hold</v>
          </cell>
        </row>
        <row r="8">
          <cell r="C8">
            <v>45</v>
          </cell>
          <cell r="D8" t="str">
            <v>Strong Buy</v>
          </cell>
        </row>
      </sheetData>
      <sheetData sheetId="20" refreshError="1">
        <row r="5">
          <cell r="C5">
            <v>81</v>
          </cell>
          <cell r="D5" t="str">
            <v>Accumulate</v>
          </cell>
        </row>
        <row r="6">
          <cell r="C6" t="str">
            <v>—</v>
          </cell>
          <cell r="D6" t="str">
            <v>Hold</v>
          </cell>
        </row>
        <row r="7">
          <cell r="C7" t="str">
            <v>—</v>
          </cell>
          <cell r="D7" t="str">
            <v>Hold</v>
          </cell>
        </row>
        <row r="8">
          <cell r="C8" t="str">
            <v>—</v>
          </cell>
          <cell r="D8" t="str">
            <v>Hold</v>
          </cell>
        </row>
        <row r="9">
          <cell r="C9">
            <v>35</v>
          </cell>
          <cell r="D9" t="str">
            <v>Strong Buy</v>
          </cell>
        </row>
        <row r="11">
          <cell r="C11">
            <v>37</v>
          </cell>
          <cell r="D11" t="str">
            <v>Hold</v>
          </cell>
        </row>
        <row r="12">
          <cell r="C12">
            <v>32</v>
          </cell>
          <cell r="D12" t="str">
            <v>Accumulate</v>
          </cell>
        </row>
        <row r="13">
          <cell r="C13" t="str">
            <v>—</v>
          </cell>
          <cell r="D13" t="str">
            <v>Hold</v>
          </cell>
        </row>
        <row r="14">
          <cell r="D14" t="str">
            <v>Hold</v>
          </cell>
        </row>
        <row r="15">
          <cell r="C15">
            <v>18</v>
          </cell>
          <cell r="D15" t="str">
            <v>Strong Buy/SBI</v>
          </cell>
        </row>
        <row r="16">
          <cell r="C16">
            <v>25</v>
          </cell>
          <cell r="D16" t="str">
            <v>Accumulate</v>
          </cell>
        </row>
        <row r="17">
          <cell r="D17" t="str">
            <v>Hold</v>
          </cell>
        </row>
        <row r="18">
          <cell r="C18">
            <v>21</v>
          </cell>
          <cell r="D18" t="str">
            <v>Strong Buy</v>
          </cell>
        </row>
        <row r="19">
          <cell r="C19" t="str">
            <v>—</v>
          </cell>
          <cell r="D19" t="str">
            <v>Hold</v>
          </cell>
        </row>
        <row r="20">
          <cell r="C20">
            <v>22</v>
          </cell>
          <cell r="D20" t="str">
            <v>Strong Buy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."/>
      <sheetName val="Intro"/>
      <sheetName val="Annual"/>
      <sheetName val="Quarter"/>
      <sheetName val="Quarter_BS"/>
      <sheetName val="Annual_BS"/>
      <sheetName val="Cash Flow"/>
      <sheetName val="mgmt goals"/>
      <sheetName val="Free Cash Flow"/>
      <sheetName val="Analysis"/>
      <sheetName val="Act. vs. Exp."/>
      <sheetName val="Facilities"/>
      <sheetName val="Earnings Summary"/>
      <sheetName val="Debt Maturity Schedule"/>
      <sheetName val="One-Time Charges"/>
      <sheetName val="Events"/>
      <sheetName val="Module1"/>
      <sheetName val="FBN"/>
      <sheetName val="Model Introduction"/>
      <sheetName val="(e)Summary"/>
      <sheetName val="Summary"/>
    </sheetNames>
    <sheetDataSet>
      <sheetData sheetId="0" refreshError="1"/>
      <sheetData sheetId="1" refreshError="1"/>
      <sheetData sheetId="2" refreshError="1">
        <row r="5">
          <cell r="B5" t="str">
            <v>J.P. Morgan</v>
          </cell>
        </row>
        <row r="6">
          <cell r="B6" t="str">
            <v>Charles Grom, Home Furnishings</v>
          </cell>
        </row>
        <row r="7">
          <cell r="B7" t="str">
            <v>(212) 622-6527</v>
          </cell>
        </row>
        <row r="9">
          <cell r="B9" t="str">
            <v>Furniture Brands International (FBN)</v>
          </cell>
        </row>
        <row r="10">
          <cell r="B10" t="str">
            <v>Annual Income Statement  ($ in mil., except per share data)</v>
          </cell>
          <cell r="W10" t="str">
            <v>Growth/Margin Analysis</v>
          </cell>
        </row>
        <row r="11">
          <cell r="B11" t="str">
            <v>(December Fiscal Year)</v>
          </cell>
          <cell r="C11">
            <v>1993</v>
          </cell>
          <cell r="D11">
            <v>1994</v>
          </cell>
          <cell r="E11">
            <v>1995</v>
          </cell>
          <cell r="F11">
            <v>1996</v>
          </cell>
          <cell r="G11">
            <v>1997</v>
          </cell>
          <cell r="H11">
            <v>1998</v>
          </cell>
          <cell r="I11">
            <v>1999</v>
          </cell>
          <cell r="J11">
            <v>2000</v>
          </cell>
          <cell r="K11">
            <v>2001</v>
          </cell>
          <cell r="L11" t="str">
            <v>2002 (a)</v>
          </cell>
          <cell r="M11" t="str">
            <v>2003E</v>
          </cell>
          <cell r="N11" t="str">
            <v>2004E</v>
          </cell>
          <cell r="O11" t="str">
            <v>2005E</v>
          </cell>
          <cell r="Q11">
            <v>1993</v>
          </cell>
          <cell r="R11">
            <v>1994</v>
          </cell>
          <cell r="S11">
            <v>1995</v>
          </cell>
          <cell r="T11">
            <v>1996</v>
          </cell>
          <cell r="U11">
            <v>1997</v>
          </cell>
          <cell r="V11">
            <v>1998</v>
          </cell>
          <cell r="W11">
            <v>1999</v>
          </cell>
          <cell r="X11">
            <v>2000</v>
          </cell>
        </row>
        <row r="12">
          <cell r="B12" t="str">
            <v>Total Revenue</v>
          </cell>
          <cell r="C12">
            <v>980.5</v>
          </cell>
          <cell r="D12">
            <v>1072.6959999999999</v>
          </cell>
          <cell r="E12">
            <v>1073.8889999999999</v>
          </cell>
          <cell r="F12">
            <v>1696.7950000000001</v>
          </cell>
          <cell r="G12">
            <v>1808.2759999999998</v>
          </cell>
          <cell r="H12">
            <v>1960.25</v>
          </cell>
          <cell r="I12">
            <v>2088.1120000000001</v>
          </cell>
          <cell r="J12">
            <v>2116.239</v>
          </cell>
          <cell r="K12">
            <v>1891.3130000000001</v>
          </cell>
          <cell r="L12">
            <v>2397.7089999999998</v>
          </cell>
          <cell r="M12">
            <v>2364.2317300000004</v>
          </cell>
          <cell r="N12">
            <v>2517.9067924500005</v>
          </cell>
          <cell r="O12">
            <v>2719.3393358460007</v>
          </cell>
          <cell r="Q12" t="str">
            <v>n/a</v>
          </cell>
          <cell r="R12">
            <v>9.4029576746557764E-2</v>
          </cell>
          <cell r="S12">
            <v>1.1121510660989653E-3</v>
          </cell>
          <cell r="T12">
            <v>0.58004691360094029</v>
          </cell>
          <cell r="U12">
            <v>6.5700924389805238E-2</v>
          </cell>
          <cell r="V12">
            <v>8.4043586266698389E-2</v>
          </cell>
          <cell r="W12">
            <v>6.5227394464991706E-2</v>
          </cell>
          <cell r="X12">
            <v>1.3470062908502944E-2</v>
          </cell>
        </row>
        <row r="13">
          <cell r="B13" t="str">
            <v>Cost of Goods Sold</v>
          </cell>
          <cell r="C13">
            <v>685.74900000000002</v>
          </cell>
          <cell r="D13">
            <v>752.52800000000002</v>
          </cell>
          <cell r="E13">
            <v>760.39300000000003</v>
          </cell>
          <cell r="F13">
            <v>1228.355</v>
          </cell>
          <cell r="G13">
            <v>1319.4549999999999</v>
          </cell>
          <cell r="H13">
            <v>1406.434</v>
          </cell>
          <cell r="I13">
            <v>1498.6220000000001</v>
          </cell>
          <cell r="J13">
            <v>1529.874</v>
          </cell>
          <cell r="K13">
            <v>1387.6320000000001</v>
          </cell>
          <cell r="L13">
            <v>1721.7139999999999</v>
          </cell>
          <cell r="M13">
            <v>1713.1650386300003</v>
          </cell>
          <cell r="N13">
            <v>1801.5623099979753</v>
          </cell>
          <cell r="O13">
            <v>1924.2045140446303</v>
          </cell>
        </row>
        <row r="14">
          <cell r="B14" t="str">
            <v>Gross Profit</v>
          </cell>
          <cell r="C14">
            <v>294.75099999999998</v>
          </cell>
          <cell r="D14">
            <v>320.16799999999989</v>
          </cell>
          <cell r="E14">
            <v>313.49599999999987</v>
          </cell>
          <cell r="F14">
            <v>468.44000000000005</v>
          </cell>
          <cell r="G14">
            <v>488.82099999999991</v>
          </cell>
          <cell r="H14">
            <v>553.81600000000003</v>
          </cell>
          <cell r="I14">
            <v>589.49</v>
          </cell>
          <cell r="J14">
            <v>586.36500000000001</v>
          </cell>
          <cell r="K14">
            <v>503.68100000000004</v>
          </cell>
          <cell r="L14">
            <v>675.99499999999989</v>
          </cell>
          <cell r="M14">
            <v>651.06669137000017</v>
          </cell>
          <cell r="N14">
            <v>716.34448245202509</v>
          </cell>
          <cell r="O14">
            <v>795.13482180137055</v>
          </cell>
          <cell r="Q14">
            <v>0.3006129525752167</v>
          </cell>
          <cell r="R14">
            <v>0.29847039608612314</v>
          </cell>
          <cell r="S14">
            <v>0.29192588805733172</v>
          </cell>
          <cell r="T14">
            <v>0.27607342077269209</v>
          </cell>
          <cell r="U14">
            <v>0.2703243310202646</v>
          </cell>
          <cell r="V14">
            <v>0.28252314755770946</v>
          </cell>
          <cell r="W14">
            <v>0.28230765399557112</v>
          </cell>
          <cell r="X14">
            <v>0.2770788176571739</v>
          </cell>
        </row>
        <row r="15">
          <cell r="B15" t="str">
            <v>SG&amp;A</v>
          </cell>
          <cell r="C15">
            <v>186.20500000000001</v>
          </cell>
          <cell r="D15">
            <v>199.333</v>
          </cell>
          <cell r="E15">
            <v>198.321</v>
          </cell>
          <cell r="F15">
            <v>283.43200000000002</v>
          </cell>
          <cell r="G15">
            <v>286.08600000000001</v>
          </cell>
          <cell r="H15">
            <v>314.83699999999999</v>
          </cell>
          <cell r="I15">
            <v>321.20499999999998</v>
          </cell>
          <cell r="J15">
            <v>335.596</v>
          </cell>
          <cell r="K15">
            <v>330.83499999999998</v>
          </cell>
          <cell r="L15">
            <v>424.32900000000001</v>
          </cell>
          <cell r="M15">
            <v>434.42709859000001</v>
          </cell>
          <cell r="N15">
            <v>454.73396671647009</v>
          </cell>
          <cell r="O15">
            <v>492.20041978812611</v>
          </cell>
          <cell r="Q15">
            <v>0.18990821009688935</v>
          </cell>
          <cell r="R15">
            <v>0.18582431555631793</v>
          </cell>
          <cell r="S15">
            <v>0.18467551115618097</v>
          </cell>
          <cell r="T15">
            <v>0.16703962470422179</v>
          </cell>
          <cell r="U15">
            <v>0.15820925566672348</v>
          </cell>
          <cell r="V15">
            <v>0.16061063639841858</v>
          </cell>
          <cell r="W15">
            <v>0.15382556108101481</v>
          </cell>
          <cell r="X15">
            <v>0.15858133225973059</v>
          </cell>
        </row>
        <row r="16">
          <cell r="B16" t="str">
            <v>EBITDA</v>
          </cell>
          <cell r="C16">
            <v>108.54599999999996</v>
          </cell>
          <cell r="D16">
            <v>120.83499999999989</v>
          </cell>
          <cell r="E16">
            <v>115.17499999999987</v>
          </cell>
          <cell r="F16">
            <v>185.00800000000004</v>
          </cell>
          <cell r="G16">
            <v>202.7349999999999</v>
          </cell>
          <cell r="H16">
            <v>238.97900000000004</v>
          </cell>
          <cell r="I16">
            <v>268.28500000000003</v>
          </cell>
          <cell r="J16">
            <v>250.76900000000001</v>
          </cell>
          <cell r="K16">
            <v>172.84600000000006</v>
          </cell>
          <cell r="L16">
            <v>251.66599999999988</v>
          </cell>
          <cell r="M16">
            <v>216.63959278000016</v>
          </cell>
          <cell r="N16">
            <v>261.610515735555</v>
          </cell>
          <cell r="O16">
            <v>302.93440201324444</v>
          </cell>
          <cell r="Q16">
            <v>0.11070474247832734</v>
          </cell>
          <cell r="R16">
            <v>0.11264608052980518</v>
          </cell>
          <cell r="S16">
            <v>0.10725037690115075</v>
          </cell>
          <cell r="T16">
            <v>0.10903379606847029</v>
          </cell>
          <cell r="U16">
            <v>0.11211507535354112</v>
          </cell>
          <cell r="V16">
            <v>0.12191251115929093</v>
          </cell>
          <cell r="W16">
            <v>0.12848209291455631</v>
          </cell>
          <cell r="X16">
            <v>0.1184974853974433</v>
          </cell>
        </row>
        <row r="17">
          <cell r="B17" t="str">
            <v>Deprec. &amp; Amort.</v>
          </cell>
          <cell r="C17">
            <v>34.454999999999998</v>
          </cell>
          <cell r="D17">
            <v>35.776000000000003</v>
          </cell>
          <cell r="E17">
            <v>36.103999999999999</v>
          </cell>
          <cell r="F17">
            <v>54.082000000000001</v>
          </cell>
          <cell r="G17">
            <v>55.994999999999997</v>
          </cell>
          <cell r="H17">
            <v>55.471999999999994</v>
          </cell>
          <cell r="I17">
            <v>56.527999999999999</v>
          </cell>
          <cell r="J17">
            <v>58.155000000000001</v>
          </cell>
          <cell r="K17">
            <v>55.767000000000003</v>
          </cell>
          <cell r="L17">
            <v>49.266000000000005</v>
          </cell>
          <cell r="M17">
            <v>50.875470330000006</v>
          </cell>
          <cell r="N17">
            <v>55.393949433900005</v>
          </cell>
          <cell r="O17">
            <v>59.82546538861201</v>
          </cell>
          <cell r="Q17">
            <v>3.5140234574196835E-2</v>
          </cell>
          <cell r="R17">
            <v>3.3351480755032185E-2</v>
          </cell>
          <cell r="S17">
            <v>3.3619862015534199E-2</v>
          </cell>
          <cell r="T17">
            <v>3.1873031214731298E-2</v>
          </cell>
          <cell r="U17">
            <v>3.0965958736387588E-2</v>
          </cell>
          <cell r="V17">
            <v>2.829843132253539E-2</v>
          </cell>
          <cell r="W17">
            <v>2.707134483207797E-2</v>
          </cell>
          <cell r="X17">
            <v>2.748035547969771E-2</v>
          </cell>
        </row>
        <row r="18">
          <cell r="B18" t="str">
            <v>Asset Impair. Charges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18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B19" t="str">
            <v>Operating Income</v>
          </cell>
          <cell r="C19">
            <v>74.090999999999966</v>
          </cell>
          <cell r="D19">
            <v>85.058999999999884</v>
          </cell>
          <cell r="E19">
            <v>79.07099999999987</v>
          </cell>
          <cell r="F19">
            <v>130.92600000000004</v>
          </cell>
          <cell r="G19">
            <v>146.7399999999999</v>
          </cell>
          <cell r="H19">
            <v>183.50700000000006</v>
          </cell>
          <cell r="I19">
            <v>211.75700000000003</v>
          </cell>
          <cell r="J19">
            <v>192.614</v>
          </cell>
          <cell r="K19">
            <v>99.079000000000065</v>
          </cell>
          <cell r="L19">
            <v>202.39999999999986</v>
          </cell>
          <cell r="M19">
            <v>165.76412245000014</v>
          </cell>
          <cell r="N19">
            <v>206.21656630165501</v>
          </cell>
          <cell r="O19">
            <v>243.10893662463243</v>
          </cell>
          <cell r="Q19">
            <v>7.556450790413051E-2</v>
          </cell>
          <cell r="R19">
            <v>7.9294599774772989E-2</v>
          </cell>
          <cell r="S19">
            <v>7.363051488561656E-2</v>
          </cell>
          <cell r="T19">
            <v>7.7160764853738989E-2</v>
          </cell>
          <cell r="U19">
            <v>8.114911661715353E-2</v>
          </cell>
          <cell r="V19">
            <v>9.3614079836755543E-2</v>
          </cell>
          <cell r="W19">
            <v>0.10141074808247835</v>
          </cell>
          <cell r="X19">
            <v>9.101712991774559E-2</v>
          </cell>
        </row>
        <row r="20">
          <cell r="B20" t="str">
            <v>Interest Expense</v>
          </cell>
          <cell r="C20">
            <v>38.621000000000002</v>
          </cell>
          <cell r="D20">
            <v>37.886000000000003</v>
          </cell>
          <cell r="E20">
            <v>33.844999999999999</v>
          </cell>
          <cell r="F20">
            <v>45.216999999999999</v>
          </cell>
          <cell r="G20">
            <v>42.747</v>
          </cell>
          <cell r="H20">
            <v>43.454999999999998</v>
          </cell>
          <cell r="I20">
            <v>37.576999999999998</v>
          </cell>
          <cell r="J20">
            <v>36.389000000000003</v>
          </cell>
          <cell r="K20">
            <v>21.984000000000002</v>
          </cell>
          <cell r="L20">
            <v>21.731999999999999</v>
          </cell>
          <cell r="M20">
            <v>19.53884584</v>
          </cell>
          <cell r="N20">
            <v>16.618184830170001</v>
          </cell>
          <cell r="O20">
            <v>19.035375350922006</v>
          </cell>
          <cell r="Q20">
            <v>3.9389087200407957E-2</v>
          </cell>
          <cell r="R20">
            <v>3.5318487250814774E-2</v>
          </cell>
          <cell r="S20">
            <v>3.1516292652220113E-2</v>
          </cell>
          <cell r="T20">
            <v>2.6648475508237589E-2</v>
          </cell>
          <cell r="U20">
            <v>2.3639643505748018E-2</v>
          </cell>
          <cell r="V20">
            <v>2.2168090804744293E-2</v>
          </cell>
          <cell r="W20">
            <v>1.799568222394201E-2</v>
          </cell>
          <cell r="X20">
            <v>1.7195127771485168E-2</v>
          </cell>
        </row>
        <row r="21">
          <cell r="B21" t="str">
            <v>Gain on insurance settlement</v>
          </cell>
          <cell r="C21">
            <v>0</v>
          </cell>
          <cell r="D21">
            <v>0</v>
          </cell>
          <cell r="E21">
            <v>7.8819999999999997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Q21">
            <v>0</v>
          </cell>
          <cell r="R21">
            <v>0</v>
          </cell>
        </row>
        <row r="22">
          <cell r="B22" t="str">
            <v>Other Income, net</v>
          </cell>
          <cell r="C22">
            <v>1.764</v>
          </cell>
          <cell r="D22">
            <v>1.6679999999999999</v>
          </cell>
          <cell r="E22">
            <v>3.93</v>
          </cell>
          <cell r="F22">
            <v>2.5829999999999997</v>
          </cell>
          <cell r="G22">
            <v>3.2610000000000001</v>
          </cell>
          <cell r="H22">
            <v>12.087999999999999</v>
          </cell>
          <cell r="I22">
            <v>2.5840000000000001</v>
          </cell>
          <cell r="J22">
            <v>9.7720000000000002</v>
          </cell>
          <cell r="K22">
            <v>10.599</v>
          </cell>
          <cell r="L22">
            <v>3.7560000000000002</v>
          </cell>
          <cell r="M22">
            <v>2.702</v>
          </cell>
          <cell r="N22">
            <v>4</v>
          </cell>
          <cell r="O22">
            <v>5</v>
          </cell>
          <cell r="Q22">
            <v>1.7990821009688934E-3</v>
          </cell>
          <cell r="R22">
            <v>1.5549605852916391E-3</v>
          </cell>
          <cell r="S22">
            <v>3.6595961035079051E-3</v>
          </cell>
          <cell r="T22">
            <v>1.5222817134656807E-3</v>
          </cell>
          <cell r="U22">
            <v>1.8033751484839706E-3</v>
          </cell>
          <cell r="V22">
            <v>6.1665603877056495E-3</v>
          </cell>
          <cell r="W22">
            <v>1.2374815144015263E-3</v>
          </cell>
          <cell r="X22">
            <v>4.6176258919715593E-3</v>
          </cell>
        </row>
        <row r="23">
          <cell r="B23" t="str">
            <v>Pretax income</v>
          </cell>
          <cell r="C23">
            <v>37.233999999999966</v>
          </cell>
          <cell r="D23">
            <v>48.84099999999988</v>
          </cell>
          <cell r="E23">
            <v>57.037999999999869</v>
          </cell>
          <cell r="F23">
            <v>88.292000000000044</v>
          </cell>
          <cell r="G23">
            <v>107.25399999999989</v>
          </cell>
          <cell r="H23">
            <v>152.14000000000007</v>
          </cell>
          <cell r="I23">
            <v>176.76400000000004</v>
          </cell>
          <cell r="J23">
            <v>165.99699999999999</v>
          </cell>
          <cell r="K23">
            <v>87.694000000000059</v>
          </cell>
          <cell r="L23">
            <v>184.42399999999986</v>
          </cell>
          <cell r="M23">
            <v>148.92727661000015</v>
          </cell>
          <cell r="N23">
            <v>193.598381471485</v>
          </cell>
          <cell r="O23">
            <v>229.07356127371042</v>
          </cell>
          <cell r="Q23">
            <v>3.7974502804691453E-2</v>
          </cell>
          <cell r="R23">
            <v>4.5531073109249857E-2</v>
          </cell>
          <cell r="S23">
            <v>5.3113496832540304E-2</v>
          </cell>
          <cell r="T23">
            <v>5.2034571058967076E-2</v>
          </cell>
          <cell r="U23">
            <v>5.9312848259889472E-2</v>
          </cell>
          <cell r="V23">
            <v>7.7612549419716903E-2</v>
          </cell>
          <cell r="W23">
            <v>8.465254737293787E-2</v>
          </cell>
          <cell r="X23">
            <v>7.843962803823197E-2</v>
          </cell>
        </row>
        <row r="24">
          <cell r="B24" t="str">
            <v>Income Tax</v>
          </cell>
          <cell r="C24">
            <v>15.923999999999999</v>
          </cell>
          <cell r="D24">
            <v>20.908000000000001</v>
          </cell>
          <cell r="E24">
            <v>22.815000000000001</v>
          </cell>
          <cell r="F24">
            <v>34.07</v>
          </cell>
          <cell r="G24">
            <v>40.201000000000008</v>
          </cell>
          <cell r="H24">
            <v>54.204999999999998</v>
          </cell>
          <cell r="I24">
            <v>64.853999999999999</v>
          </cell>
          <cell r="J24">
            <v>57.573999999999998</v>
          </cell>
          <cell r="K24">
            <v>29.664000000000001</v>
          </cell>
          <cell r="L24">
            <v>65.593000000000004</v>
          </cell>
          <cell r="M24">
            <v>54.448365962650001</v>
          </cell>
          <cell r="N24">
            <v>69.695417329734596</v>
          </cell>
          <cell r="O24">
            <v>82.466482058535746</v>
          </cell>
          <cell r="Q24">
            <v>0.42767363162700794</v>
          </cell>
          <cell r="R24">
            <v>0.428082963084295</v>
          </cell>
          <cell r="S24">
            <v>0.399996493565694</v>
          </cell>
          <cell r="T24">
            <v>0.38587867530467068</v>
          </cell>
          <cell r="U24">
            <v>0.37482051951442413</v>
          </cell>
          <cell r="V24">
            <v>0.35628368607861161</v>
          </cell>
          <cell r="W24">
            <v>0.36689597429340809</v>
          </cell>
          <cell r="X24">
            <v>0.34683759345048404</v>
          </cell>
        </row>
        <row r="25">
          <cell r="B25" t="str">
            <v>Net income before extra.</v>
          </cell>
          <cell r="C25">
            <v>21.309999999999967</v>
          </cell>
          <cell r="D25">
            <v>27.932999999999879</v>
          </cell>
          <cell r="E25">
            <v>34.222999999999871</v>
          </cell>
          <cell r="F25">
            <v>54.222000000000044</v>
          </cell>
          <cell r="G25">
            <v>67.052999999999884</v>
          </cell>
          <cell r="H25">
            <v>97.935000000000073</v>
          </cell>
          <cell r="I25">
            <v>111.91000000000004</v>
          </cell>
          <cell r="J25">
            <v>108.42299999999999</v>
          </cell>
          <cell r="K25">
            <v>58.030000000000058</v>
          </cell>
          <cell r="L25">
            <v>118.83099999999986</v>
          </cell>
          <cell r="M25">
            <v>94.478910647350148</v>
          </cell>
          <cell r="N25">
            <v>123.9029641417504</v>
          </cell>
          <cell r="O25">
            <v>146.60707921517468</v>
          </cell>
        </row>
        <row r="26">
          <cell r="B26" t="str">
            <v>Extraordinary charge</v>
          </cell>
          <cell r="C26">
            <v>0</v>
          </cell>
          <cell r="D26">
            <v>0</v>
          </cell>
          <cell r="E26">
            <v>5.8150000000000004</v>
          </cell>
          <cell r="F26">
            <v>7.4169999999999998</v>
          </cell>
          <cell r="G26">
            <v>0</v>
          </cell>
          <cell r="H26">
            <v>0</v>
          </cell>
          <cell r="I26">
            <v>0</v>
          </cell>
          <cell r="J26">
            <v>2.5219999999999998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B27" t="str">
            <v>Net Income</v>
          </cell>
          <cell r="C27">
            <v>21.309999999999967</v>
          </cell>
          <cell r="D27">
            <v>27.932999999999879</v>
          </cell>
          <cell r="E27">
            <v>28.40799999999987</v>
          </cell>
          <cell r="F27">
            <v>46.805000000000042</v>
          </cell>
          <cell r="G27">
            <v>67.052999999999884</v>
          </cell>
          <cell r="H27">
            <v>97.935000000000073</v>
          </cell>
          <cell r="I27">
            <v>111.91000000000004</v>
          </cell>
          <cell r="J27">
            <v>105.90099999999998</v>
          </cell>
          <cell r="K27">
            <v>58.030000000000058</v>
          </cell>
          <cell r="L27">
            <v>118.83099999999986</v>
          </cell>
          <cell r="M27">
            <v>94.478910647350148</v>
          </cell>
          <cell r="N27">
            <v>123.9029641417504</v>
          </cell>
          <cell r="O27">
            <v>146.60707921517468</v>
          </cell>
          <cell r="Q27">
            <v>2.1733809280979059E-2</v>
          </cell>
          <cell r="R27">
            <v>2.6039996420234513E-2</v>
          </cell>
          <cell r="S27">
            <v>2.6453385778232082E-2</v>
          </cell>
          <cell r="T27">
            <v>2.758435756823897E-2</v>
          </cell>
          <cell r="U27">
            <v>3.7081175661237496E-2</v>
          </cell>
          <cell r="V27">
            <v>4.9960464226501758E-2</v>
          </cell>
          <cell r="W27">
            <v>5.3593868528124942E-2</v>
          </cell>
          <cell r="X27">
            <v>5.0042079368162094E-2</v>
          </cell>
        </row>
        <row r="28">
          <cell r="B28" t="str">
            <v>Reported EPS</v>
          </cell>
          <cell r="C28">
            <v>0.41479318734793125</v>
          </cell>
          <cell r="D28">
            <v>0.54244101369064723</v>
          </cell>
          <cell r="E28">
            <v>0.5609905408874557</v>
          </cell>
          <cell r="F28">
            <v>0.7555774384141033</v>
          </cell>
          <cell r="G28">
            <v>1.1467305856423695</v>
          </cell>
          <cell r="H28">
            <v>1.820049840764457</v>
          </cell>
          <cell r="I28">
            <v>2.1383565406768121</v>
          </cell>
          <cell r="J28">
            <v>2.0994301340038333</v>
          </cell>
          <cell r="K28">
            <v>1.130638310889102</v>
          </cell>
          <cell r="L28">
            <v>2.1079925078260606</v>
          </cell>
          <cell r="M28">
            <v>1.67987305219788</v>
          </cell>
          <cell r="N28">
            <v>2.2007631286278935</v>
          </cell>
          <cell r="O28">
            <v>2.6040333785999055</v>
          </cell>
          <cell r="Q28" t="str">
            <v>n/a</v>
          </cell>
          <cell r="R28">
            <v>0.30773848326405639</v>
          </cell>
          <cell r="S28">
            <v>3.4196395052434658E-2</v>
          </cell>
          <cell r="T28">
            <v>0.34686306335722161</v>
          </cell>
          <cell r="U28">
            <v>0.51768770127555075</v>
          </cell>
          <cell r="V28">
            <v>0.58716429434461359</v>
          </cell>
          <cell r="W28">
            <v>0.17488900181912603</v>
          </cell>
          <cell r="X28">
            <v>-1.8203889731437495E-2</v>
          </cell>
        </row>
        <row r="29">
          <cell r="B29" t="str">
            <v>Adjustments</v>
          </cell>
        </row>
        <row r="30">
          <cell r="B30" t="str">
            <v>Non-recurring items</v>
          </cell>
          <cell r="E30">
            <v>0.15565078299334503</v>
          </cell>
          <cell r="H30">
            <v>-0.11792063313333337</v>
          </cell>
          <cell r="K30">
            <v>0.20833196047928948</v>
          </cell>
        </row>
        <row r="31">
          <cell r="B31" t="str">
            <v>Extraordinary charge</v>
          </cell>
          <cell r="E31">
            <v>0.11</v>
          </cell>
          <cell r="F31">
            <v>0.1197333161140348</v>
          </cell>
          <cell r="J31">
            <v>4.9997288013877754E-2</v>
          </cell>
        </row>
        <row r="32">
          <cell r="B32" t="str">
            <v>Operating EPS</v>
          </cell>
          <cell r="C32">
            <v>0.41479318734793125</v>
          </cell>
          <cell r="D32">
            <v>0.54244101369064723</v>
          </cell>
          <cell r="E32">
            <v>0.51533975789411068</v>
          </cell>
          <cell r="F32">
            <v>0.87531075452813811</v>
          </cell>
          <cell r="G32">
            <v>1.1467305856423695</v>
          </cell>
          <cell r="H32">
            <v>1.7021292076311236</v>
          </cell>
          <cell r="I32">
            <v>2.1383565406768121</v>
          </cell>
          <cell r="J32">
            <v>2.1494274220177112</v>
          </cell>
          <cell r="K32">
            <v>1.3389702713683915</v>
          </cell>
          <cell r="L32">
            <v>2.1079925078260606</v>
          </cell>
          <cell r="M32">
            <v>1.67987305219788</v>
          </cell>
          <cell r="N32">
            <v>2.2007631286278935</v>
          </cell>
          <cell r="O32">
            <v>2.6040333785999055</v>
          </cell>
          <cell r="Q32" t="str">
            <v>n/a</v>
          </cell>
          <cell r="R32">
            <v>0.30773848326405639</v>
          </cell>
          <cell r="S32">
            <v>-4.996166424095716E-2</v>
          </cell>
          <cell r="T32">
            <v>0.69851198383182456</v>
          </cell>
          <cell r="U32">
            <v>0.31008396699129803</v>
          </cell>
          <cell r="V32">
            <v>0.48433226508703764</v>
          </cell>
          <cell r="W32">
            <v>0.25628332507894158</v>
          </cell>
          <cell r="X32">
            <v>5.1772850459237407E-3</v>
          </cell>
        </row>
        <row r="33">
          <cell r="B33" t="str">
            <v>Fully Diluted Shares O/S</v>
          </cell>
          <cell r="C33">
            <v>51.375</v>
          </cell>
          <cell r="D33">
            <v>51.494999999999997</v>
          </cell>
          <cell r="E33">
            <v>50.639000000000003</v>
          </cell>
          <cell r="F33">
            <v>61.945999999999998</v>
          </cell>
          <cell r="G33">
            <v>58.473193999999999</v>
          </cell>
          <cell r="H33">
            <v>53.808965999999998</v>
          </cell>
          <cell r="I33">
            <v>52.334584</v>
          </cell>
          <cell r="J33">
            <v>50.442735999999996</v>
          </cell>
          <cell r="K33">
            <v>51.32499</v>
          </cell>
          <cell r="L33">
            <v>56.355182999999997</v>
          </cell>
          <cell r="M33">
            <v>56.265085250000006</v>
          </cell>
          <cell r="N33">
            <v>56.3</v>
          </cell>
          <cell r="O33">
            <v>56.3</v>
          </cell>
        </row>
        <row r="34">
          <cell r="B34" t="str">
            <v>(a) Includes the acquisition of Henredon, Drexel Heritage and Maitland-Smith; prior periods not adjusted for this acquisition</v>
          </cell>
        </row>
        <row r="35">
          <cell r="W35" t="str">
            <v>Furniture Brands Quarterly Operating EPS</v>
          </cell>
          <cell r="X35" t="str">
            <v>Furniture Brands Quarterly Operating EPS</v>
          </cell>
        </row>
        <row r="36">
          <cell r="R36">
            <v>1994</v>
          </cell>
          <cell r="S36">
            <v>1995</v>
          </cell>
          <cell r="T36">
            <v>1996</v>
          </cell>
          <cell r="U36">
            <v>1997</v>
          </cell>
          <cell r="V36">
            <v>1998</v>
          </cell>
          <cell r="W36">
            <v>1999</v>
          </cell>
          <cell r="X36">
            <v>2000</v>
          </cell>
        </row>
        <row r="37">
          <cell r="N37" t="str">
            <v>March</v>
          </cell>
          <cell r="O37" t="str">
            <v>March</v>
          </cell>
          <cell r="R37">
            <v>0.18</v>
          </cell>
          <cell r="S37">
            <v>0.17</v>
          </cell>
          <cell r="T37">
            <v>0.19</v>
          </cell>
          <cell r="U37">
            <v>0.27</v>
          </cell>
          <cell r="V37">
            <v>0.4</v>
          </cell>
          <cell r="W37">
            <v>0.5214819997043707</v>
          </cell>
          <cell r="X37">
            <v>0.60773158505771563</v>
          </cell>
        </row>
        <row r="38">
          <cell r="N38" t="str">
            <v>June</v>
          </cell>
          <cell r="O38" t="str">
            <v>June</v>
          </cell>
          <cell r="R38">
            <v>0.18</v>
          </cell>
          <cell r="S38">
            <v>0.13</v>
          </cell>
          <cell r="T38">
            <v>0.18</v>
          </cell>
          <cell r="U38">
            <v>0.26</v>
          </cell>
          <cell r="V38">
            <v>0.39</v>
          </cell>
          <cell r="W38">
            <v>0.52131346810095258</v>
          </cell>
          <cell r="X38">
            <v>0.59735345250993421</v>
          </cell>
        </row>
        <row r="39">
          <cell r="N39" t="str">
            <v>September</v>
          </cell>
          <cell r="O39" t="str">
            <v>September</v>
          </cell>
          <cell r="R39">
            <v>0.16</v>
          </cell>
          <cell r="S39">
            <v>0.12</v>
          </cell>
          <cell r="T39">
            <v>0.22</v>
          </cell>
          <cell r="U39">
            <v>0.27</v>
          </cell>
          <cell r="V39">
            <v>0.42</v>
          </cell>
          <cell r="W39">
            <v>0.5203911461491818</v>
          </cell>
          <cell r="X39">
            <v>0.46310947548973264</v>
          </cell>
        </row>
        <row r="40">
          <cell r="N40" t="str">
            <v>December</v>
          </cell>
          <cell r="O40" t="str">
            <v>December</v>
          </cell>
          <cell r="R40">
            <v>0.27</v>
          </cell>
          <cell r="S40">
            <v>0.26</v>
          </cell>
          <cell r="T40">
            <v>0.2733660617657665</v>
          </cell>
          <cell r="U40">
            <v>0.35</v>
          </cell>
          <cell r="V40">
            <v>0.46159028388569656</v>
          </cell>
          <cell r="W40">
            <v>0.57653969384122383</v>
          </cell>
          <cell r="X40">
            <v>0.48128861080310475</v>
          </cell>
        </row>
        <row r="41">
          <cell r="N41" t="str">
            <v>Full Year *</v>
          </cell>
          <cell r="O41" t="str">
            <v>Full Year *</v>
          </cell>
          <cell r="R41">
            <v>0.79</v>
          </cell>
          <cell r="S41">
            <v>0.68</v>
          </cell>
          <cell r="T41">
            <v>0.86336606176576647</v>
          </cell>
          <cell r="U41">
            <v>1.1499999999999999</v>
          </cell>
          <cell r="V41">
            <v>1.6715902838856964</v>
          </cell>
          <cell r="W41">
            <v>2.1397263077957289</v>
          </cell>
          <cell r="X41">
            <v>2.1494831238604872</v>
          </cell>
        </row>
        <row r="42">
          <cell r="W42" t="str">
            <v>* may not equal full year EPS due to share-count related rounding errors.</v>
          </cell>
        </row>
        <row r="43">
          <cell r="V43">
            <v>1998</v>
          </cell>
          <cell r="W43">
            <v>1999</v>
          </cell>
          <cell r="X43">
            <v>2000</v>
          </cell>
        </row>
        <row r="44">
          <cell r="N44" t="str">
            <v>Calendar EPS</v>
          </cell>
          <cell r="O44" t="str">
            <v>Calendar EPS</v>
          </cell>
          <cell r="U44">
            <v>1.1467305856423695</v>
          </cell>
          <cell r="V44">
            <v>1.7021292076311236</v>
          </cell>
          <cell r="W44">
            <v>2.1383565406768121</v>
          </cell>
          <cell r="X44">
            <v>2.1494274220177112</v>
          </cell>
        </row>
        <row r="45">
          <cell r="N45" t="str">
            <v>YOY Growth</v>
          </cell>
          <cell r="O45" t="str">
            <v>YOY Growth</v>
          </cell>
          <cell r="V45">
            <v>0.48433226508703764</v>
          </cell>
          <cell r="W45">
            <v>0.25628332507894158</v>
          </cell>
          <cell r="X45">
            <v>5.1772850459237407E-3</v>
          </cell>
        </row>
      </sheetData>
      <sheetData sheetId="3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Furniture Brands International (FBN)</v>
          </cell>
        </row>
        <row r="7">
          <cell r="B7" t="str">
            <v>Quarterly Income Statement  ($ in mil., except per share data)</v>
          </cell>
          <cell r="AF7" t="str">
            <v>Growth/Margin Analysis</v>
          </cell>
          <cell r="AJ7" t="str">
            <v>Growth/Margin Analysis</v>
          </cell>
        </row>
        <row r="8">
          <cell r="B8" t="str">
            <v>(December Fiscal Year)</v>
          </cell>
          <cell r="C8" t="str">
            <v>1Q97</v>
          </cell>
          <cell r="D8" t="str">
            <v>2Q97</v>
          </cell>
          <cell r="E8" t="str">
            <v>3Q97</v>
          </cell>
          <cell r="F8" t="str">
            <v>4Q97</v>
          </cell>
          <cell r="G8" t="str">
            <v>1Q98</v>
          </cell>
          <cell r="H8" t="str">
            <v>2Q98</v>
          </cell>
          <cell r="I8" t="str">
            <v>3Q98</v>
          </cell>
          <cell r="J8" t="str">
            <v>4Q98</v>
          </cell>
          <cell r="K8" t="str">
            <v>1Q99</v>
          </cell>
          <cell r="L8" t="str">
            <v>2Q99</v>
          </cell>
          <cell r="M8" t="str">
            <v>3Q99</v>
          </cell>
          <cell r="N8" t="str">
            <v>4Q99</v>
          </cell>
          <cell r="O8" t="str">
            <v>1Q00</v>
          </cell>
          <cell r="P8" t="str">
            <v>2Q00</v>
          </cell>
          <cell r="Q8" t="str">
            <v>3Q00</v>
          </cell>
          <cell r="R8" t="str">
            <v>4Q00</v>
          </cell>
          <cell r="S8" t="str">
            <v>1Q01</v>
          </cell>
          <cell r="T8" t="str">
            <v xml:space="preserve">2Q01 </v>
          </cell>
          <cell r="U8" t="str">
            <v xml:space="preserve">3Q01 </v>
          </cell>
          <cell r="V8" t="str">
            <v xml:space="preserve">4Q01 </v>
          </cell>
          <cell r="W8" t="str">
            <v>1Q02 (a)</v>
          </cell>
          <cell r="X8" t="str">
            <v>2Q02 (a)</v>
          </cell>
          <cell r="Y8" t="str">
            <v>3Q02 (a)</v>
          </cell>
          <cell r="Z8" t="str">
            <v>4Q02 (a)</v>
          </cell>
          <cell r="AA8" t="str">
            <v>1Q03</v>
          </cell>
          <cell r="AB8" t="str">
            <v>2Q03</v>
          </cell>
          <cell r="AC8" t="str">
            <v>3Q03</v>
          </cell>
          <cell r="AD8" t="str">
            <v>4Q03E (b)</v>
          </cell>
          <cell r="AE8" t="str">
            <v>1Q04E</v>
          </cell>
          <cell r="AF8" t="str">
            <v>2Q04E</v>
          </cell>
          <cell r="AG8" t="str">
            <v>3Q04E</v>
          </cell>
          <cell r="AH8" t="str">
            <v>4Q04E</v>
          </cell>
          <cell r="AI8" t="str">
            <v>4Q97</v>
          </cell>
          <cell r="AJ8" t="str">
            <v>1Q97</v>
          </cell>
          <cell r="AK8" t="str">
            <v>2Q97</v>
          </cell>
          <cell r="AL8" t="str">
            <v>3Q97</v>
          </cell>
          <cell r="AM8" t="str">
            <v>4Q97</v>
          </cell>
          <cell r="AN8" t="str">
            <v>1Q98</v>
          </cell>
          <cell r="AO8" t="str">
            <v>2Q98</v>
          </cell>
          <cell r="AP8" t="str">
            <v>3Q98</v>
          </cell>
          <cell r="AQ8" t="str">
            <v>4Q98</v>
          </cell>
          <cell r="AR8" t="str">
            <v>1Q99</v>
          </cell>
          <cell r="AS8" t="str">
            <v>2Q99</v>
          </cell>
          <cell r="AT8" t="str">
            <v>3Q99</v>
          </cell>
          <cell r="AU8" t="str">
            <v>4Q99</v>
          </cell>
        </row>
        <row r="9">
          <cell r="B9" t="str">
            <v>Net Revenue</v>
          </cell>
          <cell r="C9">
            <v>449.86099999999999</v>
          </cell>
          <cell r="D9">
            <v>444.15199999999999</v>
          </cell>
          <cell r="E9">
            <v>440.666</v>
          </cell>
          <cell r="F9">
            <v>473.59699999999998</v>
          </cell>
          <cell r="G9">
            <v>505.298</v>
          </cell>
          <cell r="H9">
            <v>470.14600000000002</v>
          </cell>
          <cell r="I9">
            <v>487.178</v>
          </cell>
          <cell r="J9">
            <v>497.62799999999999</v>
          </cell>
          <cell r="K9">
            <v>533.9</v>
          </cell>
          <cell r="L9">
            <v>520.06100000000004</v>
          </cell>
          <cell r="M9">
            <v>512.98</v>
          </cell>
          <cell r="N9">
            <v>521.16899999999998</v>
          </cell>
          <cell r="O9">
            <v>563.947</v>
          </cell>
          <cell r="P9">
            <v>533.07899999999995</v>
          </cell>
          <cell r="Q9">
            <v>499.74599999999998</v>
          </cell>
          <cell r="R9">
            <v>519.46699999999998</v>
          </cell>
          <cell r="S9">
            <v>506.18200000000002</v>
          </cell>
          <cell r="T9">
            <v>459.64800000000002</v>
          </cell>
          <cell r="U9">
            <v>448.68200000000002</v>
          </cell>
          <cell r="V9">
            <v>476.8</v>
          </cell>
          <cell r="W9">
            <v>634.46100000000001</v>
          </cell>
          <cell r="X9">
            <v>604.51099999999997</v>
          </cell>
          <cell r="Y9">
            <v>563.24599999999998</v>
          </cell>
          <cell r="Z9">
            <v>595.49099999999999</v>
          </cell>
          <cell r="AA9">
            <v>613.84400000000005</v>
          </cell>
          <cell r="AB9">
            <v>579.61199999999997</v>
          </cell>
          <cell r="AC9">
            <v>557.41999999999996</v>
          </cell>
          <cell r="AD9">
            <v>613.35572999999999</v>
          </cell>
          <cell r="AE9">
            <v>669.08996000000013</v>
          </cell>
          <cell r="AF9">
            <v>625.98095999999998</v>
          </cell>
          <cell r="AG9">
            <v>596.43939999999998</v>
          </cell>
          <cell r="AH9">
            <v>656.29063110000004</v>
          </cell>
          <cell r="AI9">
            <v>9.0772366617916322E-2</v>
          </cell>
          <cell r="AJ9">
            <v>6.1125565223954847E-2</v>
          </cell>
          <cell r="AK9">
            <v>5.5639798261167162E-2</v>
          </cell>
          <cell r="AL9">
            <v>5.4424161504207813E-2</v>
          </cell>
          <cell r="AM9">
            <v>9.0772366617916322E-2</v>
          </cell>
          <cell r="AN9">
            <v>0.12323139814298201</v>
          </cell>
          <cell r="AO9">
            <v>5.8525009456222188E-2</v>
          </cell>
          <cell r="AP9">
            <v>0.10554932760866498</v>
          </cell>
          <cell r="AQ9">
            <v>5.0741453176434748E-2</v>
          </cell>
          <cell r="AR9">
            <v>5.6604221667214238E-2</v>
          </cell>
          <cell r="AS9">
            <v>0.10616914745632222</v>
          </cell>
          <cell r="AT9">
            <v>5.2962161673967278E-2</v>
          </cell>
          <cell r="AU9">
            <v>4.7306421664375709E-2</v>
          </cell>
        </row>
        <row r="10">
          <cell r="B10" t="str">
            <v>Cost of Goods Sold</v>
          </cell>
          <cell r="C10">
            <v>326.18700000000001</v>
          </cell>
          <cell r="D10">
            <v>321.34199999999998</v>
          </cell>
          <cell r="E10">
            <v>323.56200000000001</v>
          </cell>
          <cell r="F10">
            <v>348.36399999999998</v>
          </cell>
          <cell r="G10">
            <v>364.06799999999998</v>
          </cell>
          <cell r="H10">
            <v>334.95600000000002</v>
          </cell>
          <cell r="I10">
            <v>349.351</v>
          </cell>
          <cell r="J10">
            <v>358.05900000000003</v>
          </cell>
          <cell r="K10">
            <v>381.697</v>
          </cell>
          <cell r="L10">
            <v>371.59899999999999</v>
          </cell>
          <cell r="M10">
            <v>368.44</v>
          </cell>
          <cell r="N10">
            <v>376.88600000000002</v>
          </cell>
          <cell r="O10">
            <v>404.71899999999999</v>
          </cell>
          <cell r="P10">
            <v>380.98899999999998</v>
          </cell>
          <cell r="Q10">
            <v>363.12200000000001</v>
          </cell>
          <cell r="R10">
            <v>381.04399999999998</v>
          </cell>
          <cell r="S10">
            <v>370.416</v>
          </cell>
          <cell r="T10">
            <v>335.03399999999999</v>
          </cell>
          <cell r="U10">
            <v>327.78699999999998</v>
          </cell>
          <cell r="V10">
            <v>354.39499999999998</v>
          </cell>
          <cell r="W10">
            <v>456.25099999999998</v>
          </cell>
          <cell r="X10">
            <v>429.577</v>
          </cell>
          <cell r="Y10">
            <v>404.899</v>
          </cell>
          <cell r="Z10">
            <v>430.98700000000002</v>
          </cell>
          <cell r="AA10">
            <v>436.49900000000002</v>
          </cell>
          <cell r="AB10">
            <v>420.55700000000002</v>
          </cell>
          <cell r="AC10">
            <v>407.74599999999998</v>
          </cell>
          <cell r="AD10">
            <v>448.36303863000001</v>
          </cell>
          <cell r="AE10">
            <v>475.05387160000009</v>
          </cell>
          <cell r="AF10">
            <v>448.20236736000004</v>
          </cell>
          <cell r="AG10">
            <v>427.05061039999998</v>
          </cell>
          <cell r="AH10">
            <v>465.96634808100004</v>
          </cell>
        </row>
        <row r="11">
          <cell r="B11" t="str">
            <v>Gross Profit</v>
          </cell>
          <cell r="C11">
            <v>123.67399999999998</v>
          </cell>
          <cell r="D11">
            <v>122.81</v>
          </cell>
          <cell r="E11">
            <v>117.10399999999998</v>
          </cell>
          <cell r="F11">
            <v>125.233</v>
          </cell>
          <cell r="G11">
            <v>141.23000000000002</v>
          </cell>
          <cell r="H11">
            <v>135.19</v>
          </cell>
          <cell r="I11">
            <v>137.827</v>
          </cell>
          <cell r="J11">
            <v>139.56899999999996</v>
          </cell>
          <cell r="K11">
            <v>152.20299999999997</v>
          </cell>
          <cell r="L11">
            <v>148.46200000000005</v>
          </cell>
          <cell r="M11">
            <v>144.54000000000002</v>
          </cell>
          <cell r="N11">
            <v>144.28299999999996</v>
          </cell>
          <cell r="O11">
            <v>159.22800000000001</v>
          </cell>
          <cell r="P11">
            <v>152.08999999999997</v>
          </cell>
          <cell r="Q11">
            <v>136.62399999999997</v>
          </cell>
          <cell r="R11">
            <v>138.423</v>
          </cell>
          <cell r="S11">
            <v>135.76600000000002</v>
          </cell>
          <cell r="T11">
            <v>124.61400000000003</v>
          </cell>
          <cell r="U11">
            <v>120.89500000000004</v>
          </cell>
          <cell r="V11">
            <v>122.40500000000003</v>
          </cell>
          <cell r="W11">
            <v>178.21000000000004</v>
          </cell>
          <cell r="X11">
            <v>174.93399999999997</v>
          </cell>
          <cell r="Y11">
            <v>158.34699999999998</v>
          </cell>
          <cell r="Z11">
            <v>164.50399999999996</v>
          </cell>
          <cell r="AA11">
            <v>177.34500000000003</v>
          </cell>
          <cell r="AB11">
            <v>159.05499999999995</v>
          </cell>
          <cell r="AC11">
            <v>149.67399999999998</v>
          </cell>
          <cell r="AD11">
            <v>164.99269137000002</v>
          </cell>
          <cell r="AE11">
            <v>194.03608840000001</v>
          </cell>
          <cell r="AF11">
            <v>177.77859263999997</v>
          </cell>
          <cell r="AG11">
            <v>169.38878959999997</v>
          </cell>
          <cell r="AH11">
            <v>190.32428301900001</v>
          </cell>
          <cell r="AI11">
            <v>0.26442946217987023</v>
          </cell>
          <cell r="AJ11">
            <v>0.27491602961803752</v>
          </cell>
          <cell r="AK11">
            <v>0.27650443992146834</v>
          </cell>
          <cell r="AL11">
            <v>0.26574321595040229</v>
          </cell>
          <cell r="AM11">
            <v>0.26442946217987023</v>
          </cell>
          <cell r="AN11">
            <v>0.27949843458711499</v>
          </cell>
          <cell r="AO11">
            <v>0.28754897414845598</v>
          </cell>
          <cell r="AP11">
            <v>0.28290891624827064</v>
          </cell>
          <cell r="AQ11">
            <v>0.28046854276688604</v>
          </cell>
          <cell r="AR11">
            <v>0.2850777299119685</v>
          </cell>
          <cell r="AS11">
            <v>0.28547035828489359</v>
          </cell>
          <cell r="AT11">
            <v>0.28176537096962845</v>
          </cell>
          <cell r="AU11">
            <v>0.27684493897373014</v>
          </cell>
        </row>
        <row r="12">
          <cell r="B12" t="str">
            <v>SG&amp;A</v>
          </cell>
          <cell r="C12">
            <v>73.510999999999996</v>
          </cell>
          <cell r="D12">
            <v>73.38</v>
          </cell>
          <cell r="E12">
            <v>68.409000000000006</v>
          </cell>
          <cell r="F12">
            <v>70.786000000000001</v>
          </cell>
          <cell r="G12">
            <v>81.47</v>
          </cell>
          <cell r="H12">
            <v>77.313000000000002</v>
          </cell>
          <cell r="I12">
            <v>77.918000000000006</v>
          </cell>
          <cell r="J12">
            <v>78.135999999999996</v>
          </cell>
          <cell r="K12">
            <v>84.055999999999997</v>
          </cell>
          <cell r="L12">
            <v>81.072999999999993</v>
          </cell>
          <cell r="M12">
            <v>78.477999999999994</v>
          </cell>
          <cell r="N12">
            <v>77.597999999999999</v>
          </cell>
          <cell r="O12">
            <v>86.962999999999994</v>
          </cell>
          <cell r="P12">
            <v>81.331000000000003</v>
          </cell>
          <cell r="Q12">
            <v>77.382000000000005</v>
          </cell>
          <cell r="R12">
            <v>89.92</v>
          </cell>
          <cell r="S12">
            <v>84.411000000000001</v>
          </cell>
          <cell r="T12">
            <v>84.866</v>
          </cell>
          <cell r="U12">
            <v>82.114999999999995</v>
          </cell>
          <cell r="V12">
            <v>79.442999999999998</v>
          </cell>
          <cell r="W12">
            <v>110.298</v>
          </cell>
          <cell r="X12">
            <v>108.47</v>
          </cell>
          <cell r="Y12">
            <v>103.55200000000001</v>
          </cell>
          <cell r="Z12">
            <v>102.009</v>
          </cell>
          <cell r="AA12">
            <v>114.188</v>
          </cell>
          <cell r="AB12">
            <v>105.414</v>
          </cell>
          <cell r="AC12">
            <v>102.581</v>
          </cell>
          <cell r="AD12">
            <v>112.24409858999999</v>
          </cell>
          <cell r="AE12">
            <v>125.11982252000003</v>
          </cell>
          <cell r="AF12">
            <v>113.30255376</v>
          </cell>
          <cell r="AG12">
            <v>107.9555314</v>
          </cell>
          <cell r="AH12">
            <v>118.7886042291</v>
          </cell>
          <cell r="AI12">
            <v>0.14946462921006679</v>
          </cell>
          <cell r="AJ12">
            <v>0.16340825277141161</v>
          </cell>
          <cell r="AK12">
            <v>0.16521371062158899</v>
          </cell>
          <cell r="AL12">
            <v>0.1552400230560107</v>
          </cell>
          <cell r="AM12">
            <v>0.14946462921006679</v>
          </cell>
          <cell r="AN12">
            <v>0.16123159007160132</v>
          </cell>
          <cell r="AO12">
            <v>0.16444466187099327</v>
          </cell>
          <cell r="AP12">
            <v>0.15993743559848764</v>
          </cell>
          <cell r="AQ12">
            <v>0.15701688811722814</v>
          </cell>
          <cell r="AR12">
            <v>0.15743772241992882</v>
          </cell>
          <cell r="AS12">
            <v>0.15589132813266135</v>
          </cell>
          <cell r="AT12">
            <v>0.15298452181371591</v>
          </cell>
          <cell r="AU12">
            <v>0.14889220195368488</v>
          </cell>
        </row>
        <row r="13">
          <cell r="B13" t="str">
            <v>EBITDA</v>
          </cell>
          <cell r="C13">
            <v>50.162999999999982</v>
          </cell>
          <cell r="D13">
            <v>49.430000000000007</v>
          </cell>
          <cell r="E13">
            <v>48.694999999999979</v>
          </cell>
          <cell r="F13">
            <v>54.447000000000003</v>
          </cell>
          <cell r="G13">
            <v>59.760000000000019</v>
          </cell>
          <cell r="H13">
            <v>57.876999999999995</v>
          </cell>
          <cell r="I13">
            <v>59.908999999999992</v>
          </cell>
          <cell r="J13">
            <v>61.432999999999964</v>
          </cell>
          <cell r="K13">
            <v>68.146999999999977</v>
          </cell>
          <cell r="L13">
            <v>67.389000000000053</v>
          </cell>
          <cell r="M13">
            <v>66.062000000000026</v>
          </cell>
          <cell r="N13">
            <v>66.68499999999996</v>
          </cell>
          <cell r="O13">
            <v>72.265000000000015</v>
          </cell>
          <cell r="P13">
            <v>70.758999999999972</v>
          </cell>
          <cell r="Q13">
            <v>59.241999999999962</v>
          </cell>
          <cell r="R13">
            <v>48.503</v>
          </cell>
          <cell r="S13">
            <v>51.355000000000018</v>
          </cell>
          <cell r="T13">
            <v>39.748000000000033</v>
          </cell>
          <cell r="U13">
            <v>38.780000000000044</v>
          </cell>
          <cell r="V13">
            <v>42.962000000000032</v>
          </cell>
          <cell r="W13">
            <v>67.912000000000035</v>
          </cell>
          <cell r="X13">
            <v>66.46399999999997</v>
          </cell>
          <cell r="Y13">
            <v>54.794999999999973</v>
          </cell>
          <cell r="Z13">
            <v>62.494999999999962</v>
          </cell>
          <cell r="AA13">
            <v>63.157000000000025</v>
          </cell>
          <cell r="AB13">
            <v>53.640999999999948</v>
          </cell>
          <cell r="AC13">
            <v>47.092999999999975</v>
          </cell>
          <cell r="AD13">
            <v>52.748592780000024</v>
          </cell>
          <cell r="AE13">
            <v>68.916265879999983</v>
          </cell>
          <cell r="AF13">
            <v>64.476038879999976</v>
          </cell>
          <cell r="AG13">
            <v>61.433258199999969</v>
          </cell>
          <cell r="AH13">
            <v>71.535678789900004</v>
          </cell>
          <cell r="AI13">
            <v>0.11496483296980345</v>
          </cell>
          <cell r="AJ13">
            <v>0.11150777684662593</v>
          </cell>
          <cell r="AK13">
            <v>0.11129072929987933</v>
          </cell>
          <cell r="AL13">
            <v>0.11050319289439163</v>
          </cell>
          <cell r="AM13">
            <v>0.11496483296980345</v>
          </cell>
          <cell r="AN13">
            <v>0.11826684451551366</v>
          </cell>
          <cell r="AO13">
            <v>0.12310431227746273</v>
          </cell>
          <cell r="AP13">
            <v>0.12297148064978301</v>
          </cell>
          <cell r="AQ13">
            <v>0.1234516546496579</v>
          </cell>
          <cell r="AR13">
            <v>0.12764000749203966</v>
          </cell>
          <cell r="AS13">
            <v>0.12957903015223224</v>
          </cell>
          <cell r="AT13">
            <v>0.12878084915591256</v>
          </cell>
          <cell r="AU13">
            <v>0.12795273702004525</v>
          </cell>
        </row>
        <row r="14">
          <cell r="B14" t="str">
            <v>Deprec. &amp; Amort.</v>
          </cell>
          <cell r="C14">
            <v>14.596</v>
          </cell>
          <cell r="D14">
            <v>14.414999999999999</v>
          </cell>
          <cell r="E14">
            <v>13.622</v>
          </cell>
          <cell r="F14">
            <v>13.362</v>
          </cell>
          <cell r="G14">
            <v>14.837</v>
          </cell>
          <cell r="H14">
            <v>14.041</v>
          </cell>
          <cell r="I14">
            <v>13.885</v>
          </cell>
          <cell r="J14">
            <v>12.706</v>
          </cell>
          <cell r="K14">
            <v>14.968</v>
          </cell>
          <cell r="L14">
            <v>14.654</v>
          </cell>
          <cell r="M14">
            <v>14.173999999999999</v>
          </cell>
          <cell r="N14">
            <v>12.731999999999999</v>
          </cell>
          <cell r="O14">
            <v>15.548999999999999</v>
          </cell>
          <cell r="P14">
            <v>15.298</v>
          </cell>
          <cell r="Q14">
            <v>14.548</v>
          </cell>
          <cell r="R14">
            <v>12.76</v>
          </cell>
          <cell r="S14">
            <v>15.257999999999999</v>
          </cell>
          <cell r="T14">
            <v>14.765000000000001</v>
          </cell>
          <cell r="U14">
            <v>13.507</v>
          </cell>
          <cell r="V14">
            <v>12.237</v>
          </cell>
          <cell r="W14">
            <v>12.555999999999999</v>
          </cell>
          <cell r="X14">
            <v>12.266</v>
          </cell>
          <cell r="Y14">
            <v>12.018000000000001</v>
          </cell>
          <cell r="Z14">
            <v>12.426</v>
          </cell>
          <cell r="AA14">
            <v>12.904</v>
          </cell>
          <cell r="AB14">
            <v>12.614000000000001</v>
          </cell>
          <cell r="AC14">
            <v>12.477</v>
          </cell>
          <cell r="AD14">
            <v>12.880470330000001</v>
          </cell>
          <cell r="AE14">
            <v>14.050889160000004</v>
          </cell>
          <cell r="AF14">
            <v>13.145600160000001</v>
          </cell>
          <cell r="AG14">
            <v>12.5252274</v>
          </cell>
          <cell r="AH14">
            <v>13.782103253100003</v>
          </cell>
          <cell r="AI14">
            <v>2.8213861151992096E-2</v>
          </cell>
          <cell r="AJ14">
            <v>3.2445577633980274E-2</v>
          </cell>
          <cell r="AK14">
            <v>3.2455105459392279E-2</v>
          </cell>
          <cell r="AL14">
            <v>3.0912300926325152E-2</v>
          </cell>
          <cell r="AM14">
            <v>2.8213861151992096E-2</v>
          </cell>
          <cell r="AN14">
            <v>2.9362871018686003E-2</v>
          </cell>
          <cell r="AO14">
            <v>2.9865190813066579E-2</v>
          </cell>
          <cell r="AP14">
            <v>2.8500876476359769E-2</v>
          </cell>
          <cell r="AQ14">
            <v>2.5533129164757608E-2</v>
          </cell>
          <cell r="AR14">
            <v>2.8035212586626709E-2</v>
          </cell>
          <cell r="AS14">
            <v>2.817746379751606E-2</v>
          </cell>
          <cell r="AT14">
            <v>2.7630706850169596E-2</v>
          </cell>
          <cell r="AU14">
            <v>2.4429695549812058E-2</v>
          </cell>
        </row>
        <row r="15">
          <cell r="B15" t="str">
            <v>Asset Impair. Charges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18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</row>
        <row r="16">
          <cell r="B16" t="str">
            <v>Operating Income</v>
          </cell>
          <cell r="C16">
            <v>35.566999999999979</v>
          </cell>
          <cell r="D16">
            <v>35.015000000000008</v>
          </cell>
          <cell r="E16">
            <v>35.072999999999979</v>
          </cell>
          <cell r="F16">
            <v>41.085000000000001</v>
          </cell>
          <cell r="G16">
            <v>44.923000000000016</v>
          </cell>
          <cell r="H16">
            <v>43.835999999999999</v>
          </cell>
          <cell r="I16">
            <v>46.023999999999994</v>
          </cell>
          <cell r="J16">
            <v>48.726999999999961</v>
          </cell>
          <cell r="K16">
            <v>53.178999999999974</v>
          </cell>
          <cell r="L16">
            <v>52.735000000000056</v>
          </cell>
          <cell r="M16">
            <v>51.888000000000027</v>
          </cell>
          <cell r="N16">
            <v>53.95299999999996</v>
          </cell>
          <cell r="O16">
            <v>56.716000000000015</v>
          </cell>
          <cell r="P16">
            <v>55.46099999999997</v>
          </cell>
          <cell r="Q16">
            <v>44.69399999999996</v>
          </cell>
          <cell r="R16">
            <v>35.743000000000002</v>
          </cell>
          <cell r="S16">
            <v>36.097000000000023</v>
          </cell>
          <cell r="T16">
            <v>6.9830000000000325</v>
          </cell>
          <cell r="U16">
            <v>25.273000000000046</v>
          </cell>
          <cell r="V16">
            <v>30.72500000000003</v>
          </cell>
          <cell r="W16">
            <v>55.356000000000037</v>
          </cell>
          <cell r="X16">
            <v>54.197999999999972</v>
          </cell>
          <cell r="Y16">
            <v>42.776999999999973</v>
          </cell>
          <cell r="Z16">
            <v>50.06899999999996</v>
          </cell>
          <cell r="AA16">
            <v>50.253000000000029</v>
          </cell>
          <cell r="AB16">
            <v>41.026999999999944</v>
          </cell>
          <cell r="AC16">
            <v>34.615999999999971</v>
          </cell>
          <cell r="AD16">
            <v>39.868122450000023</v>
          </cell>
          <cell r="AE16">
            <v>54.865376719999979</v>
          </cell>
          <cell r="AF16">
            <v>51.330438719999975</v>
          </cell>
          <cell r="AG16">
            <v>48.90803079999997</v>
          </cell>
          <cell r="AH16">
            <v>57.7535755368</v>
          </cell>
          <cell r="AI16">
            <v>8.6750971817811356E-2</v>
          </cell>
          <cell r="AJ16">
            <v>7.9062199212645637E-2</v>
          </cell>
          <cell r="AK16">
            <v>7.8835623840487062E-2</v>
          </cell>
          <cell r="AL16">
            <v>7.9590891968066471E-2</v>
          </cell>
          <cell r="AM16">
            <v>8.6750971817811356E-2</v>
          </cell>
          <cell r="AN16">
            <v>8.8903973496827646E-2</v>
          </cell>
          <cell r="AO16">
            <v>9.3239121464396155E-2</v>
          </cell>
          <cell r="AP16">
            <v>9.4470604173423248E-2</v>
          </cell>
          <cell r="AQ16">
            <v>9.7918525484900293E-2</v>
          </cell>
          <cell r="AR16">
            <v>9.9604794905412949E-2</v>
          </cell>
          <cell r="AS16">
            <v>0.10140156635471619</v>
          </cell>
          <cell r="AT16">
            <v>0.10115014230574296</v>
          </cell>
          <cell r="AU16">
            <v>0.1035230414702332</v>
          </cell>
        </row>
        <row r="17">
          <cell r="B17" t="str">
            <v xml:space="preserve">   Interest Expense</v>
          </cell>
          <cell r="C17">
            <v>9.0890000000000004</v>
          </cell>
          <cell r="D17">
            <v>9.4049999999999994</v>
          </cell>
          <cell r="E17">
            <v>12.365</v>
          </cell>
          <cell r="F17">
            <v>11.888</v>
          </cell>
          <cell r="G17">
            <v>11.263</v>
          </cell>
          <cell r="H17">
            <v>11.237</v>
          </cell>
          <cell r="I17">
            <v>10.728999999999999</v>
          </cell>
          <cell r="J17">
            <v>10.226000000000001</v>
          </cell>
          <cell r="K17">
            <v>9.8539999999999992</v>
          </cell>
          <cell r="L17">
            <v>9.5679999999999996</v>
          </cell>
          <cell r="M17">
            <v>8.9339999999999993</v>
          </cell>
          <cell r="N17">
            <v>9.2210000000000001</v>
          </cell>
          <cell r="O17">
            <v>9.609</v>
          </cell>
          <cell r="P17">
            <v>9.3079999999999998</v>
          </cell>
          <cell r="Q17">
            <v>8.7270000000000003</v>
          </cell>
          <cell r="R17">
            <v>8.7449999999999992</v>
          </cell>
          <cell r="S17">
            <v>6.7690000000000001</v>
          </cell>
          <cell r="T17">
            <v>5.5389999999999997</v>
          </cell>
          <cell r="U17">
            <v>5.1970000000000001</v>
          </cell>
          <cell r="V17">
            <v>4.4800000000000004</v>
          </cell>
          <cell r="W17">
            <v>5.6020000000000003</v>
          </cell>
          <cell r="X17">
            <v>5.492</v>
          </cell>
          <cell r="Y17">
            <v>5.3879999999999999</v>
          </cell>
          <cell r="Z17">
            <v>5.25</v>
          </cell>
          <cell r="AA17">
            <v>5.0570000000000004</v>
          </cell>
          <cell r="AB17">
            <v>4.8680000000000003</v>
          </cell>
          <cell r="AC17">
            <v>4.7069999999999999</v>
          </cell>
          <cell r="AD17">
            <v>4.9068458399999999</v>
          </cell>
          <cell r="AE17">
            <v>5.3527196800000008</v>
          </cell>
          <cell r="AF17">
            <v>5.0078476800000002</v>
          </cell>
          <cell r="AG17">
            <v>4.7715151999999996</v>
          </cell>
          <cell r="AH17">
            <v>5.2503250488000006</v>
          </cell>
          <cell r="AI17">
            <v>2.5101510355851071E-2</v>
          </cell>
          <cell r="AJ17">
            <v>2.0204018574626385E-2</v>
          </cell>
          <cell r="AK17">
            <v>2.1175183270592049E-2</v>
          </cell>
          <cell r="AL17">
            <v>2.8059800393041442E-2</v>
          </cell>
          <cell r="AM17">
            <v>2.5101510355851071E-2</v>
          </cell>
          <cell r="AN17">
            <v>2.2289817098029283E-2</v>
          </cell>
          <cell r="AO17">
            <v>2.3901086045611364E-2</v>
          </cell>
          <cell r="AP17">
            <v>2.2022751437872808E-2</v>
          </cell>
          <cell r="AQ17">
            <v>2.0549486765214179E-2</v>
          </cell>
          <cell r="AR17">
            <v>1.8456639820191047E-2</v>
          </cell>
          <cell r="AS17">
            <v>1.8397841791635981E-2</v>
          </cell>
          <cell r="AT17">
            <v>1.741588366018168E-2</v>
          </cell>
          <cell r="AU17">
            <v>1.7692917268678682E-2</v>
          </cell>
        </row>
        <row r="18">
          <cell r="B18" t="str">
            <v xml:space="preserve">   Other Income, net</v>
          </cell>
          <cell r="C18">
            <v>0.872</v>
          </cell>
          <cell r="D18">
            <v>0.875</v>
          </cell>
          <cell r="E18">
            <v>0.76400000000000001</v>
          </cell>
          <cell r="F18">
            <v>0.75</v>
          </cell>
          <cell r="G18">
            <v>0.64700000000000002</v>
          </cell>
          <cell r="H18">
            <v>0.63800000000000001</v>
          </cell>
          <cell r="I18">
            <v>10.167</v>
          </cell>
          <cell r="J18">
            <v>0.63600000000000001</v>
          </cell>
          <cell r="K18">
            <v>0.621</v>
          </cell>
          <cell r="L18">
            <v>0.57199999999999995</v>
          </cell>
          <cell r="M18">
            <v>0.59299999999999997</v>
          </cell>
          <cell r="N18">
            <v>0.79800000000000004</v>
          </cell>
          <cell r="O18">
            <v>0.73499999999999999</v>
          </cell>
          <cell r="P18">
            <v>0.95899999999999996</v>
          </cell>
          <cell r="Q18">
            <v>0.40400000000000003</v>
          </cell>
          <cell r="R18">
            <v>7.6740000000000004</v>
          </cell>
          <cell r="S18">
            <v>0.80900000000000005</v>
          </cell>
          <cell r="T18">
            <v>0.61</v>
          </cell>
          <cell r="U18">
            <v>0.79</v>
          </cell>
          <cell r="V18">
            <v>8.39</v>
          </cell>
          <cell r="W18">
            <v>1.0740000000000001</v>
          </cell>
          <cell r="X18">
            <v>0.996</v>
          </cell>
          <cell r="Y18">
            <v>0.91100000000000003</v>
          </cell>
          <cell r="Z18">
            <v>0.77500000000000002</v>
          </cell>
          <cell r="AA18">
            <v>0.76900000000000002</v>
          </cell>
          <cell r="AB18">
            <v>0.95899999999999996</v>
          </cell>
          <cell r="AC18">
            <v>0.47399999999999998</v>
          </cell>
          <cell r="AD18">
            <v>0.5</v>
          </cell>
          <cell r="AE18">
            <v>0.5</v>
          </cell>
          <cell r="AF18">
            <v>0.5</v>
          </cell>
          <cell r="AG18">
            <v>0.5</v>
          </cell>
          <cell r="AH18">
            <v>0.5</v>
          </cell>
        </row>
        <row r="19">
          <cell r="B19" t="str">
            <v>Pretax income</v>
          </cell>
          <cell r="C19">
            <v>27.34999999999998</v>
          </cell>
          <cell r="D19">
            <v>26.485000000000007</v>
          </cell>
          <cell r="E19">
            <v>23.471999999999976</v>
          </cell>
          <cell r="F19">
            <v>29.947000000000003</v>
          </cell>
          <cell r="G19">
            <v>34.307000000000016</v>
          </cell>
          <cell r="H19">
            <v>33.236999999999995</v>
          </cell>
          <cell r="I19">
            <v>45.461999999999996</v>
          </cell>
          <cell r="J19">
            <v>39.136999999999965</v>
          </cell>
          <cell r="K19">
            <v>43.945999999999977</v>
          </cell>
          <cell r="L19">
            <v>43.739000000000061</v>
          </cell>
          <cell r="M19">
            <v>43.547000000000025</v>
          </cell>
          <cell r="N19">
            <v>45.529999999999959</v>
          </cell>
          <cell r="O19">
            <v>47.842000000000013</v>
          </cell>
          <cell r="P19">
            <v>47.111999999999973</v>
          </cell>
          <cell r="Q19">
            <v>36.37099999999996</v>
          </cell>
          <cell r="R19">
            <v>34.672000000000004</v>
          </cell>
          <cell r="S19">
            <v>30.137000000000025</v>
          </cell>
          <cell r="T19">
            <v>2.0540000000000327</v>
          </cell>
          <cell r="U19">
            <v>20.866000000000046</v>
          </cell>
          <cell r="V19">
            <v>34.635000000000034</v>
          </cell>
          <cell r="W19">
            <v>50.828000000000031</v>
          </cell>
          <cell r="X19">
            <v>49.701999999999977</v>
          </cell>
          <cell r="Y19">
            <v>38.299999999999976</v>
          </cell>
          <cell r="Z19">
            <v>45.593999999999959</v>
          </cell>
          <cell r="AA19">
            <v>45.965000000000025</v>
          </cell>
          <cell r="AB19">
            <v>37.117999999999945</v>
          </cell>
          <cell r="AC19">
            <v>30.382999999999971</v>
          </cell>
          <cell r="AD19">
            <v>35.46127661000002</v>
          </cell>
          <cell r="AE19">
            <v>50.012657039999979</v>
          </cell>
          <cell r="AF19">
            <v>46.822591039999978</v>
          </cell>
          <cell r="AG19">
            <v>44.636515599999967</v>
          </cell>
          <cell r="AH19">
            <v>53.003250487999999</v>
          </cell>
          <cell r="AI19">
            <v>6.3233086358232854E-2</v>
          </cell>
          <cell r="AJ19">
            <v>6.0796557158766779E-2</v>
          </cell>
          <cell r="AK19">
            <v>5.9630486860354132E-2</v>
          </cell>
          <cell r="AL19">
            <v>5.3264830960409869E-2</v>
          </cell>
          <cell r="AM19">
            <v>6.3233086358232854E-2</v>
          </cell>
          <cell r="AN19">
            <v>6.7894588935638017E-2</v>
          </cell>
          <cell r="AO19">
            <v>7.0695060683277092E-2</v>
          </cell>
          <cell r="AP19">
            <v>9.3317021704592565E-2</v>
          </cell>
          <cell r="AQ19">
            <v>7.8647101851181941E-2</v>
          </cell>
          <cell r="AR19">
            <v>8.2311294249859487E-2</v>
          </cell>
          <cell r="AS19">
            <v>8.4103595539754106E-2</v>
          </cell>
          <cell r="AT19">
            <v>8.4890249132519829E-2</v>
          </cell>
          <cell r="AU19">
            <v>8.736129739105733E-2</v>
          </cell>
        </row>
        <row r="20">
          <cell r="B20" t="str">
            <v>Income Tax</v>
          </cell>
          <cell r="C20">
            <v>10.291</v>
          </cell>
          <cell r="D20">
            <v>9.9700000000000006</v>
          </cell>
          <cell r="E20">
            <v>8.8580000000000005</v>
          </cell>
          <cell r="F20">
            <v>11.082000000000001</v>
          </cell>
          <cell r="G20">
            <v>12.693</v>
          </cell>
          <cell r="H20">
            <v>12.13</v>
          </cell>
          <cell r="I20">
            <v>14.914</v>
          </cell>
          <cell r="J20">
            <v>14.468</v>
          </cell>
          <cell r="K20">
            <v>16.241</v>
          </cell>
          <cell r="L20">
            <v>16.146999999999998</v>
          </cell>
          <cell r="M20">
            <v>16.087</v>
          </cell>
          <cell r="N20">
            <v>16.379000000000001</v>
          </cell>
          <cell r="O20">
            <v>17.242000000000001</v>
          </cell>
          <cell r="P20">
            <v>16.969000000000001</v>
          </cell>
          <cell r="Q20">
            <v>12.997999999999999</v>
          </cell>
          <cell r="R20">
            <v>10.365</v>
          </cell>
          <cell r="S20">
            <v>10.456</v>
          </cell>
          <cell r="T20">
            <v>0.40699999999999997</v>
          </cell>
          <cell r="U20">
            <v>6.9950000000000001</v>
          </cell>
          <cell r="V20">
            <v>11.81</v>
          </cell>
          <cell r="W20">
            <v>18.056999999999999</v>
          </cell>
          <cell r="X20">
            <v>17.617000000000001</v>
          </cell>
          <cell r="Y20">
            <v>13.641999999999999</v>
          </cell>
          <cell r="Z20">
            <v>16.277000000000001</v>
          </cell>
          <cell r="AA20">
            <v>16.923999999999999</v>
          </cell>
          <cell r="AB20">
            <v>13.542999999999999</v>
          </cell>
          <cell r="AC20">
            <v>11.038</v>
          </cell>
          <cell r="AD20">
            <v>12.943365962650008</v>
          </cell>
          <cell r="AE20">
            <v>18.004556534399992</v>
          </cell>
          <cell r="AF20">
            <v>16.856132774399992</v>
          </cell>
          <cell r="AG20">
            <v>16.069145615999986</v>
          </cell>
          <cell r="AH20">
            <v>19.081170175680001</v>
          </cell>
          <cell r="AI20">
            <v>0.37005376164557385</v>
          </cell>
          <cell r="AJ20">
            <v>0.37627056672760539</v>
          </cell>
          <cell r="AK20">
            <v>0.37643949405323762</v>
          </cell>
          <cell r="AL20">
            <v>0.37738582140422672</v>
          </cell>
          <cell r="AM20">
            <v>0.37005376164557385</v>
          </cell>
          <cell r="AN20">
            <v>0.36998280234354486</v>
          </cell>
          <cell r="AO20">
            <v>0.36495471913830979</v>
          </cell>
          <cell r="AP20">
            <v>0.32805419911134576</v>
          </cell>
          <cell r="AQ20">
            <v>0.36967575440120637</v>
          </cell>
          <cell r="AR20">
            <v>0.36956719610431005</v>
          </cell>
          <cell r="AS20">
            <v>0.3691671048720816</v>
          </cell>
          <cell r="AT20">
            <v>0.36941695179920525</v>
          </cell>
          <cell r="AU20">
            <v>0.35974083022183212</v>
          </cell>
        </row>
        <row r="21">
          <cell r="B21" t="str">
            <v>Net Income before extra.</v>
          </cell>
          <cell r="C21">
            <v>17.05899999999998</v>
          </cell>
          <cell r="D21">
            <v>16.515000000000008</v>
          </cell>
          <cell r="E21">
            <v>14.613999999999976</v>
          </cell>
          <cell r="F21">
            <v>18.865000000000002</v>
          </cell>
          <cell r="G21">
            <v>21.614000000000019</v>
          </cell>
          <cell r="H21">
            <v>21.106999999999992</v>
          </cell>
          <cell r="I21">
            <v>30.547999999999995</v>
          </cell>
          <cell r="J21">
            <v>24.668999999999965</v>
          </cell>
          <cell r="K21">
            <v>27.704999999999977</v>
          </cell>
          <cell r="L21">
            <v>27.592000000000063</v>
          </cell>
          <cell r="M21">
            <v>27.460000000000026</v>
          </cell>
          <cell r="N21">
            <v>29.150999999999957</v>
          </cell>
          <cell r="O21">
            <v>30.600000000000012</v>
          </cell>
          <cell r="P21">
            <v>30.142999999999972</v>
          </cell>
          <cell r="Q21">
            <v>23.372999999999962</v>
          </cell>
          <cell r="R21">
            <v>24.307000000000002</v>
          </cell>
          <cell r="S21">
            <v>19.681000000000026</v>
          </cell>
          <cell r="T21">
            <v>1.6470000000000327</v>
          </cell>
          <cell r="U21">
            <v>13.871000000000045</v>
          </cell>
          <cell r="V21">
            <v>22.825000000000031</v>
          </cell>
          <cell r="W21">
            <v>32.771000000000029</v>
          </cell>
          <cell r="X21">
            <v>32.08499999999998</v>
          </cell>
          <cell r="Y21">
            <v>24.657999999999976</v>
          </cell>
          <cell r="Z21">
            <v>29.316999999999958</v>
          </cell>
          <cell r="AA21">
            <v>29.041000000000025</v>
          </cell>
          <cell r="AB21">
            <v>23.574999999999946</v>
          </cell>
          <cell r="AC21">
            <v>19.34499999999997</v>
          </cell>
          <cell r="AD21">
            <v>22.517910647350014</v>
          </cell>
          <cell r="AE21">
            <v>32.008100505599984</v>
          </cell>
          <cell r="AF21">
            <v>29.966458265599986</v>
          </cell>
          <cell r="AG21">
            <v>28.567369983999981</v>
          </cell>
          <cell r="AH21">
            <v>33.922080312319999</v>
          </cell>
        </row>
        <row r="22">
          <cell r="B22" t="str">
            <v>Extraordinary charge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2.5219999999999998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B23" t="str">
            <v>Net Income</v>
          </cell>
          <cell r="C23">
            <v>17.05899999999998</v>
          </cell>
          <cell r="D23">
            <v>16.515000000000008</v>
          </cell>
          <cell r="E23">
            <v>14.613999999999976</v>
          </cell>
          <cell r="F23">
            <v>18.865000000000002</v>
          </cell>
          <cell r="G23">
            <v>21.614000000000019</v>
          </cell>
          <cell r="H23">
            <v>21.106999999999992</v>
          </cell>
          <cell r="I23">
            <v>30.547999999999995</v>
          </cell>
          <cell r="J23">
            <v>24.668999999999965</v>
          </cell>
          <cell r="K23">
            <v>27.704999999999977</v>
          </cell>
          <cell r="L23">
            <v>27.592000000000063</v>
          </cell>
          <cell r="M23">
            <v>27.460000000000026</v>
          </cell>
          <cell r="N23">
            <v>29.150999999999957</v>
          </cell>
          <cell r="O23">
            <v>30.600000000000012</v>
          </cell>
          <cell r="P23">
            <v>27.620999999999974</v>
          </cell>
          <cell r="Q23">
            <v>23.372999999999962</v>
          </cell>
          <cell r="R23">
            <v>24.307000000000002</v>
          </cell>
          <cell r="S23">
            <v>19.681000000000026</v>
          </cell>
          <cell r="T23">
            <v>1.6470000000000327</v>
          </cell>
          <cell r="U23">
            <v>13.871000000000045</v>
          </cell>
          <cell r="V23">
            <v>22.825000000000031</v>
          </cell>
          <cell r="W23">
            <v>32.771000000000029</v>
          </cell>
          <cell r="X23">
            <v>32.08499999999998</v>
          </cell>
          <cell r="Y23">
            <v>24.657999999999976</v>
          </cell>
          <cell r="Z23">
            <v>29.316999999999958</v>
          </cell>
          <cell r="AA23">
            <v>29.041000000000025</v>
          </cell>
          <cell r="AB23">
            <v>23.574999999999946</v>
          </cell>
          <cell r="AC23">
            <v>19.34499999999997</v>
          </cell>
          <cell r="AD23">
            <v>22.517910647350014</v>
          </cell>
          <cell r="AE23">
            <v>32.008100505599984</v>
          </cell>
          <cell r="AF23">
            <v>29.966458265599986</v>
          </cell>
          <cell r="AG23">
            <v>28.567369983999981</v>
          </cell>
          <cell r="AH23">
            <v>33.922080312319999</v>
          </cell>
          <cell r="AI23" t="str">
            <v>n/a</v>
          </cell>
          <cell r="AJ23" t="str">
            <v>n/a</v>
          </cell>
          <cell r="AK23" t="str">
            <v>n/a</v>
          </cell>
          <cell r="AL23" t="str">
            <v>n/a</v>
          </cell>
          <cell r="AM23" t="str">
            <v>n/a</v>
          </cell>
          <cell r="AN23">
            <v>0.26701447916056309</v>
          </cell>
          <cell r="AO23">
            <v>0.27805025734180933</v>
          </cell>
          <cell r="AP23">
            <v>1.0903243465170416</v>
          </cell>
          <cell r="AQ23">
            <v>0.30765968725152204</v>
          </cell>
          <cell r="AR23">
            <v>0.28180808735078888</v>
          </cell>
          <cell r="AS23">
            <v>0.30724404226086488</v>
          </cell>
          <cell r="AT23">
            <v>-0.1010868141940543</v>
          </cell>
          <cell r="AU23">
            <v>0.18168551623495066</v>
          </cell>
        </row>
        <row r="24">
          <cell r="B24" t="str">
            <v>Reported EPS</v>
          </cell>
          <cell r="C24">
            <v>0.26773530600635614</v>
          </cell>
          <cell r="D24">
            <v>0.26056245075306583</v>
          </cell>
          <cell r="E24">
            <v>0.27377744666205878</v>
          </cell>
          <cell r="F24">
            <v>0.35232047810253059</v>
          </cell>
          <cell r="G24">
            <v>0.40128396759525242</v>
          </cell>
          <cell r="H24">
            <v>0.39101725527820946</v>
          </cell>
          <cell r="I24">
            <v>0.56633296255098253</v>
          </cell>
          <cell r="J24">
            <v>0.46164642476186846</v>
          </cell>
          <cell r="K24">
            <v>0.5214819997043707</v>
          </cell>
          <cell r="L24">
            <v>0.52131346810095258</v>
          </cell>
          <cell r="M24">
            <v>0.5203911461491818</v>
          </cell>
          <cell r="N24">
            <v>0.57653969384122383</v>
          </cell>
          <cell r="O24">
            <v>0.60773158505771563</v>
          </cell>
          <cell r="P24">
            <v>0.54737417349888506</v>
          </cell>
          <cell r="Q24">
            <v>0.46310947548973264</v>
          </cell>
          <cell r="R24">
            <v>0.48128861080310475</v>
          </cell>
          <cell r="S24">
            <v>0.38527591009370077</v>
          </cell>
          <cell r="T24">
            <v>3.214211443670062E-2</v>
          </cell>
          <cell r="U24">
            <v>0.26951773986709759</v>
          </cell>
          <cell r="V24">
            <v>0.44298024298412508</v>
          </cell>
          <cell r="W24">
            <v>0.58065163710149792</v>
          </cell>
          <cell r="X24">
            <v>0.56588881484998033</v>
          </cell>
          <cell r="Y24">
            <v>0.43894189689547092</v>
          </cell>
          <cell r="Z24">
            <v>0.52251015897911102</v>
          </cell>
          <cell r="AA24">
            <v>0.51841023977772294</v>
          </cell>
          <cell r="AB24">
            <v>0.41936459370997486</v>
          </cell>
          <cell r="AC24">
            <v>0.34284448382808985</v>
          </cell>
          <cell r="AD24">
            <v>0.39925373488209248</v>
          </cell>
          <cell r="AE24">
            <v>0.56751951251063804</v>
          </cell>
          <cell r="AF24">
            <v>0.53132018201418418</v>
          </cell>
          <cell r="AG24">
            <v>0.50651365219858124</v>
          </cell>
          <cell r="AH24">
            <v>0.60145532468652485</v>
          </cell>
          <cell r="AI24" t="str">
            <v>n/a</v>
          </cell>
          <cell r="AJ24" t="str">
            <v>n/a</v>
          </cell>
          <cell r="AK24" t="str">
            <v>n/a</v>
          </cell>
          <cell r="AL24" t="str">
            <v>n/a</v>
          </cell>
          <cell r="AM24" t="str">
            <v>n/a</v>
          </cell>
          <cell r="AN24">
            <v>0.4988085567830407</v>
          </cell>
          <cell r="AO24">
            <v>0.50066617100088306</v>
          </cell>
          <cell r="AP24">
            <v>1.068588809837371</v>
          </cell>
          <cell r="AQ24">
            <v>0.31030256103229514</v>
          </cell>
          <cell r="AR24">
            <v>0.29953360167718879</v>
          </cell>
          <cell r="AS24">
            <v>0.33322369042265709</v>
          </cell>
          <cell r="AT24">
            <v>-8.1121565297667009E-2</v>
          </cell>
          <cell r="AU24">
            <v>0.24887719890524629</v>
          </cell>
        </row>
        <row r="25">
          <cell r="B25" t="str">
            <v>Adjustments</v>
          </cell>
        </row>
        <row r="26">
          <cell r="B26" t="str">
            <v>Non-recurring items</v>
          </cell>
          <cell r="I26">
            <v>-0.11792063313333337</v>
          </cell>
          <cell r="T26">
            <v>0.2283319604792895</v>
          </cell>
          <cell r="U26">
            <v>0.02</v>
          </cell>
          <cell r="V26">
            <v>-4.0000000000000008E-2</v>
          </cell>
        </row>
        <row r="27">
          <cell r="B27" t="str">
            <v>Extraordinary charge</v>
          </cell>
          <cell r="P27">
            <v>4.9979279011049184E-2</v>
          </cell>
        </row>
        <row r="28">
          <cell r="B28" t="str">
            <v>Operating EPS</v>
          </cell>
          <cell r="C28">
            <v>0.26773530600635614</v>
          </cell>
          <cell r="D28">
            <v>0.26056245075306583</v>
          </cell>
          <cell r="E28">
            <v>0.27377744666205878</v>
          </cell>
          <cell r="F28">
            <v>0.35232047810253059</v>
          </cell>
          <cell r="G28">
            <v>0.40128396759525242</v>
          </cell>
          <cell r="H28">
            <v>0.39101725527820946</v>
          </cell>
          <cell r="I28">
            <v>0.44841232941764919</v>
          </cell>
          <cell r="J28">
            <v>0.46164642476186846</v>
          </cell>
          <cell r="K28">
            <v>0.5214819997043707</v>
          </cell>
          <cell r="L28">
            <v>0.52131346810095258</v>
          </cell>
          <cell r="M28">
            <v>0.5203911461491818</v>
          </cell>
          <cell r="N28">
            <v>0.57653969384122383</v>
          </cell>
          <cell r="O28">
            <v>0.60773158505771563</v>
          </cell>
          <cell r="P28">
            <v>0.59735345250993421</v>
          </cell>
          <cell r="Q28">
            <v>0.46310947548973264</v>
          </cell>
          <cell r="R28">
            <v>0.48128861080310475</v>
          </cell>
          <cell r="S28">
            <v>0.38527591009370077</v>
          </cell>
          <cell r="T28">
            <v>0.26047407491599012</v>
          </cell>
          <cell r="U28">
            <v>0.28951773986709761</v>
          </cell>
          <cell r="V28">
            <v>0.40298024298412505</v>
          </cell>
          <cell r="W28">
            <v>0.58065163710149792</v>
          </cell>
          <cell r="X28">
            <v>0.56588881484998033</v>
          </cell>
          <cell r="Y28">
            <v>0.43894189689547092</v>
          </cell>
          <cell r="Z28">
            <v>0.52251015897911102</v>
          </cell>
          <cell r="AA28">
            <v>0.51841023977772294</v>
          </cell>
          <cell r="AB28">
            <v>0.41936459370997486</v>
          </cell>
          <cell r="AC28">
            <v>0.34284448382808985</v>
          </cell>
          <cell r="AD28">
            <v>0.39925373488209248</v>
          </cell>
          <cell r="AE28">
            <v>0.56751951251063804</v>
          </cell>
          <cell r="AF28">
            <v>0.53132018201418418</v>
          </cell>
          <cell r="AG28">
            <v>0.50651365219858124</v>
          </cell>
          <cell r="AH28">
            <v>0.60145532468652485</v>
          </cell>
          <cell r="AI28" t="str">
            <v>n/a</v>
          </cell>
          <cell r="AJ28" t="str">
            <v>n/a</v>
          </cell>
          <cell r="AK28" t="str">
            <v>n/a</v>
          </cell>
          <cell r="AL28" t="str">
            <v>n/a</v>
          </cell>
          <cell r="AM28" t="str">
            <v>n/a</v>
          </cell>
          <cell r="AN28">
            <v>0.4988085567830407</v>
          </cell>
          <cell r="AO28">
            <v>0.50066617100088306</v>
          </cell>
          <cell r="AP28">
            <v>0.63787169061867077</v>
          </cell>
          <cell r="AQ28">
            <v>0.31030256103229514</v>
          </cell>
          <cell r="AR28">
            <v>0.29953360167718879</v>
          </cell>
          <cell r="AS28">
            <v>0.33322369042265709</v>
          </cell>
          <cell r="AT28">
            <v>0.16051926320806365</v>
          </cell>
          <cell r="AU28">
            <v>0.24887719890524629</v>
          </cell>
        </row>
        <row r="29">
          <cell r="B29" t="str">
            <v>Fully Diluted Shares O/S</v>
          </cell>
          <cell r="C29">
            <v>63.715915000000003</v>
          </cell>
          <cell r="D29">
            <v>63.382117999999998</v>
          </cell>
          <cell r="E29">
            <v>53.379123</v>
          </cell>
          <cell r="F29">
            <v>53.545000000000002</v>
          </cell>
          <cell r="G29">
            <v>53.862107000000002</v>
          </cell>
          <cell r="H29">
            <v>53.979714999999999</v>
          </cell>
          <cell r="I29">
            <v>53.94</v>
          </cell>
          <cell r="J29">
            <v>53.436999999999998</v>
          </cell>
          <cell r="K29">
            <v>53.127433000000003</v>
          </cell>
          <cell r="L29">
            <v>52.927847999999997</v>
          </cell>
          <cell r="M29">
            <v>52.768000000000001</v>
          </cell>
          <cell r="N29">
            <v>50.561999999999998</v>
          </cell>
          <cell r="O29">
            <v>50.351176000000002</v>
          </cell>
          <cell r="P29">
            <v>50.460912</v>
          </cell>
          <cell r="Q29">
            <v>50.469707999999997</v>
          </cell>
          <cell r="R29">
            <v>50.503999999999998</v>
          </cell>
          <cell r="S29">
            <v>51.082872000000002</v>
          </cell>
          <cell r="T29">
            <v>51.241183999999997</v>
          </cell>
          <cell r="U29">
            <v>51.466000000000001</v>
          </cell>
          <cell r="V29">
            <v>51.526000000000003</v>
          </cell>
          <cell r="W29">
            <v>56.438315000000003</v>
          </cell>
          <cell r="X29">
            <v>56.698416999999999</v>
          </cell>
          <cell r="Y29">
            <v>56.176000000000002</v>
          </cell>
          <cell r="Z29">
            <v>56.107999999999997</v>
          </cell>
          <cell r="AA29">
            <v>56.019340999999997</v>
          </cell>
          <cell r="AB29">
            <v>56.216000000000001</v>
          </cell>
          <cell r="AC29">
            <v>56.424999999999997</v>
          </cell>
          <cell r="AD29">
            <v>56.4</v>
          </cell>
          <cell r="AE29">
            <v>56.4</v>
          </cell>
          <cell r="AF29">
            <v>56.4</v>
          </cell>
          <cell r="AG29">
            <v>56.4</v>
          </cell>
          <cell r="AH29">
            <v>56.4</v>
          </cell>
        </row>
        <row r="30">
          <cell r="B30" t="str">
            <v>(a) Includes the acquisition of Henredon, Drexel Heritage and Maitland-Smith; prior periods not adjusted for this acquisition</v>
          </cell>
          <cell r="AE30">
            <v>0.56999999999999995</v>
          </cell>
          <cell r="AF30">
            <v>0.53</v>
          </cell>
          <cell r="AG30">
            <v>0.5</v>
          </cell>
          <cell r="AH30">
            <v>0.6</v>
          </cell>
        </row>
        <row r="31">
          <cell r="B31" t="str">
            <v>(b) Includes a $9M ($0.10 per share - after tax) restructuring charge that FBN chooses to not separate from ongoing operations</v>
          </cell>
        </row>
        <row r="32">
          <cell r="B32" t="str">
            <v>Balance Sheet Data:</v>
          </cell>
          <cell r="K32" t="str">
            <v>1Q99</v>
          </cell>
          <cell r="L32" t="str">
            <v>2Q99</v>
          </cell>
          <cell r="M32" t="str">
            <v>3Q99</v>
          </cell>
          <cell r="N32" t="str">
            <v>4Q99</v>
          </cell>
          <cell r="O32" t="str">
            <v>1Q00</v>
          </cell>
          <cell r="P32" t="str">
            <v>2Q00</v>
          </cell>
          <cell r="Q32" t="str">
            <v>3Q00</v>
          </cell>
          <cell r="R32" t="str">
            <v>4Q00</v>
          </cell>
          <cell r="S32" t="str">
            <v>1Q01</v>
          </cell>
          <cell r="T32" t="str">
            <v xml:space="preserve">2Q01 </v>
          </cell>
          <cell r="U32" t="str">
            <v xml:space="preserve">3Q01 </v>
          </cell>
          <cell r="V32" t="str">
            <v xml:space="preserve">4Q01 </v>
          </cell>
          <cell r="W32" t="str">
            <v>1Q02 (a)</v>
          </cell>
          <cell r="X32" t="str">
            <v>2Q02 (a)</v>
          </cell>
          <cell r="Y32" t="str">
            <v>3Q02 (a)</v>
          </cell>
          <cell r="Z32" t="str">
            <v>4Q02 (a)</v>
          </cell>
          <cell r="AA32" t="str">
            <v>1Q03</v>
          </cell>
          <cell r="AB32" t="str">
            <v>2Q03</v>
          </cell>
        </row>
        <row r="33">
          <cell r="B33" t="str">
            <v>Balance Sheet Data:</v>
          </cell>
          <cell r="K33" t="str">
            <v>1Q99</v>
          </cell>
          <cell r="L33" t="str">
            <v>2Q99</v>
          </cell>
          <cell r="M33" t="str">
            <v>3Q99</v>
          </cell>
          <cell r="N33" t="str">
            <v>4Q99</v>
          </cell>
          <cell r="O33" t="str">
            <v>1Q00</v>
          </cell>
          <cell r="P33" t="str">
            <v>2Q00</v>
          </cell>
          <cell r="Q33" t="str">
            <v>3Q00</v>
          </cell>
          <cell r="R33" t="str">
            <v>4Q00</v>
          </cell>
          <cell r="S33" t="str">
            <v>1Q01</v>
          </cell>
          <cell r="T33" t="str">
            <v xml:space="preserve">2Q01 </v>
          </cell>
          <cell r="U33" t="str">
            <v xml:space="preserve">3Q01 </v>
          </cell>
          <cell r="V33" t="str">
            <v xml:space="preserve">4Q01 </v>
          </cell>
          <cell r="W33" t="str">
            <v>1Q02 (a)</v>
          </cell>
          <cell r="X33" t="str">
            <v>2Q02 (a)</v>
          </cell>
          <cell r="Y33" t="str">
            <v>3Q02 (a)</v>
          </cell>
          <cell r="Z33" t="str">
            <v>4Q02 (a)</v>
          </cell>
          <cell r="AA33" t="str">
            <v>1Q03</v>
          </cell>
          <cell r="AB33" t="str">
            <v>2Q03</v>
          </cell>
          <cell r="AC33" t="str">
            <v>3Q03</v>
          </cell>
        </row>
        <row r="34">
          <cell r="B34" t="str">
            <v>Current Ratio</v>
          </cell>
          <cell r="K34">
            <v>3.9299591956852691</v>
          </cell>
          <cell r="L34">
            <v>3.9834177295221891</v>
          </cell>
          <cell r="M34">
            <v>3.7831504830522351</v>
          </cell>
          <cell r="N34">
            <v>4.366843446160245</v>
          </cell>
          <cell r="O34">
            <v>3.7013739824752419</v>
          </cell>
          <cell r="P34">
            <v>4.4845712998648581</v>
          </cell>
          <cell r="Q34">
            <v>4.3232431918296017</v>
          </cell>
          <cell r="R34">
            <v>4.8322433236909408</v>
          </cell>
          <cell r="S34">
            <v>4.5556815018096488</v>
          </cell>
          <cell r="T34">
            <v>4.9404867054487873</v>
          </cell>
          <cell r="U34">
            <v>4.0745900440635072</v>
          </cell>
          <cell r="V34">
            <v>4.4423115319889321</v>
          </cell>
          <cell r="W34">
            <v>3.9679850228947879</v>
          </cell>
          <cell r="X34">
            <v>4.216130548857242</v>
          </cell>
          <cell r="Y34">
            <v>3.9404581426723593</v>
          </cell>
          <cell r="Z34">
            <v>4.3040220100930267</v>
          </cell>
          <cell r="AA34">
            <v>4.1713027055056822</v>
          </cell>
          <cell r="AB34">
            <v>4.6345590886913728</v>
          </cell>
          <cell r="AC34">
            <v>4.3834601694185782</v>
          </cell>
        </row>
        <row r="35">
          <cell r="B35" t="str">
            <v>Book Value Per Share</v>
          </cell>
          <cell r="K35">
            <v>8.0454856533346888</v>
          </cell>
          <cell r="L35">
            <v>8.6619240593345115</v>
          </cell>
          <cell r="M35">
            <v>8.6689470891449361</v>
          </cell>
          <cell r="N35">
            <v>9.3785253747873902</v>
          </cell>
          <cell r="O35">
            <v>10.032258233650788</v>
          </cell>
          <cell r="P35">
            <v>10.613343651022399</v>
          </cell>
          <cell r="Q35">
            <v>11.078368038111098</v>
          </cell>
          <cell r="R35">
            <v>11.561559480437193</v>
          </cell>
          <cell r="S35">
            <v>11.950659312968934</v>
          </cell>
          <cell r="T35">
            <v>12.035358121311171</v>
          </cell>
          <cell r="U35">
            <v>12.141141724633739</v>
          </cell>
          <cell r="V35">
            <v>14.743217016651787</v>
          </cell>
          <cell r="W35">
            <v>14.388204183629508</v>
          </cell>
          <cell r="X35">
            <v>14.8963594521519</v>
          </cell>
          <cell r="Y35">
            <v>15.413325975505554</v>
          </cell>
          <cell r="Z35">
            <v>15.497166179510943</v>
          </cell>
          <cell r="AA35">
            <v>16.061756242366364</v>
          </cell>
          <cell r="AB35">
            <v>16.483260993311514</v>
          </cell>
          <cell r="AC35">
            <v>16.812494461674792</v>
          </cell>
        </row>
        <row r="36">
          <cell r="B36" t="str">
            <v>Days Sales Outstanding</v>
          </cell>
          <cell r="K36">
            <v>58.187983470687399</v>
          </cell>
          <cell r="L36">
            <v>62.443648437394842</v>
          </cell>
          <cell r="M36">
            <v>64.182024640336863</v>
          </cell>
          <cell r="N36">
            <v>62.329803288376709</v>
          </cell>
          <cell r="O36">
            <v>58.467702860375169</v>
          </cell>
          <cell r="P36">
            <v>63.166624928012553</v>
          </cell>
          <cell r="Q36">
            <v>65.914068096593084</v>
          </cell>
          <cell r="R36">
            <v>62.627737902503917</v>
          </cell>
          <cell r="S36">
            <v>63.228205220651866</v>
          </cell>
          <cell r="T36">
            <v>66.517102489296164</v>
          </cell>
          <cell r="U36">
            <v>64.505579675583149</v>
          </cell>
          <cell r="V36">
            <v>64.437561608640948</v>
          </cell>
          <cell r="W36">
            <v>54.622918114746213</v>
          </cell>
          <cell r="X36">
            <v>59.994236043678278</v>
          </cell>
          <cell r="Y36">
            <v>63.013250426989273</v>
          </cell>
          <cell r="Z36">
            <v>58.087670510553487</v>
          </cell>
          <cell r="AA36">
            <v>57.694095527528162</v>
          </cell>
          <cell r="AB36">
            <v>62.601304838409149</v>
          </cell>
          <cell r="AC36">
            <v>63.494396056833281</v>
          </cell>
        </row>
        <row r="37">
          <cell r="B37" t="str">
            <v>YOY Receivable Growth</v>
          </cell>
          <cell r="K37">
            <v>0.29201857190456204</v>
          </cell>
          <cell r="L37">
            <v>0.2526524520406328</v>
          </cell>
          <cell r="M37">
            <v>0.24704821838591706</v>
          </cell>
          <cell r="N37">
            <v>6.5463777594057415E-2</v>
          </cell>
          <cell r="O37">
            <v>5.7623469853986142E-2</v>
          </cell>
          <cell r="P37">
            <v>1.6075014858192294E-2</v>
          </cell>
          <cell r="Q37">
            <v>-1.4598978180637712E-2</v>
          </cell>
          <cell r="R37">
            <v>1.8585057254947301E-2</v>
          </cell>
          <cell r="S37">
            <v>-7.3227424040031242E-2</v>
          </cell>
          <cell r="T37">
            <v>-0.11166246222936826</v>
          </cell>
          <cell r="U37">
            <v>-0.13105364997550173</v>
          </cell>
          <cell r="V37">
            <v>2.1855919773510202E-2</v>
          </cell>
          <cell r="W37">
            <v>0.14418531493529718</v>
          </cell>
          <cell r="X37">
            <v>0.23202995787174285</v>
          </cell>
          <cell r="Y37">
            <v>0.22043541697195956</v>
          </cell>
          <cell r="Z37">
            <v>4.3274834280500718E-2</v>
          </cell>
          <cell r="AA37">
            <v>2.6993723959178872E-3</v>
          </cell>
          <cell r="AB37">
            <v>-1.7755645839453438E-3</v>
          </cell>
          <cell r="AC37">
            <v>-3.829267401370906E-3</v>
          </cell>
        </row>
        <row r="38">
          <cell r="B38" t="str">
            <v>Inventory Turnover</v>
          </cell>
          <cell r="K38">
            <v>5.0289625459899412</v>
          </cell>
          <cell r="L38">
            <v>4.9717312301087571</v>
          </cell>
          <cell r="M38">
            <v>5.0635712236494221</v>
          </cell>
          <cell r="N38">
            <v>5.2954344676180023</v>
          </cell>
          <cell r="O38">
            <v>5.6073222898608455</v>
          </cell>
          <cell r="P38">
            <v>5.0549073654846657</v>
          </cell>
          <cell r="Q38">
            <v>4.5599222687723584</v>
          </cell>
          <cell r="R38">
            <v>4.9121015823906671</v>
          </cell>
          <cell r="S38">
            <v>5.0134551452861311</v>
          </cell>
          <cell r="T38">
            <v>4.5792505825992471</v>
          </cell>
          <cell r="U38">
            <v>4.6211686254191973</v>
          </cell>
          <cell r="V38">
            <v>4.3716106510171322</v>
          </cell>
          <cell r="W38">
            <v>4.8924966690883354</v>
          </cell>
          <cell r="X38">
            <v>4.4656662733703758</v>
          </cell>
          <cell r="Y38">
            <v>3.981454576742014</v>
          </cell>
          <cell r="Z38">
            <v>4.0450269187767418</v>
          </cell>
          <cell r="AA38">
            <v>4.018439755486817</v>
          </cell>
          <cell r="AB38">
            <v>3.8646987402376172</v>
          </cell>
          <cell r="AC38">
            <v>3.7767460385458804</v>
          </cell>
        </row>
        <row r="39">
          <cell r="B39" t="str">
            <v>YOY Inventory Growth</v>
          </cell>
          <cell r="K39">
            <v>0.11175962354965363</v>
          </cell>
          <cell r="L39">
            <v>6.0532110548652263E-2</v>
          </cell>
          <cell r="M39">
            <v>-1.0681214857548915E-2</v>
          </cell>
          <cell r="N39">
            <v>-7.1529887891939148E-2</v>
          </cell>
          <cell r="O39">
            <v>-2.6002614937161384E-2</v>
          </cell>
          <cell r="P39">
            <v>4.2995676281266437E-2</v>
          </cell>
          <cell r="Q39">
            <v>0.14841185999014006</v>
          </cell>
          <cell r="R39">
            <v>3.1741971653322709E-2</v>
          </cell>
          <cell r="S39">
            <v>1.5755770152729331E-2</v>
          </cell>
          <cell r="T39">
            <v>-7.1569847655986063E-2</v>
          </cell>
          <cell r="U39">
            <v>-0.14521994566517227</v>
          </cell>
          <cell r="V39">
            <v>0.25579207618167876</v>
          </cell>
          <cell r="W39">
            <v>0.26851773812373381</v>
          </cell>
          <cell r="X39">
            <v>0.36235784777284752</v>
          </cell>
          <cell r="Y39">
            <v>0.50762646807716849</v>
          </cell>
          <cell r="Z39">
            <v>0.16856557942305139</v>
          </cell>
          <cell r="AA39">
            <v>0.16110548570304739</v>
          </cell>
          <cell r="AB39">
            <v>0.102665937782072</v>
          </cell>
          <cell r="AC39">
            <v>2.3199095830111149E-2</v>
          </cell>
        </row>
        <row r="40">
          <cell r="B40" t="str">
            <v>Net Debt-to-Capital</v>
          </cell>
          <cell r="K40">
            <v>0.57273832276431214</v>
          </cell>
          <cell r="L40">
            <v>0.54269495141737967</v>
          </cell>
          <cell r="M40">
            <v>0.53654036704497798</v>
          </cell>
          <cell r="N40">
            <v>0.5266965968251941</v>
          </cell>
          <cell r="O40">
            <v>0.493060817327233</v>
          </cell>
          <cell r="P40">
            <v>0.47842952026645374</v>
          </cell>
          <cell r="Q40">
            <v>0.46051628615151269</v>
          </cell>
          <cell r="R40">
            <v>0.43381599322795816</v>
          </cell>
          <cell r="S40">
            <v>0.3999878125012285</v>
          </cell>
          <cell r="T40">
            <v>0.3719699909060265</v>
          </cell>
          <cell r="U40">
            <v>0.32070310928763923</v>
          </cell>
          <cell r="V40">
            <v>0.36608025021028884</v>
          </cell>
          <cell r="W40">
            <v>0.32633491370192008</v>
          </cell>
          <cell r="X40">
            <v>0.31633146996019085</v>
          </cell>
          <cell r="Y40">
            <v>0.2917181331688587</v>
          </cell>
          <cell r="Z40">
            <v>0.29264074335301216</v>
          </cell>
          <cell r="AA40">
            <v>0.27535693806415867</v>
          </cell>
          <cell r="AB40">
            <v>0.27020666789585274</v>
          </cell>
          <cell r="AC40">
            <v>0.22540811935628474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Furniture Brands International (FBN)</v>
          </cell>
        </row>
        <row r="7">
          <cell r="B7" t="str">
            <v>Historical Analysis  ($ in mil, except per share data)</v>
          </cell>
        </row>
        <row r="8">
          <cell r="B8" t="str">
            <v>(December Fiscal Year)</v>
          </cell>
        </row>
        <row r="9">
          <cell r="B9" t="str">
            <v>Income Statement Analysis</v>
          </cell>
          <cell r="C9">
            <v>1993</v>
          </cell>
          <cell r="D9" t="str">
            <v>1994</v>
          </cell>
          <cell r="E9" t="str">
            <v>1995</v>
          </cell>
          <cell r="F9" t="str">
            <v>1996</v>
          </cell>
          <cell r="G9" t="str">
            <v>1997</v>
          </cell>
          <cell r="H9" t="str">
            <v>1998</v>
          </cell>
          <cell r="I9">
            <v>1999</v>
          </cell>
          <cell r="J9">
            <v>2000</v>
          </cell>
        </row>
        <row r="10">
          <cell r="B10" t="str">
            <v>Net Sales</v>
          </cell>
          <cell r="C10">
            <v>980.5</v>
          </cell>
          <cell r="D10">
            <v>1072.6959999999999</v>
          </cell>
          <cell r="E10">
            <v>1073.8889999999999</v>
          </cell>
          <cell r="F10">
            <v>1696.7950000000001</v>
          </cell>
          <cell r="G10">
            <v>1808.2759999999998</v>
          </cell>
          <cell r="H10">
            <v>1960.25</v>
          </cell>
          <cell r="I10">
            <v>2088.1120000000001</v>
          </cell>
          <cell r="J10">
            <v>2116.239</v>
          </cell>
        </row>
        <row r="11">
          <cell r="B11" t="str">
            <v>YOY Growth</v>
          </cell>
          <cell r="D11">
            <v>9.4029576746557764E-2</v>
          </cell>
          <cell r="E11">
            <v>1.1121510660989653E-3</v>
          </cell>
          <cell r="F11">
            <v>0.58004691360094029</v>
          </cell>
          <cell r="G11">
            <v>6.5700924389805238E-2</v>
          </cell>
          <cell r="H11">
            <v>8.4043586266698389E-2</v>
          </cell>
          <cell r="I11">
            <v>6.5227394464991706E-2</v>
          </cell>
          <cell r="J11">
            <v>1.3470062908502944E-2</v>
          </cell>
        </row>
        <row r="12">
          <cell r="B12" t="str">
            <v>5-Yr. CAGR</v>
          </cell>
          <cell r="H12">
            <v>0.14861047579304332</v>
          </cell>
          <cell r="I12">
            <v>0.14249793979822112</v>
          </cell>
          <cell r="J12">
            <v>0.14530475545129073</v>
          </cell>
        </row>
        <row r="14">
          <cell r="B14" t="str">
            <v>Gross Margin</v>
          </cell>
          <cell r="C14">
            <v>0.3006129525752167</v>
          </cell>
          <cell r="D14">
            <v>0.29847039608612314</v>
          </cell>
          <cell r="E14">
            <v>0.29192588805733172</v>
          </cell>
          <cell r="F14">
            <v>0.27607342077269209</v>
          </cell>
          <cell r="G14">
            <v>0.2703243310202646</v>
          </cell>
          <cell r="H14">
            <v>0.28252314755770946</v>
          </cell>
          <cell r="I14">
            <v>0.28230765399557112</v>
          </cell>
          <cell r="J14">
            <v>0.2770788176571739</v>
          </cell>
        </row>
        <row r="15">
          <cell r="B15" t="str">
            <v>SG&amp;A / Net Sales</v>
          </cell>
          <cell r="C15">
            <v>0.18990821009688935</v>
          </cell>
          <cell r="D15">
            <v>0.18582431555631793</v>
          </cell>
          <cell r="E15">
            <v>0.18467551115618097</v>
          </cell>
          <cell r="F15">
            <v>0.16703962470422179</v>
          </cell>
          <cell r="G15">
            <v>0.15820925566672348</v>
          </cell>
          <cell r="H15">
            <v>0.16061063639841858</v>
          </cell>
          <cell r="I15">
            <v>0.15382556108101481</v>
          </cell>
          <cell r="J15">
            <v>0.15858133225973059</v>
          </cell>
        </row>
        <row r="16">
          <cell r="B16" t="str">
            <v>EBIT</v>
          </cell>
          <cell r="C16">
            <v>74.090999999999966</v>
          </cell>
          <cell r="D16">
            <v>85.058999999999884</v>
          </cell>
          <cell r="E16">
            <v>79.07099999999987</v>
          </cell>
          <cell r="F16">
            <v>130.92600000000004</v>
          </cell>
          <cell r="G16">
            <v>146.7399999999999</v>
          </cell>
          <cell r="H16">
            <v>183.50700000000006</v>
          </cell>
          <cell r="I16">
            <v>211.75700000000003</v>
          </cell>
          <cell r="J16">
            <v>192.614</v>
          </cell>
        </row>
        <row r="17">
          <cell r="B17" t="str">
            <v>EBIT Margin</v>
          </cell>
          <cell r="C17">
            <v>7.556450790413051E-2</v>
          </cell>
          <cell r="D17">
            <v>7.9294599774772989E-2</v>
          </cell>
          <cell r="E17">
            <v>7.363051488561656E-2</v>
          </cell>
          <cell r="F17">
            <v>7.7160764853738989E-2</v>
          </cell>
          <cell r="G17">
            <v>8.114911661715353E-2</v>
          </cell>
          <cell r="H17">
            <v>9.3614079836755543E-2</v>
          </cell>
          <cell r="I17">
            <v>0.10141074808247835</v>
          </cell>
          <cell r="J17">
            <v>9.101712991774559E-2</v>
          </cell>
        </row>
        <row r="18">
          <cell r="B18" t="str">
            <v xml:space="preserve">EBITDA   </v>
          </cell>
          <cell r="C18">
            <v>108.54599999999996</v>
          </cell>
          <cell r="D18">
            <v>120.83499999999988</v>
          </cell>
          <cell r="E18">
            <v>115.17499999999987</v>
          </cell>
          <cell r="F18">
            <v>185.00800000000004</v>
          </cell>
          <cell r="G18">
            <v>202.7349999999999</v>
          </cell>
          <cell r="H18">
            <v>238.96700000000007</v>
          </cell>
          <cell r="I18">
            <v>268.28500000000003</v>
          </cell>
          <cell r="J18">
            <v>250.76900000000001</v>
          </cell>
        </row>
        <row r="19">
          <cell r="B19" t="str">
            <v>EBITDA Margin</v>
          </cell>
          <cell r="C19">
            <v>0.11070474247832734</v>
          </cell>
          <cell r="D19">
            <v>0.11264608052980517</v>
          </cell>
          <cell r="E19">
            <v>0.10725037690115075</v>
          </cell>
          <cell r="F19">
            <v>0.10903379606847029</v>
          </cell>
          <cell r="G19">
            <v>0.11211507535354112</v>
          </cell>
          <cell r="H19">
            <v>0.12190638949113637</v>
          </cell>
          <cell r="I19">
            <v>0.12848209291455631</v>
          </cell>
          <cell r="J19">
            <v>0.1184974853974433</v>
          </cell>
        </row>
        <row r="21">
          <cell r="B21" t="str">
            <v>Interest  Expense</v>
          </cell>
          <cell r="C21">
            <v>38.621000000000002</v>
          </cell>
          <cell r="D21">
            <v>37.886000000000003</v>
          </cell>
          <cell r="E21">
            <v>33.844999999999999</v>
          </cell>
          <cell r="F21">
            <v>45.216999999999999</v>
          </cell>
          <cell r="G21">
            <v>42.747</v>
          </cell>
          <cell r="H21">
            <v>43.454999999999998</v>
          </cell>
          <cell r="I21">
            <v>37.576999999999998</v>
          </cell>
          <cell r="J21">
            <v>36.389000000000003</v>
          </cell>
        </row>
        <row r="22">
          <cell r="B22" t="str">
            <v>% of Net Sales</v>
          </cell>
          <cell r="C22">
            <v>3.9389087200407957E-2</v>
          </cell>
          <cell r="D22">
            <v>3.5318487250814774E-2</v>
          </cell>
          <cell r="E22">
            <v>3.1516292652220113E-2</v>
          </cell>
          <cell r="F22">
            <v>2.6648475508237589E-2</v>
          </cell>
          <cell r="G22">
            <v>2.3639643505748018E-2</v>
          </cell>
          <cell r="H22">
            <v>2.2168090804744293E-2</v>
          </cell>
          <cell r="I22">
            <v>1.799568222394201E-2</v>
          </cell>
          <cell r="J22">
            <v>1.7195127771485168E-2</v>
          </cell>
        </row>
        <row r="23">
          <cell r="B23" t="str">
            <v>Interest Coverage</v>
          </cell>
          <cell r="C23">
            <v>2.8105434867041237</v>
          </cell>
          <cell r="D23">
            <v>3.1894367312463672</v>
          </cell>
          <cell r="E23">
            <v>3.4030137391047384</v>
          </cell>
          <cell r="F23">
            <v>4.0915584846407338</v>
          </cell>
          <cell r="G23">
            <v>4.7426720003742933</v>
          </cell>
          <cell r="H23">
            <v>5.4991830629386742</v>
          </cell>
          <cell r="I23">
            <v>7.1396066742954476</v>
          </cell>
          <cell r="J23">
            <v>6.8913407897991146</v>
          </cell>
        </row>
        <row r="25">
          <cell r="B25" t="str">
            <v>Net Income</v>
          </cell>
          <cell r="C25">
            <v>21.309999999999967</v>
          </cell>
          <cell r="D25">
            <v>27.932999999999879</v>
          </cell>
          <cell r="E25">
            <v>28.40799999999987</v>
          </cell>
          <cell r="F25">
            <v>46.805000000000042</v>
          </cell>
          <cell r="G25">
            <v>67.052999999999884</v>
          </cell>
          <cell r="H25">
            <v>97.935000000000073</v>
          </cell>
          <cell r="I25">
            <v>111.91000000000004</v>
          </cell>
          <cell r="J25">
            <v>105.90099999999998</v>
          </cell>
        </row>
        <row r="26">
          <cell r="B26" t="str">
            <v>Growth</v>
          </cell>
          <cell r="D26">
            <v>0.31079305490379738</v>
          </cell>
          <cell r="E26">
            <v>1.7004976193033094E-2</v>
          </cell>
          <cell r="F26">
            <v>0.64759926781189292</v>
          </cell>
          <cell r="G26">
            <v>0.43260335434248098</v>
          </cell>
          <cell r="H26">
            <v>0.46056104872265591</v>
          </cell>
          <cell r="I26">
            <v>0.14269668657783185</v>
          </cell>
          <cell r="J26">
            <v>-5.3694933428648506E-2</v>
          </cell>
        </row>
        <row r="27">
          <cell r="B27" t="str">
            <v>Operating EPS</v>
          </cell>
          <cell r="C27">
            <v>0.41479318734793125</v>
          </cell>
          <cell r="D27">
            <v>0.54244101369064723</v>
          </cell>
          <cell r="E27">
            <v>0.51533975789411068</v>
          </cell>
          <cell r="F27">
            <v>0.87531075452813811</v>
          </cell>
          <cell r="G27">
            <v>1.1467305856423695</v>
          </cell>
          <cell r="H27">
            <v>1.7021292076311236</v>
          </cell>
          <cell r="I27">
            <v>2.1383565406768121</v>
          </cell>
          <cell r="J27">
            <v>2.1494274220177112</v>
          </cell>
        </row>
        <row r="28">
          <cell r="B28" t="str">
            <v>Growth</v>
          </cell>
          <cell r="D28">
            <v>0.30773848326405639</v>
          </cell>
          <cell r="E28">
            <v>-4.996166424095716E-2</v>
          </cell>
          <cell r="F28">
            <v>0.69851198383182456</v>
          </cell>
          <cell r="G28">
            <v>0.31008396699129803</v>
          </cell>
          <cell r="H28">
            <v>0.48433226508703764</v>
          </cell>
          <cell r="I28">
            <v>0.25628332507894158</v>
          </cell>
          <cell r="J28">
            <v>5.1772850459237407E-3</v>
          </cell>
        </row>
        <row r="29">
          <cell r="B29" t="str">
            <v>5-Yr. CAGR</v>
          </cell>
          <cell r="H29">
            <v>0.32627072001236512</v>
          </cell>
          <cell r="I29">
            <v>0.31566560157872203</v>
          </cell>
          <cell r="J29">
            <v>0.33059481638553434</v>
          </cell>
        </row>
        <row r="31">
          <cell r="B31" t="str">
            <v>Capital Expenditures</v>
          </cell>
          <cell r="C31">
            <v>30.196999999999999</v>
          </cell>
          <cell r="D31">
            <v>21.108000000000001</v>
          </cell>
          <cell r="E31">
            <v>35.616</v>
          </cell>
          <cell r="F31">
            <v>40.344000000000001</v>
          </cell>
          <cell r="G31">
            <v>40.003999999999998</v>
          </cell>
          <cell r="H31">
            <v>44.4</v>
          </cell>
          <cell r="I31">
            <v>48.951000000000001</v>
          </cell>
          <cell r="J31">
            <v>53.31</v>
          </cell>
        </row>
        <row r="32">
          <cell r="B32" t="str">
            <v>Depreciation</v>
          </cell>
          <cell r="C32">
            <v>24.303999999999998</v>
          </cell>
          <cell r="D32">
            <v>25.675000000000001</v>
          </cell>
          <cell r="E32">
            <v>26.370999999999999</v>
          </cell>
          <cell r="F32">
            <v>42.021999999999998</v>
          </cell>
          <cell r="G32">
            <v>43.935000000000002</v>
          </cell>
          <cell r="H32">
            <v>43.4</v>
          </cell>
          <cell r="I32">
            <v>44.468000000000004</v>
          </cell>
          <cell r="J32">
            <v>46.094999999999999</v>
          </cell>
        </row>
        <row r="33">
          <cell r="B33" t="str">
            <v>Amortization</v>
          </cell>
          <cell r="C33">
            <v>10.151</v>
          </cell>
          <cell r="D33">
            <v>10.101000000000001</v>
          </cell>
          <cell r="E33">
            <v>9.7330000000000005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</row>
        <row r="34">
          <cell r="B34" t="str">
            <v>Balance Sheet Analysis</v>
          </cell>
          <cell r="C34">
            <v>1993</v>
          </cell>
          <cell r="D34" t="str">
            <v>1994</v>
          </cell>
          <cell r="E34" t="str">
            <v>1995</v>
          </cell>
          <cell r="F34" t="str">
            <v>1996</v>
          </cell>
          <cell r="G34" t="str">
            <v>1997</v>
          </cell>
          <cell r="H34" t="str">
            <v>1998</v>
          </cell>
          <cell r="I34">
            <v>1999</v>
          </cell>
          <cell r="J34">
            <v>2000</v>
          </cell>
        </row>
        <row r="35">
          <cell r="B35" t="str">
            <v xml:space="preserve">Cash </v>
          </cell>
          <cell r="C35">
            <v>34.808999999999997</v>
          </cell>
          <cell r="D35">
            <v>32.145000000000003</v>
          </cell>
          <cell r="E35">
            <v>26.411999999999999</v>
          </cell>
          <cell r="F35">
            <v>19.364999999999998</v>
          </cell>
          <cell r="G35">
            <v>12.273999999999999</v>
          </cell>
          <cell r="H35">
            <v>13.22</v>
          </cell>
          <cell r="I35">
            <v>7.4089999999999998</v>
          </cell>
          <cell r="J35">
            <v>14.606</v>
          </cell>
        </row>
        <row r="36">
          <cell r="B36" t="str">
            <v xml:space="preserve">Accounts Receivable </v>
          </cell>
          <cell r="C36">
            <v>174.291</v>
          </cell>
          <cell r="D36">
            <v>202.27</v>
          </cell>
          <cell r="E36">
            <v>276.11599999999999</v>
          </cell>
          <cell r="F36">
            <v>283.41699999999997</v>
          </cell>
          <cell r="G36">
            <v>293.97500000000002</v>
          </cell>
          <cell r="H36">
            <v>324.16399999999999</v>
          </cell>
          <cell r="I36">
            <v>345.38499999999999</v>
          </cell>
          <cell r="J36">
            <v>351.80399999999997</v>
          </cell>
        </row>
        <row r="37">
          <cell r="B37" t="str">
            <v>Inventory</v>
          </cell>
          <cell r="C37">
            <v>134.47800000000001</v>
          </cell>
          <cell r="D37">
            <v>155.03100000000001</v>
          </cell>
          <cell r="E37">
            <v>269.67700000000002</v>
          </cell>
          <cell r="F37">
            <v>281.10700000000003</v>
          </cell>
          <cell r="G37">
            <v>287.04599999999999</v>
          </cell>
          <cell r="H37">
            <v>307.38200000000001</v>
          </cell>
          <cell r="I37">
            <v>285.39499999999998</v>
          </cell>
          <cell r="J37">
            <v>294.45400000000001</v>
          </cell>
        </row>
        <row r="38">
          <cell r="B38" t="str">
            <v>Total Current Assets</v>
          </cell>
          <cell r="C38">
            <v>620.89400000000001</v>
          </cell>
          <cell r="D38">
            <v>404.56800000000004</v>
          </cell>
          <cell r="E38">
            <v>590.09299999999996</v>
          </cell>
          <cell r="F38">
            <v>607.26700000000005</v>
          </cell>
          <cell r="G38">
            <v>618.50900000000001</v>
          </cell>
          <cell r="H38">
            <v>675.87300000000005</v>
          </cell>
          <cell r="I38">
            <v>671.9</v>
          </cell>
          <cell r="J38">
            <v>778.71499999999992</v>
          </cell>
        </row>
        <row r="39">
          <cell r="B39" t="str">
            <v>PP&amp;E (net)</v>
          </cell>
          <cell r="C39">
            <v>191.58099999999999</v>
          </cell>
          <cell r="D39">
            <v>181.393</v>
          </cell>
          <cell r="E39">
            <v>306.40600000000001</v>
          </cell>
          <cell r="F39">
            <v>301.96199999999999</v>
          </cell>
          <cell r="G39">
            <v>294.06099999999998</v>
          </cell>
          <cell r="H39">
            <v>293.77699999999999</v>
          </cell>
          <cell r="I39">
            <v>297.74599999999998</v>
          </cell>
          <cell r="J39">
            <v>303.23500000000001</v>
          </cell>
        </row>
        <row r="40">
          <cell r="B40" t="str">
            <v>Total Assets</v>
          </cell>
          <cell r="C40">
            <v>1120.4900000000002</v>
          </cell>
          <cell r="D40">
            <v>891.87800000000004</v>
          </cell>
          <cell r="E40">
            <v>1291.739</v>
          </cell>
          <cell r="F40">
            <v>1269.204</v>
          </cell>
          <cell r="G40">
            <v>1257.2359999999999</v>
          </cell>
          <cell r="H40">
            <v>1303.2040000000002</v>
          </cell>
          <cell r="I40">
            <v>1288.8340000000001</v>
          </cell>
          <cell r="J40">
            <v>1304.838</v>
          </cell>
        </row>
        <row r="41">
          <cell r="B41" t="str">
            <v>Accounts Payable</v>
          </cell>
          <cell r="C41">
            <v>32.426000000000002</v>
          </cell>
          <cell r="D41">
            <v>37.720999999999997</v>
          </cell>
          <cell r="E41">
            <v>53.093000000000004</v>
          </cell>
          <cell r="F41">
            <v>61.094999999999999</v>
          </cell>
          <cell r="G41">
            <v>52.140999999999998</v>
          </cell>
          <cell r="H41">
            <v>67.381</v>
          </cell>
          <cell r="I41">
            <v>73.617000000000004</v>
          </cell>
          <cell r="J41">
            <v>65.483000000000004</v>
          </cell>
        </row>
        <row r="42">
          <cell r="B42" t="str">
            <v>Total Current Liabilities</v>
          </cell>
          <cell r="C42">
            <v>86.978999999999999</v>
          </cell>
          <cell r="D42">
            <v>97.581000000000003</v>
          </cell>
          <cell r="E42">
            <v>135.05699999999999</v>
          </cell>
          <cell r="F42">
            <v>144.60599999999999</v>
          </cell>
          <cell r="G42">
            <v>136.221</v>
          </cell>
          <cell r="H42">
            <v>166.72500000000002</v>
          </cell>
          <cell r="I42">
            <v>153.864</v>
          </cell>
          <cell r="J42">
            <v>175.29500000000002</v>
          </cell>
        </row>
        <row r="43">
          <cell r="B43" t="str">
            <v>ST &amp; LT Debt</v>
          </cell>
          <cell r="C43">
            <v>407.99399999999997</v>
          </cell>
          <cell r="D43">
            <v>426.25299999999999</v>
          </cell>
          <cell r="E43">
            <v>723.67899999999997</v>
          </cell>
          <cell r="F43">
            <v>572.6</v>
          </cell>
          <cell r="G43">
            <v>667.8</v>
          </cell>
          <cell r="H43">
            <v>589.20000000000005</v>
          </cell>
          <cell r="I43">
            <v>535.1</v>
          </cell>
          <cell r="J43">
            <v>462</v>
          </cell>
        </row>
        <row r="44">
          <cell r="B44" t="str">
            <v>Stockholders Equity</v>
          </cell>
          <cell r="C44">
            <v>338.55700000000002</v>
          </cell>
          <cell r="D44">
            <v>275.39400000000001</v>
          </cell>
          <cell r="E44">
            <v>301.15600000000001</v>
          </cell>
          <cell r="F44">
            <v>419.65699999999998</v>
          </cell>
          <cell r="G44">
            <v>323.322</v>
          </cell>
          <cell r="H44">
            <v>413.50900000000001</v>
          </cell>
          <cell r="I44">
            <v>474.197</v>
          </cell>
          <cell r="J44">
            <v>583.90499999999997</v>
          </cell>
        </row>
        <row r="45">
          <cell r="C45" t="str">
            <v xml:space="preserve"> </v>
          </cell>
        </row>
        <row r="46">
          <cell r="B46" t="str">
            <v>Days' Sales in Receivables</v>
          </cell>
          <cell r="D46">
            <v>64.065105584433994</v>
          </cell>
          <cell r="E46">
            <v>81.298388380922063</v>
          </cell>
          <cell r="F46">
            <v>60.180972067928053</v>
          </cell>
          <cell r="G46">
            <v>58.273206081372543</v>
          </cell>
          <cell r="H46">
            <v>57.548969519193982</v>
          </cell>
          <cell r="I46">
            <v>58.518265543227557</v>
          </cell>
          <cell r="J46">
            <v>60.124112871939317</v>
          </cell>
        </row>
        <row r="47">
          <cell r="B47" t="str">
            <v>Days' Sales in Inventory</v>
          </cell>
          <cell r="D47">
            <v>70.210533694427312</v>
          </cell>
          <cell r="E47">
            <v>101.93309249296088</v>
          </cell>
          <cell r="F47">
            <v>81.831457518388419</v>
          </cell>
          <cell r="G47">
            <v>78.58390206562558</v>
          </cell>
          <cell r="H47">
            <v>77.133452405160853</v>
          </cell>
          <cell r="I47">
            <v>72.187517933141251</v>
          </cell>
          <cell r="J47">
            <v>69.170691507928098</v>
          </cell>
        </row>
        <row r="48">
          <cell r="B48" t="str">
            <v>Days' Sales in Payables</v>
          </cell>
          <cell r="D48">
            <v>17.011762353028722</v>
          </cell>
          <cell r="E48">
            <v>21.796038364372105</v>
          </cell>
          <cell r="F48">
            <v>16.965217709864007</v>
          </cell>
          <cell r="G48">
            <v>15.662201439230589</v>
          </cell>
          <cell r="H48">
            <v>15.509270253705468</v>
          </cell>
          <cell r="I48">
            <v>17.170530660833752</v>
          </cell>
          <cell r="J48">
            <v>16.593359976050316</v>
          </cell>
        </row>
        <row r="49">
          <cell r="B49" t="str">
            <v>Cash Conversion Cycle (a)</v>
          </cell>
          <cell r="D49">
            <v>117.26387692583259</v>
          </cell>
          <cell r="E49">
            <v>161.43544250951086</v>
          </cell>
          <cell r="F49">
            <v>125.04721187645247</v>
          </cell>
          <cell r="G49">
            <v>121.19490670776753</v>
          </cell>
          <cell r="H49">
            <v>119.17315167064936</v>
          </cell>
          <cell r="I49">
            <v>113.53525281553507</v>
          </cell>
          <cell r="J49">
            <v>112.70144440381708</v>
          </cell>
        </row>
        <row r="50">
          <cell r="B50" t="str">
            <v>Working Capital Turnover</v>
          </cell>
          <cell r="D50">
            <v>3.112638005571454</v>
          </cell>
          <cell r="E50">
            <v>2.2609657106647831</v>
          </cell>
          <cell r="F50">
            <v>2.9188975469570853</v>
          </cell>
          <cell r="G50">
            <v>3.0116777174482259</v>
          </cell>
          <cell r="H50">
            <v>3.0627703881552564</v>
          </cell>
          <cell r="I50">
            <v>3.2148605032221051</v>
          </cell>
          <cell r="J50">
            <v>3.2386452714144438</v>
          </cell>
        </row>
        <row r="52">
          <cell r="B52" t="str">
            <v>Current Ratio</v>
          </cell>
          <cell r="D52">
            <v>4.145971039444154</v>
          </cell>
          <cell r="E52">
            <v>4.3692144798122277</v>
          </cell>
          <cell r="F52">
            <v>4.1994592202259939</v>
          </cell>
          <cell r="G52">
            <v>4.5404820108500159</v>
          </cell>
          <cell r="H52">
            <v>4.0538191632928475</v>
          </cell>
          <cell r="I52">
            <v>4.366843446160245</v>
          </cell>
          <cell r="J52">
            <v>4.4423115319889321</v>
          </cell>
        </row>
        <row r="53">
          <cell r="B53" t="str">
            <v>Inventory Turnover</v>
          </cell>
          <cell r="D53">
            <v>5.1986501283207085</v>
          </cell>
          <cell r="E53">
            <v>3.5807802066360885</v>
          </cell>
          <cell r="F53">
            <v>4.4603873750871479</v>
          </cell>
          <cell r="G53">
            <v>4.6447171800553724</v>
          </cell>
          <cell r="H53">
            <v>4.732058382175806</v>
          </cell>
          <cell r="I53">
            <v>5.0562758001744328</v>
          </cell>
          <cell r="J53">
            <v>5.2768013741508568</v>
          </cell>
        </row>
        <row r="54">
          <cell r="B54" t="str">
            <v>Debt-to-Capital</v>
          </cell>
          <cell r="D54">
            <v>0.60750348822128508</v>
          </cell>
          <cell r="E54">
            <v>0.7061419643162069</v>
          </cell>
          <cell r="F54">
            <v>0.57706823937749996</v>
          </cell>
          <cell r="G54">
            <v>0.67378183513230461</v>
          </cell>
          <cell r="H54">
            <v>0.5876081694689087</v>
          </cell>
          <cell r="I54">
            <v>0.53017100021103802</v>
          </cell>
          <cell r="J54">
            <v>0.44172271860254997</v>
          </cell>
        </row>
        <row r="55">
          <cell r="B55" t="str">
            <v>Net Debt-to-Capital</v>
          </cell>
          <cell r="D55">
            <v>0.5886584356730824</v>
          </cell>
          <cell r="E55">
            <v>0.69836832685144468</v>
          </cell>
          <cell r="F55">
            <v>0.56864996320249317</v>
          </cell>
          <cell r="G55">
            <v>0.66969131060185028</v>
          </cell>
          <cell r="H55">
            <v>0.58209843666781536</v>
          </cell>
          <cell r="I55">
            <v>0.5266965968251941</v>
          </cell>
          <cell r="J55">
            <v>0.43381599322795816</v>
          </cell>
        </row>
        <row r="56">
          <cell r="B56" t="str">
            <v>Book Value Per Share</v>
          </cell>
          <cell r="D56">
            <v>5.3479755316050106</v>
          </cell>
          <cell r="E56">
            <v>5.9471158593179165</v>
          </cell>
          <cell r="F56">
            <v>6.7745617150421333</v>
          </cell>
          <cell r="G56">
            <v>5.5294054913436064</v>
          </cell>
          <cell r="H56">
            <v>7.6847601940539061</v>
          </cell>
          <cell r="I56">
            <v>9.0608726344323287</v>
          </cell>
          <cell r="J56">
            <v>11.575601291730091</v>
          </cell>
        </row>
        <row r="58">
          <cell r="B58" t="str">
            <v>Return Analysis</v>
          </cell>
          <cell r="D58" t="str">
            <v>1994</v>
          </cell>
          <cell r="E58" t="str">
            <v>1995</v>
          </cell>
          <cell r="F58" t="str">
            <v>1996</v>
          </cell>
          <cell r="G58" t="str">
            <v>1997</v>
          </cell>
          <cell r="H58" t="str">
            <v>1998</v>
          </cell>
          <cell r="I58">
            <v>1999</v>
          </cell>
          <cell r="J58">
            <v>2000</v>
          </cell>
        </row>
        <row r="59">
          <cell r="B59" t="str">
            <v>EBITDA Margin</v>
          </cell>
          <cell r="D59">
            <v>0.11264608052980517</v>
          </cell>
          <cell r="E59">
            <v>0.10725037690115075</v>
          </cell>
          <cell r="F59">
            <v>0.10903379606847029</v>
          </cell>
          <cell r="G59">
            <v>0.11211507535354112</v>
          </cell>
          <cell r="H59">
            <v>0.12190638949113637</v>
          </cell>
          <cell r="I59">
            <v>0.12848209291455631</v>
          </cell>
          <cell r="J59">
            <v>0.1184974853974433</v>
          </cell>
        </row>
        <row r="60">
          <cell r="B60" t="str">
            <v>Asset Turnover</v>
          </cell>
          <cell r="D60">
            <v>1.0661032177017322</v>
          </cell>
          <cell r="E60">
            <v>0.98358732323479792</v>
          </cell>
          <cell r="F60">
            <v>1.3251329685978954</v>
          </cell>
          <cell r="G60">
            <v>1.4314814521619355</v>
          </cell>
          <cell r="H60">
            <v>1.5311821405695896</v>
          </cell>
          <cell r="I60">
            <v>1.6111739102590314</v>
          </cell>
          <cell r="J60">
            <v>1.631847820387466</v>
          </cell>
        </row>
        <row r="61">
          <cell r="B61" t="str">
            <v>Return on Assets (ROTA)</v>
          </cell>
          <cell r="D61">
            <v>0.12009234891431374</v>
          </cell>
          <cell r="E61">
            <v>0.10549011113212606</v>
          </cell>
          <cell r="F61">
            <v>0.14448427786170956</v>
          </cell>
          <cell r="G61">
            <v>0.16049065087633185</v>
          </cell>
          <cell r="H61">
            <v>0.1866608864101483</v>
          </cell>
          <cell r="I61">
            <v>0.20700699603940989</v>
          </cell>
          <cell r="J61">
            <v>0.19336986326721342</v>
          </cell>
        </row>
        <row r="63">
          <cell r="B63" t="str">
            <v>Return on Equity (ROE)</v>
          </cell>
          <cell r="D63">
            <v>9.0994232438744715E-2</v>
          </cell>
          <cell r="E63">
            <v>9.8544792299019593E-2</v>
          </cell>
          <cell r="F63">
            <v>0.12986724712234668</v>
          </cell>
          <cell r="G63">
            <v>0.18049769912743127</v>
          </cell>
          <cell r="H63">
            <v>0.26582757782992322</v>
          </cell>
          <cell r="I63">
            <v>0.25213302602438203</v>
          </cell>
          <cell r="J63">
            <v>0.20017162806610325</v>
          </cell>
        </row>
        <row r="64">
          <cell r="B64" t="str">
            <v>Return on Capital (ROC)</v>
          </cell>
          <cell r="D64">
            <v>6.849981682144056E-2</v>
          </cell>
          <cell r="E64">
            <v>5.643281386689112E-2</v>
          </cell>
          <cell r="F64">
            <v>7.3941817169220575E-2</v>
          </cell>
          <cell r="G64">
            <v>9.4563416525350719E-2</v>
          </cell>
          <cell r="H64">
            <v>0.12629725630853766</v>
          </cell>
          <cell r="I64">
            <v>0.13489040288545523</v>
          </cell>
          <cell r="J64">
            <v>0.12618606522563749</v>
          </cell>
        </row>
        <row r="65">
          <cell r="B65" t="str">
            <v>(a) Cash conversion cycle is calculated by combining both days' sales in receivables and days' sales in inventory and deducting days' purchases in payables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B7" t="str">
            <v>FBN Acquisition/Corporate Activity History</v>
          </cell>
          <cell r="H7" t="str">
            <v>Last Update:</v>
          </cell>
          <cell r="I7">
            <v>0</v>
          </cell>
        </row>
        <row r="10">
          <cell r="B10" t="str">
            <v>Date</v>
          </cell>
          <cell r="C10" t="str">
            <v>Action</v>
          </cell>
          <cell r="D10" t="str">
            <v>Company</v>
          </cell>
          <cell r="G10" t="str">
            <v>Description</v>
          </cell>
        </row>
        <row r="13">
          <cell r="B13">
            <v>36430</v>
          </cell>
          <cell r="C13" t="str">
            <v xml:space="preserve">Stock repurchase </v>
          </cell>
          <cell r="G13" t="str">
            <v>Authorization for $50 million common stock repurchase</v>
          </cell>
        </row>
        <row r="15">
          <cell r="B15">
            <v>36230</v>
          </cell>
          <cell r="C15" t="str">
            <v xml:space="preserve">Stock repurchase </v>
          </cell>
          <cell r="G15" t="str">
            <v>Authorization for $25 million common stock repurchase</v>
          </cell>
        </row>
        <row r="16">
          <cell r="G16" t="str">
            <v>in addition to the Oct 1998 $30 million authorization.</v>
          </cell>
        </row>
        <row r="18">
          <cell r="B18">
            <v>36201</v>
          </cell>
          <cell r="C18" t="str">
            <v xml:space="preserve">Alliance </v>
          </cell>
          <cell r="D18" t="str">
            <v>Benchmark Home Furnishings</v>
          </cell>
          <cell r="G18" t="str">
            <v xml:space="preserve">Established a cooperative effort to develop dedicated  </v>
          </cell>
        </row>
        <row r="19">
          <cell r="G19" t="str">
            <v xml:space="preserve">160K square foot store in Kansas City </v>
          </cell>
        </row>
        <row r="21">
          <cell r="B21">
            <v>36192</v>
          </cell>
          <cell r="C21" t="str">
            <v xml:space="preserve">Alliance </v>
          </cell>
          <cell r="D21" t="str">
            <v xml:space="preserve">Kittle's Home Furnishings </v>
          </cell>
          <cell r="G21" t="str">
            <v xml:space="preserve">Strategic alliance which commits more floor </v>
          </cell>
        </row>
        <row r="22">
          <cell r="G22" t="str">
            <v>space to FBN products.</v>
          </cell>
        </row>
        <row r="24">
          <cell r="B24">
            <v>36069</v>
          </cell>
          <cell r="C24" t="str">
            <v xml:space="preserve">Stock repurchase </v>
          </cell>
          <cell r="G24" t="str">
            <v>Authorization for $30 million common stock repurchase</v>
          </cell>
        </row>
        <row r="26">
          <cell r="C26" t="str">
            <v>Alliance</v>
          </cell>
          <cell r="D26" t="str">
            <v>Havertys</v>
          </cell>
          <cell r="G26" t="str">
            <v>Dedicated retail floor space for FBN products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ntro."/>
      <sheetName val="Act_Exp"/>
      <sheetName val="Annual"/>
      <sheetName val="Quarter"/>
      <sheetName val="Quarter_BS"/>
      <sheetName val="Annual_BS"/>
      <sheetName val="Cash Flow"/>
      <sheetName val="Free Cash Flow"/>
      <sheetName val="Orders"/>
      <sheetName val="Analysis"/>
      <sheetName val="Earnings Summary"/>
      <sheetName val="1x Charges"/>
      <sheetName val="Debt_Maturity"/>
      <sheetName val="Events"/>
      <sheetName val="Module1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Ethan Allen Interiors Inc. (ETH)</v>
          </cell>
        </row>
        <row r="7">
          <cell r="B7" t="str">
            <v>Quarterly Income Statement  ($ in mil, except per share data)</v>
          </cell>
        </row>
        <row r="8">
          <cell r="B8" t="str">
            <v>(June Fiscal Year)</v>
          </cell>
          <cell r="C8" t="str">
            <v>1Q98</v>
          </cell>
          <cell r="D8" t="str">
            <v>2Q98</v>
          </cell>
          <cell r="E8" t="str">
            <v>3Q98</v>
          </cell>
          <cell r="F8" t="str">
            <v>4Q98</v>
          </cell>
          <cell r="G8" t="str">
            <v>1Q99</v>
          </cell>
          <cell r="H8" t="str">
            <v>2Q99</v>
          </cell>
          <cell r="I8" t="str">
            <v>3Q99</v>
          </cell>
          <cell r="J8" t="str">
            <v>4Q99</v>
          </cell>
          <cell r="K8" t="str">
            <v>1Q00</v>
          </cell>
          <cell r="L8" t="str">
            <v>2Q00</v>
          </cell>
          <cell r="M8" t="str">
            <v>3Q00</v>
          </cell>
          <cell r="N8" t="str">
            <v>4Q00</v>
          </cell>
          <cell r="O8" t="str">
            <v>1Q01</v>
          </cell>
          <cell r="P8" t="str">
            <v>2Q01</v>
          </cell>
          <cell r="Q8" t="str">
            <v>3Q01</v>
          </cell>
          <cell r="R8" t="str">
            <v>4Q01</v>
          </cell>
          <cell r="S8" t="str">
            <v>1Q02</v>
          </cell>
          <cell r="T8" t="str">
            <v>2Q02</v>
          </cell>
          <cell r="U8" t="str">
            <v>3Q02</v>
          </cell>
          <cell r="V8" t="str">
            <v>4Q02</v>
          </cell>
          <cell r="W8" t="str">
            <v>1Q03</v>
          </cell>
          <cell r="X8" t="str">
            <v>2Q03</v>
          </cell>
          <cell r="Y8" t="str">
            <v>3Q03</v>
          </cell>
          <cell r="Z8" t="str">
            <v>4Q03</v>
          </cell>
          <cell r="AA8" t="str">
            <v>1Q04E</v>
          </cell>
          <cell r="AB8" t="str">
            <v>2Q04E</v>
          </cell>
          <cell r="AC8" t="str">
            <v>3Q04E</v>
          </cell>
          <cell r="AD8" t="str">
            <v>4Q04E</v>
          </cell>
          <cell r="AF8" t="str">
            <v>1Q98</v>
          </cell>
          <cell r="AG8" t="str">
            <v>2Q98</v>
          </cell>
          <cell r="AH8" t="str">
            <v>3Q98</v>
          </cell>
          <cell r="AI8" t="str">
            <v>4Q98</v>
          </cell>
          <cell r="AJ8" t="str">
            <v>1Q99</v>
          </cell>
          <cell r="AK8" t="str">
            <v>2Q99</v>
          </cell>
          <cell r="AL8" t="str">
            <v>3Q99</v>
          </cell>
        </row>
        <row r="9">
          <cell r="B9" t="str">
            <v>Revenue</v>
          </cell>
        </row>
        <row r="10">
          <cell r="B10" t="str">
            <v>Wholesale Revenue</v>
          </cell>
          <cell r="C10">
            <v>125.32399999999998</v>
          </cell>
          <cell r="D10">
            <v>139.41400000000002</v>
          </cell>
          <cell r="E10">
            <v>142.82499999999999</v>
          </cell>
          <cell r="G10">
            <v>139.5</v>
          </cell>
          <cell r="H10">
            <v>158.5</v>
          </cell>
          <cell r="I10">
            <v>160.9</v>
          </cell>
          <cell r="K10">
            <v>152.30000000000001</v>
          </cell>
          <cell r="L10">
            <v>168.5</v>
          </cell>
          <cell r="M10">
            <v>185.7</v>
          </cell>
          <cell r="N10">
            <v>184.57600000000008</v>
          </cell>
          <cell r="O10">
            <v>161.9</v>
          </cell>
          <cell r="P10">
            <v>179.4</v>
          </cell>
          <cell r="Q10">
            <v>188.9</v>
          </cell>
          <cell r="R10">
            <v>175.45099999999999</v>
          </cell>
          <cell r="S10">
            <v>154.88399999999999</v>
          </cell>
          <cell r="T10">
            <v>158.19999999999999</v>
          </cell>
          <cell r="U10">
            <v>172.4</v>
          </cell>
          <cell r="V10">
            <v>175.316</v>
          </cell>
          <cell r="W10">
            <v>157.846</v>
          </cell>
          <cell r="X10">
            <v>158.4</v>
          </cell>
          <cell r="Y10">
            <v>173.89</v>
          </cell>
          <cell r="Z10">
            <v>177.06916000000001</v>
          </cell>
          <cell r="AA10">
            <v>161.79214999999999</v>
          </cell>
          <cell r="AB10">
            <v>166.32000000000002</v>
          </cell>
          <cell r="AC10">
            <v>182.58449999999999</v>
          </cell>
          <cell r="AD10">
            <v>185.92261800000003</v>
          </cell>
        </row>
        <row r="11">
          <cell r="B11" t="str">
            <v>Less: I/C Elim.</v>
          </cell>
          <cell r="C11">
            <v>30.216000000000001</v>
          </cell>
          <cell r="D11">
            <v>32.420999999999999</v>
          </cell>
          <cell r="E11">
            <v>34.164000000000001</v>
          </cell>
          <cell r="G11">
            <v>36.9</v>
          </cell>
          <cell r="H11">
            <v>42.1</v>
          </cell>
          <cell r="I11">
            <v>43.7</v>
          </cell>
          <cell r="K11">
            <v>43.5</v>
          </cell>
          <cell r="L11">
            <v>51.5</v>
          </cell>
          <cell r="M11">
            <v>57.6</v>
          </cell>
          <cell r="N11">
            <v>54.362999999999992</v>
          </cell>
          <cell r="O11">
            <v>49.2</v>
          </cell>
          <cell r="P11">
            <v>55.4</v>
          </cell>
          <cell r="Q11">
            <v>59.4</v>
          </cell>
          <cell r="R11">
            <v>56.839999999999982</v>
          </cell>
          <cell r="S11">
            <v>46.999000000000002</v>
          </cell>
          <cell r="T11">
            <v>52.2</v>
          </cell>
          <cell r="U11">
            <v>60.3</v>
          </cell>
          <cell r="V11">
            <v>68.700999999999965</v>
          </cell>
          <cell r="W11">
            <v>61.795999999999999</v>
          </cell>
          <cell r="X11">
            <v>67.987000000000023</v>
          </cell>
          <cell r="Y11">
            <v>76.644000000000005</v>
          </cell>
          <cell r="Z11">
            <v>82.18180999999997</v>
          </cell>
          <cell r="AA11">
            <v>71.98539999999997</v>
          </cell>
          <cell r="AB11">
            <v>71.386350000000036</v>
          </cell>
          <cell r="AC11">
            <v>82.421120000000002</v>
          </cell>
          <cell r="AD11">
            <v>86.290900499999978</v>
          </cell>
        </row>
        <row r="12">
          <cell r="B12" t="str">
            <v xml:space="preserve"> Net Wholesale (a)</v>
          </cell>
          <cell r="C12">
            <v>95.107999999999976</v>
          </cell>
          <cell r="D12">
            <v>106.99300000000002</v>
          </cell>
          <cell r="E12">
            <v>108.66099999999999</v>
          </cell>
          <cell r="F12">
            <v>114.8</v>
          </cell>
          <cell r="G12">
            <v>102.6</v>
          </cell>
          <cell r="H12">
            <v>116.4</v>
          </cell>
          <cell r="I12">
            <v>117.2</v>
          </cell>
          <cell r="J12">
            <v>124.4</v>
          </cell>
          <cell r="K12">
            <v>108.80000000000001</v>
          </cell>
          <cell r="L12">
            <v>117</v>
          </cell>
          <cell r="M12">
            <v>128.1</v>
          </cell>
          <cell r="N12">
            <v>130.21300000000008</v>
          </cell>
          <cell r="O12">
            <v>112.7</v>
          </cell>
          <cell r="P12">
            <v>124</v>
          </cell>
          <cell r="Q12">
            <v>129.5</v>
          </cell>
          <cell r="R12">
            <v>118.61100000000002</v>
          </cell>
          <cell r="S12">
            <v>107.88499999999999</v>
          </cell>
          <cell r="T12">
            <v>105.99999999999999</v>
          </cell>
          <cell r="U12">
            <v>112.10000000000001</v>
          </cell>
          <cell r="V12">
            <v>106.61500000000004</v>
          </cell>
          <cell r="W12">
            <v>96.050000000000011</v>
          </cell>
          <cell r="X12">
            <v>90.412999999999982</v>
          </cell>
          <cell r="Y12">
            <v>97.245999999999981</v>
          </cell>
          <cell r="Z12">
            <v>94.88735000000004</v>
          </cell>
          <cell r="AA12">
            <v>89.806750000000022</v>
          </cell>
          <cell r="AB12">
            <v>94.933649999999986</v>
          </cell>
          <cell r="AC12">
            <v>100.16337999999999</v>
          </cell>
          <cell r="AD12">
            <v>99.63171750000005</v>
          </cell>
          <cell r="AF12">
            <v>0.105</v>
          </cell>
          <cell r="AG12">
            <v>0.20899999999999999</v>
          </cell>
          <cell r="AH12">
            <v>7.6999999999999999E-2</v>
          </cell>
          <cell r="AI12">
            <v>0.157</v>
          </cell>
          <cell r="AJ12">
            <v>7.8773604744080572E-2</v>
          </cell>
          <cell r="AK12">
            <v>8.792163973344036E-2</v>
          </cell>
          <cell r="AL12">
            <v>7.8583852532187359E-2</v>
          </cell>
        </row>
        <row r="13">
          <cell r="B13" t="str">
            <v xml:space="preserve"> Retail</v>
          </cell>
          <cell r="C13">
            <v>52.5</v>
          </cell>
          <cell r="D13">
            <v>61.2</v>
          </cell>
          <cell r="E13">
            <v>58.3</v>
          </cell>
          <cell r="F13">
            <v>63.2</v>
          </cell>
          <cell r="G13">
            <v>61.8</v>
          </cell>
          <cell r="H13">
            <v>75.599999999999994</v>
          </cell>
          <cell r="I13">
            <v>76</v>
          </cell>
          <cell r="J13">
            <v>81.3</v>
          </cell>
          <cell r="K13">
            <v>79.099999999999994</v>
          </cell>
          <cell r="L13">
            <v>98.9</v>
          </cell>
          <cell r="M13">
            <v>92.2</v>
          </cell>
          <cell r="N13">
            <v>101.85799999999996</v>
          </cell>
          <cell r="O13">
            <v>98.5</v>
          </cell>
          <cell r="P13">
            <v>108.7</v>
          </cell>
          <cell r="Q13">
            <v>104.3</v>
          </cell>
          <cell r="R13">
            <v>107.73699999999999</v>
          </cell>
          <cell r="S13">
            <v>98.84</v>
          </cell>
          <cell r="T13">
            <v>116.9</v>
          </cell>
          <cell r="U13">
            <v>115.8</v>
          </cell>
          <cell r="V13">
            <v>128.1</v>
          </cell>
          <cell r="W13">
            <v>120.479</v>
          </cell>
          <cell r="X13">
            <v>139.30000000000001</v>
          </cell>
          <cell r="Y13">
            <v>127.328</v>
          </cell>
          <cell r="Z13">
            <v>139.62899999999999</v>
          </cell>
          <cell r="AA13">
            <v>132.52690000000001</v>
          </cell>
          <cell r="AB13">
            <v>156.01600000000002</v>
          </cell>
          <cell r="AC13">
            <v>140.0608</v>
          </cell>
          <cell r="AD13">
            <v>153.59190000000001</v>
          </cell>
          <cell r="AF13">
            <v>0.30599999999999999</v>
          </cell>
          <cell r="AG13">
            <v>0.38500000000000001</v>
          </cell>
          <cell r="AH13">
            <v>0.49099999999999999</v>
          </cell>
          <cell r="AI13">
            <v>0.20799999999999999</v>
          </cell>
          <cell r="AJ13">
            <v>0.17714285714285705</v>
          </cell>
          <cell r="AK13">
            <v>0.23529411764705865</v>
          </cell>
          <cell r="AL13">
            <v>0.30360205831903953</v>
          </cell>
        </row>
        <row r="14">
          <cell r="B14" t="str">
            <v xml:space="preserve"> Other</v>
          </cell>
          <cell r="C14">
            <v>4.9000000000000004</v>
          </cell>
          <cell r="D14">
            <v>4.5999999999999996</v>
          </cell>
          <cell r="E14">
            <v>4.4000000000000004</v>
          </cell>
          <cell r="F14">
            <v>4.7</v>
          </cell>
          <cell r="G14">
            <v>1.8</v>
          </cell>
          <cell r="H14">
            <v>1.7</v>
          </cell>
          <cell r="I14">
            <v>1.4</v>
          </cell>
          <cell r="J14">
            <v>2.1</v>
          </cell>
          <cell r="K14">
            <v>1.7</v>
          </cell>
          <cell r="L14">
            <v>1.6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</row>
        <row r="15">
          <cell r="B15" t="str">
            <v>Total Revenue</v>
          </cell>
          <cell r="C15">
            <v>152.50799999999998</v>
          </cell>
          <cell r="D15">
            <v>172.79300000000003</v>
          </cell>
          <cell r="E15">
            <v>171.36099999999999</v>
          </cell>
          <cell r="F15">
            <v>182.7</v>
          </cell>
          <cell r="G15">
            <v>166.2</v>
          </cell>
          <cell r="H15">
            <v>193.7</v>
          </cell>
          <cell r="I15">
            <v>194.6</v>
          </cell>
          <cell r="J15">
            <v>207.79999999999998</v>
          </cell>
          <cell r="K15">
            <v>189.6</v>
          </cell>
          <cell r="L15">
            <v>217.5</v>
          </cell>
          <cell r="M15">
            <v>220.3</v>
          </cell>
          <cell r="N15">
            <v>228.79300000000001</v>
          </cell>
          <cell r="O15">
            <v>211.2</v>
          </cell>
          <cell r="P15">
            <v>232.7</v>
          </cell>
          <cell r="Q15">
            <v>233.8</v>
          </cell>
          <cell r="R15">
            <v>226.34800000000001</v>
          </cell>
          <cell r="S15">
            <v>206.72499999999999</v>
          </cell>
          <cell r="T15">
            <v>222.89999999999998</v>
          </cell>
          <cell r="U15">
            <v>227.9</v>
          </cell>
          <cell r="V15">
            <v>234.71500000000003</v>
          </cell>
          <cell r="W15">
            <v>216.529</v>
          </cell>
          <cell r="X15">
            <v>229.71299999999999</v>
          </cell>
          <cell r="Y15">
            <v>224.57399999999998</v>
          </cell>
          <cell r="Z15">
            <v>234.51635000000005</v>
          </cell>
          <cell r="AA15">
            <v>222.33365000000003</v>
          </cell>
          <cell r="AB15">
            <v>250.94965000000002</v>
          </cell>
          <cell r="AC15">
            <v>240.22417999999999</v>
          </cell>
          <cell r="AD15">
            <v>253.22361750000005</v>
          </cell>
          <cell r="AF15">
            <v>0.152</v>
          </cell>
          <cell r="AG15">
            <v>0.249</v>
          </cell>
          <cell r="AH15">
            <v>0.185</v>
          </cell>
          <cell r="AI15">
            <v>0.16800000000000001</v>
          </cell>
          <cell r="AJ15">
            <v>8.9778896844755707E-2</v>
          </cell>
          <cell r="AK15">
            <v>0.12099448473028396</v>
          </cell>
          <cell r="AL15">
            <v>0.13561428796517294</v>
          </cell>
        </row>
        <row r="16">
          <cell r="B16" t="str">
            <v>Cost of Goods Sold</v>
          </cell>
          <cell r="C16">
            <v>81.727999999999994</v>
          </cell>
          <cell r="D16">
            <v>92.03</v>
          </cell>
          <cell r="E16">
            <v>91.03</v>
          </cell>
          <cell r="F16">
            <v>98.957999999999998</v>
          </cell>
          <cell r="G16">
            <v>89.221999999999994</v>
          </cell>
          <cell r="H16">
            <v>103.91800000000001</v>
          </cell>
          <cell r="I16">
            <v>103.50700000000001</v>
          </cell>
          <cell r="J16">
            <v>110.6</v>
          </cell>
          <cell r="K16">
            <v>101.071</v>
          </cell>
          <cell r="L16">
            <v>113.587</v>
          </cell>
          <cell r="M16">
            <v>117.152</v>
          </cell>
          <cell r="N16">
            <v>123.751</v>
          </cell>
          <cell r="O16">
            <v>111.52200000000001</v>
          </cell>
          <cell r="P16">
            <v>124.93</v>
          </cell>
          <cell r="Q16">
            <v>130.28</v>
          </cell>
          <cell r="R16">
            <v>123.745</v>
          </cell>
          <cell r="S16">
            <v>112.756</v>
          </cell>
          <cell r="T16">
            <v>119.477</v>
          </cell>
          <cell r="U16">
            <v>119.48099999999999</v>
          </cell>
          <cell r="V16">
            <v>119.261</v>
          </cell>
          <cell r="W16">
            <v>109.81399999999999</v>
          </cell>
          <cell r="X16">
            <v>113.90900000000001</v>
          </cell>
          <cell r="Y16">
            <v>112.624</v>
          </cell>
          <cell r="Z16">
            <v>116.78914230000002</v>
          </cell>
          <cell r="AA16">
            <v>109.38815580000002</v>
          </cell>
          <cell r="AB16">
            <v>121.61020039000002</v>
          </cell>
          <cell r="AC16">
            <v>117.7098482</v>
          </cell>
          <cell r="AD16">
            <v>124.07957257500001</v>
          </cell>
        </row>
        <row r="17">
          <cell r="B17" t="str">
            <v>Gross profit</v>
          </cell>
          <cell r="C17">
            <v>70.779999999999987</v>
          </cell>
          <cell r="D17">
            <v>80.763000000000034</v>
          </cell>
          <cell r="E17">
            <v>80.330999999999989</v>
          </cell>
          <cell r="F17">
            <v>83.74199999999999</v>
          </cell>
          <cell r="G17">
            <v>76.977999999999994</v>
          </cell>
          <cell r="H17">
            <v>89.781999999999982</v>
          </cell>
          <cell r="I17">
            <v>91.092999999999989</v>
          </cell>
          <cell r="J17">
            <v>97.199999999999989</v>
          </cell>
          <cell r="K17">
            <v>88.528999999999996</v>
          </cell>
          <cell r="L17">
            <v>103.913</v>
          </cell>
          <cell r="M17">
            <v>103.14800000000001</v>
          </cell>
          <cell r="N17">
            <v>105.042</v>
          </cell>
          <cell r="O17">
            <v>99.677999999999983</v>
          </cell>
          <cell r="P17">
            <v>107.76999999999998</v>
          </cell>
          <cell r="Q17">
            <v>103.52000000000001</v>
          </cell>
          <cell r="R17">
            <v>102.60300000000001</v>
          </cell>
          <cell r="S17">
            <v>93.968999999999994</v>
          </cell>
          <cell r="T17">
            <v>103.42299999999997</v>
          </cell>
          <cell r="U17">
            <v>108.41900000000001</v>
          </cell>
          <cell r="V17">
            <v>115.45400000000004</v>
          </cell>
          <cell r="W17">
            <v>106.715</v>
          </cell>
          <cell r="X17">
            <v>115.80399999999999</v>
          </cell>
          <cell r="Y17">
            <v>111.94999999999999</v>
          </cell>
          <cell r="Z17">
            <v>117.72720770000002</v>
          </cell>
          <cell r="AA17">
            <v>112.94549420000001</v>
          </cell>
          <cell r="AB17">
            <v>129.33944961</v>
          </cell>
          <cell r="AC17">
            <v>122.51433179999999</v>
          </cell>
          <cell r="AD17">
            <v>129.14404492500003</v>
          </cell>
          <cell r="AF17">
            <v>0.46410680095470397</v>
          </cell>
          <cell r="AG17">
            <v>0.46739740614492498</v>
          </cell>
          <cell r="AH17">
            <v>0.46878227834804881</v>
          </cell>
          <cell r="AI17">
            <v>0.45835796387520522</v>
          </cell>
          <cell r="AJ17">
            <v>0.46316486161251502</v>
          </cell>
          <cell r="AK17">
            <v>0.46351058337635515</v>
          </cell>
          <cell r="AL17">
            <v>0.46810380267214796</v>
          </cell>
        </row>
        <row r="18">
          <cell r="B18" t="str">
            <v>Selling expense</v>
          </cell>
          <cell r="C18">
            <v>26.327000000000002</v>
          </cell>
          <cell r="D18">
            <v>26.567</v>
          </cell>
          <cell r="E18">
            <v>28.338000000000001</v>
          </cell>
          <cell r="F18">
            <v>29.007999999999999</v>
          </cell>
          <cell r="G18">
            <v>27.824000000000002</v>
          </cell>
          <cell r="H18">
            <v>30.64</v>
          </cell>
          <cell r="I18">
            <v>31.887</v>
          </cell>
          <cell r="J18">
            <v>33.390999999999998</v>
          </cell>
          <cell r="K18">
            <v>33.457999999999998</v>
          </cell>
          <cell r="L18">
            <v>36.591000000000001</v>
          </cell>
          <cell r="M18">
            <v>37.197000000000003</v>
          </cell>
          <cell r="N18">
            <v>36.933</v>
          </cell>
          <cell r="O18">
            <v>37.9</v>
          </cell>
          <cell r="P18">
            <v>41.478000000000002</v>
          </cell>
          <cell r="Q18">
            <v>41.55</v>
          </cell>
          <cell r="R18">
            <v>39.460999999999999</v>
          </cell>
          <cell r="S18">
            <v>38.838000000000001</v>
          </cell>
          <cell r="T18">
            <v>39.886000000000003</v>
          </cell>
          <cell r="U18">
            <v>41.460999999999999</v>
          </cell>
          <cell r="V18">
            <v>42.936999999999998</v>
          </cell>
          <cell r="W18">
            <v>42.89</v>
          </cell>
          <cell r="X18">
            <v>43.875</v>
          </cell>
          <cell r="Y18">
            <v>45.256999999999998</v>
          </cell>
          <cell r="Z18">
            <v>46.903270000000013</v>
          </cell>
          <cell r="AA18">
            <v>44.911397300000012</v>
          </cell>
          <cell r="AB18">
            <v>50.189930000000004</v>
          </cell>
          <cell r="AC18">
            <v>48.044836000000004</v>
          </cell>
          <cell r="AD18">
            <v>50.644723500000012</v>
          </cell>
          <cell r="AF18">
            <v>0.1726270097306371</v>
          </cell>
          <cell r="AG18">
            <v>0.15375044127944995</v>
          </cell>
          <cell r="AH18">
            <v>0.16537018341396234</v>
          </cell>
          <cell r="AI18">
            <v>0.15877394636015327</v>
          </cell>
          <cell r="AJ18">
            <v>0.16741275571600484</v>
          </cell>
          <cell r="AK18">
            <v>0.15818275684047498</v>
          </cell>
          <cell r="AL18">
            <v>0.16385919835560123</v>
          </cell>
        </row>
        <row r="19">
          <cell r="B19" t="str">
            <v>G&amp;A expense</v>
          </cell>
          <cell r="C19">
            <v>20.478999999999999</v>
          </cell>
          <cell r="D19">
            <v>22.033000000000001</v>
          </cell>
          <cell r="E19">
            <v>20.742999999999999</v>
          </cell>
          <cell r="F19">
            <v>22.39</v>
          </cell>
          <cell r="G19">
            <v>22.591999999999999</v>
          </cell>
          <cell r="H19">
            <v>24.286999999999999</v>
          </cell>
          <cell r="I19">
            <v>24.456</v>
          </cell>
          <cell r="J19">
            <v>27.03</v>
          </cell>
          <cell r="K19">
            <v>24.728999999999999</v>
          </cell>
          <cell r="L19">
            <v>26.792000000000002</v>
          </cell>
          <cell r="M19">
            <v>27.585999999999999</v>
          </cell>
          <cell r="N19">
            <v>30.516999999999999</v>
          </cell>
          <cell r="O19">
            <v>28.437000000000001</v>
          </cell>
          <cell r="P19">
            <v>29.388000000000002</v>
          </cell>
          <cell r="Q19">
            <v>30.768000000000001</v>
          </cell>
          <cell r="R19">
            <v>31.651</v>
          </cell>
          <cell r="S19">
            <v>28.596</v>
          </cell>
          <cell r="T19">
            <v>30.288</v>
          </cell>
          <cell r="U19">
            <v>30.972999999999999</v>
          </cell>
          <cell r="V19">
            <v>33.311</v>
          </cell>
          <cell r="W19">
            <v>31.981999999999999</v>
          </cell>
          <cell r="X19">
            <v>34.734000000000002</v>
          </cell>
          <cell r="Y19">
            <v>34.631999999999998</v>
          </cell>
          <cell r="Z19">
            <v>36.115517900000008</v>
          </cell>
          <cell r="AA19">
            <v>33.794714800000001</v>
          </cell>
          <cell r="AB19">
            <v>37.516972674999998</v>
          </cell>
          <cell r="AC19">
            <v>36.51407536</v>
          </cell>
          <cell r="AD19">
            <v>38.236766242500003</v>
          </cell>
          <cell r="AF19">
            <v>0.13428148031578671</v>
          </cell>
          <cell r="AG19">
            <v>0.12751095241126664</v>
          </cell>
          <cell r="AH19">
            <v>0.12104854663546548</v>
          </cell>
          <cell r="AI19">
            <v>0.12255062944718118</v>
          </cell>
          <cell r="AJ19">
            <v>0.1359326113116727</v>
          </cell>
          <cell r="AK19">
            <v>0.1253846153846154</v>
          </cell>
          <cell r="AL19">
            <v>0.12567317574511819</v>
          </cell>
        </row>
        <row r="20">
          <cell r="B20" t="str">
            <v>Total SG&amp;A</v>
          </cell>
          <cell r="C20">
            <v>46.805999999999997</v>
          </cell>
          <cell r="D20">
            <v>48.6</v>
          </cell>
          <cell r="E20">
            <v>49.081000000000003</v>
          </cell>
          <cell r="F20">
            <v>51.397999999999996</v>
          </cell>
          <cell r="G20">
            <v>50.415999999999997</v>
          </cell>
          <cell r="H20">
            <v>54.927</v>
          </cell>
          <cell r="I20">
            <v>56.343000000000004</v>
          </cell>
          <cell r="J20">
            <v>60.420999999999999</v>
          </cell>
          <cell r="K20">
            <v>58.186999999999998</v>
          </cell>
          <cell r="L20">
            <v>63.383000000000003</v>
          </cell>
          <cell r="M20">
            <v>64.783000000000001</v>
          </cell>
          <cell r="N20">
            <v>67.45</v>
          </cell>
          <cell r="O20">
            <v>66.337000000000003</v>
          </cell>
          <cell r="P20">
            <v>70.866</v>
          </cell>
          <cell r="Q20">
            <v>72.317999999999998</v>
          </cell>
          <cell r="R20">
            <v>71.111999999999995</v>
          </cell>
          <cell r="S20">
            <v>67.433999999999997</v>
          </cell>
          <cell r="T20">
            <v>70.174000000000007</v>
          </cell>
          <cell r="U20">
            <v>72.433999999999997</v>
          </cell>
          <cell r="V20">
            <v>76.24799999999999</v>
          </cell>
          <cell r="W20">
            <v>74.872</v>
          </cell>
          <cell r="X20">
            <v>78.609000000000009</v>
          </cell>
          <cell r="Y20">
            <v>79.888999999999996</v>
          </cell>
          <cell r="Z20">
            <v>83.018787900000021</v>
          </cell>
          <cell r="AA20">
            <v>78.706112100000013</v>
          </cell>
          <cell r="AB20">
            <v>87.706902675000009</v>
          </cell>
          <cell r="AC20">
            <v>84.558911359999996</v>
          </cell>
          <cell r="AD20">
            <v>88.881489742500008</v>
          </cell>
          <cell r="AF20">
            <v>0.30690849004642379</v>
          </cell>
          <cell r="AG20">
            <v>0.28126139369071657</v>
          </cell>
          <cell r="AH20">
            <v>0.28641873004942786</v>
          </cell>
          <cell r="AI20">
            <v>0.28132457580733444</v>
          </cell>
          <cell r="AJ20">
            <v>0.3033453670276775</v>
          </cell>
          <cell r="AK20">
            <v>0.28356737222509037</v>
          </cell>
          <cell r="AL20">
            <v>0.28953237410071947</v>
          </cell>
        </row>
        <row r="21">
          <cell r="B21" t="str">
            <v>Restructuring charges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6.9059999999999997</v>
          </cell>
          <cell r="S21">
            <v>0</v>
          </cell>
          <cell r="T21">
            <v>0</v>
          </cell>
          <cell r="U21">
            <v>0</v>
          </cell>
          <cell r="V21">
            <v>5.1230000000000002</v>
          </cell>
          <cell r="W21">
            <v>0</v>
          </cell>
          <cell r="X21">
            <v>0</v>
          </cell>
          <cell r="Y21">
            <v>13.223000000000001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</row>
        <row r="22">
          <cell r="B22" t="str">
            <v>Operating Income</v>
          </cell>
          <cell r="C22">
            <v>23.97399999999999</v>
          </cell>
          <cell r="D22">
            <v>32.163000000000032</v>
          </cell>
          <cell r="E22">
            <v>31.249999999999986</v>
          </cell>
          <cell r="F22">
            <v>32.343999999999994</v>
          </cell>
          <cell r="G22">
            <v>26.561999999999998</v>
          </cell>
          <cell r="H22">
            <v>34.854999999999983</v>
          </cell>
          <cell r="I22">
            <v>34.749999999999986</v>
          </cell>
          <cell r="J22">
            <v>36.778999999999989</v>
          </cell>
          <cell r="K22">
            <v>30.341999999999999</v>
          </cell>
          <cell r="L22">
            <v>40.529999999999994</v>
          </cell>
          <cell r="M22">
            <v>38.365000000000009</v>
          </cell>
          <cell r="N22">
            <v>37.591999999999999</v>
          </cell>
          <cell r="O22">
            <v>33.34099999999998</v>
          </cell>
          <cell r="P22">
            <v>36.903999999999982</v>
          </cell>
          <cell r="Q22">
            <v>31.202000000000012</v>
          </cell>
          <cell r="R22">
            <v>24.585000000000015</v>
          </cell>
          <cell r="S22">
            <v>26.534999999999997</v>
          </cell>
          <cell r="T22">
            <v>33.248999999999967</v>
          </cell>
          <cell r="U22">
            <v>35.985000000000014</v>
          </cell>
          <cell r="V22">
            <v>34.083000000000048</v>
          </cell>
          <cell r="W22">
            <v>31.843000000000004</v>
          </cell>
          <cell r="X22">
            <v>37.194999999999979</v>
          </cell>
          <cell r="Y22">
            <v>18.837999999999994</v>
          </cell>
          <cell r="Z22">
            <v>34.708419800000001</v>
          </cell>
          <cell r="AA22">
            <v>34.2393821</v>
          </cell>
          <cell r="AB22">
            <v>41.632546934999993</v>
          </cell>
          <cell r="AC22">
            <v>37.955420439999997</v>
          </cell>
          <cell r="AD22">
            <v>40.262555182500023</v>
          </cell>
          <cell r="AF22">
            <v>0.15719831090828018</v>
          </cell>
          <cell r="AG22">
            <v>0.18613601245420835</v>
          </cell>
          <cell r="AH22">
            <v>0.18236354829862098</v>
          </cell>
          <cell r="AI22">
            <v>0.17703338806787081</v>
          </cell>
          <cell r="AJ22">
            <v>0.15981949458483755</v>
          </cell>
          <cell r="AK22">
            <v>0.17994321115126477</v>
          </cell>
          <cell r="AL22">
            <v>0.17857142857142849</v>
          </cell>
        </row>
        <row r="23">
          <cell r="B23" t="str">
            <v xml:space="preserve">   Interest income</v>
          </cell>
          <cell r="C23">
            <v>0.78800000000000003</v>
          </cell>
          <cell r="D23">
            <v>1.014</v>
          </cell>
          <cell r="E23">
            <v>1.0840000000000001</v>
          </cell>
          <cell r="F23">
            <v>0.56299999999999994</v>
          </cell>
          <cell r="G23">
            <v>0.47</v>
          </cell>
          <cell r="H23">
            <v>0.34799999999999998</v>
          </cell>
          <cell r="I23">
            <v>0.32</v>
          </cell>
          <cell r="J23">
            <v>0.56899999999999995</v>
          </cell>
          <cell r="K23">
            <v>0.52500000000000002</v>
          </cell>
          <cell r="L23">
            <v>0.16500000000000001</v>
          </cell>
          <cell r="M23">
            <v>1.2999999999999999E-2</v>
          </cell>
          <cell r="N23">
            <v>0.51400000000000001</v>
          </cell>
          <cell r="O23">
            <v>0.2</v>
          </cell>
          <cell r="P23">
            <v>0.46800000000000003</v>
          </cell>
          <cell r="Q23">
            <v>1.1879999999999999</v>
          </cell>
          <cell r="R23">
            <v>0.98499999999999999</v>
          </cell>
          <cell r="S23">
            <v>0.51200000000000001</v>
          </cell>
          <cell r="T23">
            <v>1.046</v>
          </cell>
          <cell r="U23">
            <v>1.0629999999999999</v>
          </cell>
          <cell r="V23">
            <v>0.39</v>
          </cell>
          <cell r="W23">
            <v>0.61599999999999999</v>
          </cell>
          <cell r="X23">
            <v>0.125</v>
          </cell>
          <cell r="Y23">
            <v>5.8000000000000003E-2</v>
          </cell>
          <cell r="Z23">
            <v>0.1</v>
          </cell>
          <cell r="AA23">
            <v>0.5</v>
          </cell>
          <cell r="AB23">
            <v>0.5</v>
          </cell>
          <cell r="AC23">
            <v>0.4</v>
          </cell>
          <cell r="AD23">
            <v>0.4</v>
          </cell>
        </row>
        <row r="24">
          <cell r="B24" t="str">
            <v xml:space="preserve">   Interest expense</v>
          </cell>
          <cell r="C24">
            <v>1.4039999999999999</v>
          </cell>
          <cell r="D24">
            <v>1.39</v>
          </cell>
          <cell r="E24">
            <v>1.1659999999999999</v>
          </cell>
          <cell r="F24">
            <v>0.28499999999999998</v>
          </cell>
          <cell r="G24">
            <v>0.29599999999999999</v>
          </cell>
          <cell r="H24">
            <v>0.59399999999999997</v>
          </cell>
          <cell r="I24">
            <v>0.48399999999999999</v>
          </cell>
          <cell r="J24">
            <v>0.26500000000000001</v>
          </cell>
          <cell r="K24">
            <v>0.192</v>
          </cell>
          <cell r="L24">
            <v>0.23699999999999999</v>
          </cell>
          <cell r="M24">
            <v>0.39200000000000002</v>
          </cell>
          <cell r="N24">
            <v>0.27600000000000002</v>
          </cell>
          <cell r="O24">
            <v>0.24</v>
          </cell>
          <cell r="P24">
            <v>0.189</v>
          </cell>
          <cell r="Q24">
            <v>0.17799999999999999</v>
          </cell>
          <cell r="R24">
            <v>0.19500000000000001</v>
          </cell>
          <cell r="S24">
            <v>0.14899999999999999</v>
          </cell>
          <cell r="T24">
            <v>0.17599999999999999</v>
          </cell>
          <cell r="U24">
            <v>0.13700000000000001</v>
          </cell>
          <cell r="V24">
            <v>0.17799999999999999</v>
          </cell>
          <cell r="W24">
            <v>0.17299999999999999</v>
          </cell>
          <cell r="X24">
            <v>0.20399999999999999</v>
          </cell>
          <cell r="Y24">
            <v>0.13</v>
          </cell>
          <cell r="Z24">
            <v>0.1</v>
          </cell>
          <cell r="AA24">
            <v>0.15</v>
          </cell>
          <cell r="AB24">
            <v>0.155</v>
          </cell>
          <cell r="AC24">
            <v>0.3</v>
          </cell>
          <cell r="AD24">
            <v>0.3</v>
          </cell>
        </row>
        <row r="25">
          <cell r="B25" t="str">
            <v xml:space="preserve">   Amortization of deferred financing</v>
          </cell>
          <cell r="C25">
            <v>0.109</v>
          </cell>
          <cell r="D25">
            <v>0.10199999999999999</v>
          </cell>
          <cell r="E25">
            <v>9.5000000000000001E-2</v>
          </cell>
          <cell r="F25">
            <v>5.8000000000000003E-2</v>
          </cell>
          <cell r="G25">
            <v>5.8000000000000003E-2</v>
          </cell>
          <cell r="H25">
            <v>5.7000000000000002E-2</v>
          </cell>
          <cell r="I25">
            <v>7.0999999999999994E-2</v>
          </cell>
          <cell r="J25">
            <v>5.7000000000000002E-2</v>
          </cell>
          <cell r="K25">
            <v>0.157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B26" t="str">
            <v>Pretax income</v>
          </cell>
          <cell r="C26">
            <v>23.248999999999988</v>
          </cell>
          <cell r="D26">
            <v>31.685000000000034</v>
          </cell>
          <cell r="E26">
            <v>31.07299999999999</v>
          </cell>
          <cell r="F26">
            <v>32.564</v>
          </cell>
          <cell r="G26">
            <v>26.677999999999997</v>
          </cell>
          <cell r="H26">
            <v>34.551999999999978</v>
          </cell>
          <cell r="I26">
            <v>34.514999999999986</v>
          </cell>
          <cell r="J26">
            <v>37.025999999999989</v>
          </cell>
          <cell r="K26">
            <v>30.517999999999997</v>
          </cell>
          <cell r="L26">
            <v>40.457999999999991</v>
          </cell>
          <cell r="M26">
            <v>37.986000000000004</v>
          </cell>
          <cell r="N26">
            <v>37.83</v>
          </cell>
          <cell r="O26">
            <v>33.300999999999981</v>
          </cell>
          <cell r="P26">
            <v>37.182999999999986</v>
          </cell>
          <cell r="Q26">
            <v>32.212000000000018</v>
          </cell>
          <cell r="R26">
            <v>25.375000000000014</v>
          </cell>
          <cell r="S26">
            <v>26.897999999999996</v>
          </cell>
          <cell r="T26">
            <v>34.118999999999964</v>
          </cell>
          <cell r="U26">
            <v>36.911000000000016</v>
          </cell>
          <cell r="V26">
            <v>34.295000000000051</v>
          </cell>
          <cell r="W26">
            <v>32.286000000000001</v>
          </cell>
          <cell r="X26">
            <v>37.115999999999978</v>
          </cell>
          <cell r="Y26">
            <v>18.765999999999995</v>
          </cell>
          <cell r="Z26">
            <v>34.708419800000001</v>
          </cell>
          <cell r="AA26">
            <v>34.589382100000002</v>
          </cell>
          <cell r="AB26">
            <v>41.977546934999992</v>
          </cell>
          <cell r="AC26">
            <v>38.055420439999999</v>
          </cell>
          <cell r="AD26">
            <v>40.362555182500024</v>
          </cell>
          <cell r="AF26">
            <v>0.15244446192986591</v>
          </cell>
          <cell r="AG26">
            <v>0.18336969668910216</v>
          </cell>
          <cell r="AH26">
            <v>0.1813306411610576</v>
          </cell>
          <cell r="AI26">
            <v>0.17823754789272031</v>
          </cell>
          <cell r="AJ26">
            <v>0.16051744885679903</v>
          </cell>
          <cell r="AK26">
            <v>0.17837893649974176</v>
          </cell>
          <cell r="AL26">
            <v>0.17736382322713251</v>
          </cell>
        </row>
        <row r="27">
          <cell r="B27" t="str">
            <v xml:space="preserve">   Income tax </v>
          </cell>
          <cell r="C27">
            <v>9.2010000000000005</v>
          </cell>
          <cell r="D27">
            <v>12.544</v>
          </cell>
          <cell r="E27">
            <v>12.353</v>
          </cell>
          <cell r="F27">
            <v>12.484</v>
          </cell>
          <cell r="G27">
            <v>10.494999999999999</v>
          </cell>
          <cell r="H27">
            <v>13.34</v>
          </cell>
          <cell r="I27">
            <v>13.311999999999999</v>
          </cell>
          <cell r="J27">
            <v>14.282</v>
          </cell>
          <cell r="K27">
            <v>11.776999999999999</v>
          </cell>
          <cell r="L27">
            <v>15.611000000000001</v>
          </cell>
          <cell r="M27">
            <v>14.815</v>
          </cell>
          <cell r="N27">
            <v>13.997</v>
          </cell>
          <cell r="O27">
            <v>12.579000000000001</v>
          </cell>
          <cell r="P27">
            <v>14.042999999999999</v>
          </cell>
          <cell r="Q27">
            <v>12.173</v>
          </cell>
          <cell r="R27">
            <v>9.6280000000000001</v>
          </cell>
          <cell r="S27">
            <v>10.167</v>
          </cell>
          <cell r="T27">
            <v>12.881</v>
          </cell>
          <cell r="U27">
            <v>13.959</v>
          </cell>
          <cell r="V27">
            <v>12.981</v>
          </cell>
          <cell r="W27">
            <v>12.204000000000001</v>
          </cell>
          <cell r="X27">
            <v>14.03</v>
          </cell>
          <cell r="Y27">
            <v>7.0940000000000003</v>
          </cell>
          <cell r="Z27">
            <v>13.119782684400001</v>
          </cell>
          <cell r="AA27">
            <v>13.0747864338</v>
          </cell>
          <cell r="AB27">
            <v>15.867512741429998</v>
          </cell>
          <cell r="AC27">
            <v>14.38494892632</v>
          </cell>
          <cell r="AD27">
            <v>15.257045858985009</v>
          </cell>
          <cell r="AF27">
            <v>0.39575895737451094</v>
          </cell>
          <cell r="AG27">
            <v>0.39589711219820062</v>
          </cell>
          <cell r="AH27">
            <v>0.39754771023074709</v>
          </cell>
          <cell r="AI27">
            <v>0.3833681365925562</v>
          </cell>
          <cell r="AJ27">
            <v>0.39339530699452735</v>
          </cell>
          <cell r="AK27">
            <v>0.38608474183838876</v>
          </cell>
          <cell r="AL27">
            <v>0.38568738229755195</v>
          </cell>
        </row>
        <row r="28">
          <cell r="B28" t="str">
            <v xml:space="preserve">Net Income before Extra. </v>
          </cell>
          <cell r="C28">
            <v>14.047999999999988</v>
          </cell>
          <cell r="D28">
            <v>19.141000000000034</v>
          </cell>
          <cell r="E28">
            <v>18.719999999999992</v>
          </cell>
          <cell r="F28">
            <v>20.079999999999998</v>
          </cell>
          <cell r="G28">
            <v>16.183</v>
          </cell>
          <cell r="H28">
            <v>21.211999999999978</v>
          </cell>
          <cell r="I28">
            <v>21.202999999999989</v>
          </cell>
          <cell r="J28">
            <v>22.743999999999989</v>
          </cell>
          <cell r="K28">
            <v>18.741</v>
          </cell>
          <cell r="L28">
            <v>24.846999999999991</v>
          </cell>
          <cell r="M28">
            <v>23.171000000000006</v>
          </cell>
          <cell r="N28">
            <v>23.832999999999998</v>
          </cell>
          <cell r="O28">
            <v>20.72199999999998</v>
          </cell>
          <cell r="P28">
            <v>23.139999999999986</v>
          </cell>
          <cell r="Q28">
            <v>20.039000000000016</v>
          </cell>
          <cell r="R28">
            <v>15.747000000000014</v>
          </cell>
          <cell r="S28">
            <v>16.730999999999995</v>
          </cell>
          <cell r="T28">
            <v>21.237999999999964</v>
          </cell>
          <cell r="U28">
            <v>22.952000000000016</v>
          </cell>
          <cell r="V28">
            <v>21.31400000000005</v>
          </cell>
          <cell r="W28">
            <v>20.082000000000001</v>
          </cell>
          <cell r="X28">
            <v>23.085999999999977</v>
          </cell>
          <cell r="Y28">
            <v>11.671999999999993</v>
          </cell>
          <cell r="Z28">
            <v>21.588637115600001</v>
          </cell>
          <cell r="AA28">
            <v>21.514595666200002</v>
          </cell>
          <cell r="AB28">
            <v>26.110034193569994</v>
          </cell>
          <cell r="AC28">
            <v>23.670471513679999</v>
          </cell>
          <cell r="AD28">
            <v>25.105509323515015</v>
          </cell>
          <cell r="AF28">
            <v>9.2113200618983856E-2</v>
          </cell>
          <cell r="AG28">
            <v>0.11077416330522666</v>
          </cell>
          <cell r="AH28">
            <v>0.10924305997280591</v>
          </cell>
          <cell r="AI28">
            <v>0.10990695128626163</v>
          </cell>
          <cell r="AJ28">
            <v>9.737063778580024E-2</v>
          </cell>
          <cell r="AK28">
            <v>0.10950955085183263</v>
          </cell>
          <cell r="AL28">
            <v>0.10895683453237405</v>
          </cell>
        </row>
        <row r="29">
          <cell r="B29" t="str">
            <v>Restructuring charges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30">
          <cell r="B30" t="str">
            <v>Extraordinary charge</v>
          </cell>
          <cell r="C30">
            <v>0</v>
          </cell>
          <cell r="D30">
            <v>0</v>
          </cell>
          <cell r="E30">
            <v>0.80200000000000005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1">
          <cell r="B31" t="str">
            <v xml:space="preserve">Net Income   </v>
          </cell>
          <cell r="C31">
            <v>14.047999999999988</v>
          </cell>
          <cell r="D31">
            <v>19.141000000000034</v>
          </cell>
          <cell r="E31">
            <v>17.917999999999992</v>
          </cell>
          <cell r="F31">
            <v>20.079999999999998</v>
          </cell>
          <cell r="G31">
            <v>16.183</v>
          </cell>
          <cell r="H31">
            <v>21.211999999999978</v>
          </cell>
          <cell r="I31">
            <v>21.202999999999989</v>
          </cell>
          <cell r="J31">
            <v>22.743999999999989</v>
          </cell>
          <cell r="K31">
            <v>18.741</v>
          </cell>
          <cell r="L31">
            <v>24.846999999999991</v>
          </cell>
          <cell r="M31">
            <v>23.171000000000006</v>
          </cell>
          <cell r="N31">
            <v>23.832999999999998</v>
          </cell>
          <cell r="O31">
            <v>20.72199999999998</v>
          </cell>
          <cell r="P31">
            <v>23.139999999999986</v>
          </cell>
          <cell r="Q31">
            <v>20.039000000000016</v>
          </cell>
          <cell r="R31">
            <v>15.747000000000014</v>
          </cell>
          <cell r="S31">
            <v>16.730999999999995</v>
          </cell>
          <cell r="T31">
            <v>21.237999999999964</v>
          </cell>
          <cell r="U31">
            <v>22.952000000000016</v>
          </cell>
          <cell r="V31">
            <v>21.31400000000005</v>
          </cell>
          <cell r="W31">
            <v>20.082000000000001</v>
          </cell>
          <cell r="X31">
            <v>23.085999999999977</v>
          </cell>
          <cell r="Y31">
            <v>11.671999999999993</v>
          </cell>
          <cell r="Z31">
            <v>21.588637115600001</v>
          </cell>
          <cell r="AA31">
            <v>21.514595666200002</v>
          </cell>
          <cell r="AB31">
            <v>26.110034193569994</v>
          </cell>
          <cell r="AC31">
            <v>23.670471513679999</v>
          </cell>
          <cell r="AD31">
            <v>25.105509323515015</v>
          </cell>
          <cell r="AJ31">
            <v>0.15197892938496693</v>
          </cell>
          <cell r="AK31">
            <v>0.10819706389425532</v>
          </cell>
          <cell r="AL31">
            <v>0.1833351936600065</v>
          </cell>
        </row>
        <row r="32">
          <cell r="B32" t="str">
            <v>Reported EPS</v>
          </cell>
          <cell r="C32">
            <v>0.31963594994311689</v>
          </cell>
          <cell r="D32">
            <v>0.43551763367463098</v>
          </cell>
          <cell r="E32">
            <v>0.40362673875091498</v>
          </cell>
          <cell r="F32">
            <v>0.45494194279241001</v>
          </cell>
          <cell r="G32">
            <v>0.37639698100919883</v>
          </cell>
          <cell r="H32">
            <v>0.50394972856752507</v>
          </cell>
          <cell r="I32">
            <v>0.50465310008330333</v>
          </cell>
          <cell r="J32">
            <v>0.54090563165905603</v>
          </cell>
          <cell r="K32">
            <v>0.44711916974830013</v>
          </cell>
          <cell r="L32">
            <v>0.59302131315783169</v>
          </cell>
          <cell r="M32">
            <v>0.56854373696478977</v>
          </cell>
          <cell r="N32">
            <v>0.59249223119950278</v>
          </cell>
          <cell r="O32">
            <v>0.51560089574520973</v>
          </cell>
          <cell r="P32">
            <v>0.57589407929120695</v>
          </cell>
          <cell r="Q32">
            <v>0.49549972800553921</v>
          </cell>
          <cell r="R32">
            <v>0.3855495433734058</v>
          </cell>
          <cell r="S32">
            <v>0.41546025676044784</v>
          </cell>
          <cell r="T32">
            <v>0.53387295442547866</v>
          </cell>
          <cell r="U32">
            <v>0.5752669306732171</v>
          </cell>
          <cell r="V32">
            <v>0.53531243721117261</v>
          </cell>
          <cell r="W32">
            <v>0.5160477964795066</v>
          </cell>
          <cell r="X32">
            <v>0.59510736473074977</v>
          </cell>
          <cell r="Y32">
            <v>0.30280703574949397</v>
          </cell>
          <cell r="Z32">
            <v>0.56074382118441557</v>
          </cell>
          <cell r="AA32">
            <v>0.55882066665454555</v>
          </cell>
          <cell r="AB32">
            <v>0.67818270632649336</v>
          </cell>
          <cell r="AC32">
            <v>0.61481744191376619</v>
          </cell>
          <cell r="AD32">
            <v>0.65209115126013029</v>
          </cell>
          <cell r="AF32" t="str">
            <v>n/a</v>
          </cell>
          <cell r="AG32" t="str">
            <v>n/a</v>
          </cell>
          <cell r="AH32" t="str">
            <v>n/a</v>
          </cell>
          <cell r="AI32" t="str">
            <v>n/a</v>
          </cell>
          <cell r="AJ32">
            <v>0.17758024739139411</v>
          </cell>
          <cell r="AK32">
            <v>0.15712818403127793</v>
          </cell>
          <cell r="AL32">
            <v>0.25029650326197417</v>
          </cell>
        </row>
        <row r="33">
          <cell r="B33" t="str">
            <v>Adjustments</v>
          </cell>
        </row>
        <row r="34">
          <cell r="B34" t="str">
            <v>Restructuring charges</v>
          </cell>
          <cell r="R34">
            <v>0.10821536126141565</v>
          </cell>
          <cell r="V34">
            <v>7.9773457906369291E-2</v>
          </cell>
          <cell r="Y34">
            <v>0.22</v>
          </cell>
        </row>
        <row r="35">
          <cell r="B35" t="str">
            <v>Extraordinary charge</v>
          </cell>
          <cell r="E35">
            <v>0.02</v>
          </cell>
        </row>
        <row r="36">
          <cell r="B36" t="str">
            <v>Operating EPS</v>
          </cell>
          <cell r="C36">
            <v>0.31963594994311689</v>
          </cell>
          <cell r="D36">
            <v>0.43551763367463098</v>
          </cell>
          <cell r="E36">
            <v>0.423626738750915</v>
          </cell>
          <cell r="F36">
            <v>0.45494194279241001</v>
          </cell>
          <cell r="G36">
            <v>0.37639698100919883</v>
          </cell>
          <cell r="H36">
            <v>0.50394972856752507</v>
          </cell>
          <cell r="I36">
            <v>0.50465310008330333</v>
          </cell>
          <cell r="J36">
            <v>0.54090563165905603</v>
          </cell>
          <cell r="K36">
            <v>0.44711916974830013</v>
          </cell>
          <cell r="L36">
            <v>0.59302131315783169</v>
          </cell>
          <cell r="M36">
            <v>0.56854373696478977</v>
          </cell>
          <cell r="N36">
            <v>0.59249223119950278</v>
          </cell>
          <cell r="O36">
            <v>0.51560089574520973</v>
          </cell>
          <cell r="P36">
            <v>0.57589407929120695</v>
          </cell>
          <cell r="Q36">
            <v>0.49549972800553921</v>
          </cell>
          <cell r="R36">
            <v>0.49376490463482148</v>
          </cell>
          <cell r="S36">
            <v>0.41546025676044784</v>
          </cell>
          <cell r="T36">
            <v>0.53387295442547866</v>
          </cell>
          <cell r="U36">
            <v>0.5752669306732171</v>
          </cell>
          <cell r="V36">
            <v>0.61508589511754186</v>
          </cell>
          <cell r="W36">
            <v>0.5160477964795066</v>
          </cell>
          <cell r="X36">
            <v>0.59510736473074977</v>
          </cell>
          <cell r="Y36">
            <v>0.52280703574949394</v>
          </cell>
          <cell r="Z36">
            <v>0.56074382118441557</v>
          </cell>
          <cell r="AA36">
            <v>0.55882066665454555</v>
          </cell>
          <cell r="AB36">
            <v>0.67818270632649336</v>
          </cell>
          <cell r="AC36">
            <v>0.61481744191376619</v>
          </cell>
          <cell r="AD36">
            <v>0.65209115126013029</v>
          </cell>
          <cell r="AF36" t="str">
            <v>n/a</v>
          </cell>
          <cell r="AG36" t="str">
            <v>n/a</v>
          </cell>
          <cell r="AH36" t="str">
            <v>n/a</v>
          </cell>
          <cell r="AI36" t="str">
            <v>n/a</v>
          </cell>
          <cell r="AJ36">
            <v>0.17758024739139411</v>
          </cell>
          <cell r="AK36">
            <v>0.15712818403127793</v>
          </cell>
          <cell r="AL36">
            <v>0.1912682886148751</v>
          </cell>
        </row>
        <row r="37">
          <cell r="B37" t="str">
            <v xml:space="preserve">Fully Diluted Shares O/S </v>
          </cell>
          <cell r="C37">
            <v>43.95</v>
          </cell>
          <cell r="D37">
            <v>43.95</v>
          </cell>
          <cell r="E37">
            <v>44.392499999999998</v>
          </cell>
          <cell r="F37">
            <v>44.137500000000003</v>
          </cell>
          <cell r="G37">
            <v>42.994500000000002</v>
          </cell>
          <cell r="H37">
            <v>42.091499999999996</v>
          </cell>
          <cell r="I37">
            <v>42.015000000000001</v>
          </cell>
          <cell r="J37">
            <v>42.048000000000002</v>
          </cell>
          <cell r="K37">
            <v>41.914999999999999</v>
          </cell>
          <cell r="L37">
            <v>41.899000000000001</v>
          </cell>
          <cell r="M37">
            <v>40.755000000000003</v>
          </cell>
          <cell r="N37">
            <v>40.225000000000001</v>
          </cell>
          <cell r="O37">
            <v>40.19</v>
          </cell>
          <cell r="P37">
            <v>40.180999999999997</v>
          </cell>
          <cell r="Q37">
            <v>40.442</v>
          </cell>
          <cell r="R37">
            <v>40.843000000000004</v>
          </cell>
          <cell r="S37">
            <v>40.271000000000001</v>
          </cell>
          <cell r="T37">
            <v>39.780999999999999</v>
          </cell>
          <cell r="U37">
            <v>39.898000000000003</v>
          </cell>
          <cell r="V37">
            <v>39.816000000000003</v>
          </cell>
          <cell r="W37">
            <v>38.914999999999999</v>
          </cell>
          <cell r="X37">
            <v>38.792999999999999</v>
          </cell>
          <cell r="Y37">
            <v>38.545999999999999</v>
          </cell>
          <cell r="Z37">
            <v>38.5</v>
          </cell>
          <cell r="AA37">
            <v>38.5</v>
          </cell>
          <cell r="AB37">
            <v>38.5</v>
          </cell>
          <cell r="AC37">
            <v>38.5</v>
          </cell>
          <cell r="AD37">
            <v>38.5</v>
          </cell>
        </row>
        <row r="38">
          <cell r="B38" t="str">
            <v>(a) Represents sales to independent dealers only</v>
          </cell>
        </row>
        <row r="39">
          <cell r="B39" t="str">
            <v xml:space="preserve">Segment Data: </v>
          </cell>
          <cell r="K39" t="str">
            <v>1Q00</v>
          </cell>
          <cell r="L39" t="str">
            <v>2Q00</v>
          </cell>
          <cell r="M39" t="str">
            <v>3Q00</v>
          </cell>
          <cell r="N39" t="str">
            <v>4Q00</v>
          </cell>
          <cell r="O39" t="str">
            <v>1Q01</v>
          </cell>
          <cell r="P39" t="str">
            <v>2Q01</v>
          </cell>
          <cell r="Q39" t="str">
            <v>3Q01</v>
          </cell>
          <cell r="R39" t="str">
            <v>4Q01</v>
          </cell>
          <cell r="S39" t="str">
            <v>1Q02</v>
          </cell>
          <cell r="T39" t="str">
            <v>2Q02</v>
          </cell>
          <cell r="U39" t="str">
            <v>3Q02</v>
          </cell>
          <cell r="V39" t="str">
            <v>4Q02</v>
          </cell>
          <cell r="W39" t="str">
            <v>1Q03</v>
          </cell>
          <cell r="X39" t="str">
            <v>2Q03</v>
          </cell>
          <cell r="Y39" t="str">
            <v>3Q03</v>
          </cell>
          <cell r="Z39" t="str">
            <v>4Q03</v>
          </cell>
        </row>
        <row r="40">
          <cell r="B40" t="str">
            <v xml:space="preserve">      Wholesale</v>
          </cell>
          <cell r="K40">
            <v>28.3</v>
          </cell>
          <cell r="L40">
            <v>33.200000000000003</v>
          </cell>
          <cell r="M40">
            <v>36.799999999999997</v>
          </cell>
          <cell r="O40">
            <v>26</v>
          </cell>
          <cell r="P40">
            <v>28.7</v>
          </cell>
          <cell r="Q40">
            <v>26.9</v>
          </cell>
          <cell r="R40">
            <v>17.8</v>
          </cell>
          <cell r="S40">
            <v>23.263999999999999</v>
          </cell>
          <cell r="T40">
            <v>24.5</v>
          </cell>
          <cell r="U40">
            <v>32.299999999999997</v>
          </cell>
          <cell r="V40">
            <v>30.01400000000001</v>
          </cell>
          <cell r="W40">
            <v>28.876999999999999</v>
          </cell>
          <cell r="X40">
            <v>28.036799999999999</v>
          </cell>
          <cell r="Y40">
            <v>20.949000000000002</v>
          </cell>
        </row>
        <row r="41">
          <cell r="B41" t="str">
            <v xml:space="preserve">      Retail</v>
          </cell>
          <cell r="K41">
            <v>3.0999999999999996</v>
          </cell>
          <cell r="L41">
            <v>7</v>
          </cell>
          <cell r="M41">
            <v>5</v>
          </cell>
          <cell r="O41">
            <v>6</v>
          </cell>
          <cell r="P41">
            <v>6.3999999999999995</v>
          </cell>
          <cell r="Q41">
            <v>5.4</v>
          </cell>
          <cell r="R41">
            <v>6.7</v>
          </cell>
          <cell r="S41">
            <v>3.0019999999999998</v>
          </cell>
          <cell r="T41">
            <v>7.7</v>
          </cell>
          <cell r="U41">
            <v>5.3</v>
          </cell>
          <cell r="V41">
            <v>7.123000000000002</v>
          </cell>
          <cell r="W41">
            <v>3.0470000000000002</v>
          </cell>
          <cell r="X41">
            <v>8.0794000000000015</v>
          </cell>
          <cell r="Y41">
            <v>2.2229999999999999</v>
          </cell>
        </row>
        <row r="42">
          <cell r="B42" t="str">
            <v xml:space="preserve">      Eliminations</v>
          </cell>
          <cell r="K42">
            <v>-1.1000000000000001</v>
          </cell>
          <cell r="L42">
            <v>0.3</v>
          </cell>
          <cell r="M42">
            <v>-3.4</v>
          </cell>
          <cell r="O42">
            <v>0.7</v>
          </cell>
          <cell r="P42">
            <v>1.8</v>
          </cell>
          <cell r="Q42">
            <v>-1.1000000000000001</v>
          </cell>
          <cell r="R42">
            <v>0.1</v>
          </cell>
          <cell r="S42">
            <v>0.26900000000000002</v>
          </cell>
          <cell r="T42">
            <v>1</v>
          </cell>
          <cell r="U42">
            <v>-1.6</v>
          </cell>
          <cell r="V42">
            <v>-3.01</v>
          </cell>
          <cell r="W42">
            <v>-8.1000000000000003E-2</v>
          </cell>
          <cell r="X42">
            <v>0.99979999999997737</v>
          </cell>
          <cell r="Y42">
            <v>-4.3</v>
          </cell>
        </row>
        <row r="43">
          <cell r="B43" t="str">
            <v>Total Operating Income</v>
          </cell>
          <cell r="K43">
            <v>30.299999999999997</v>
          </cell>
          <cell r="L43">
            <v>40.5</v>
          </cell>
          <cell r="M43">
            <v>38.4</v>
          </cell>
          <cell r="N43">
            <v>0</v>
          </cell>
          <cell r="O43">
            <v>32.700000000000003</v>
          </cell>
          <cell r="P43">
            <v>36.9</v>
          </cell>
          <cell r="Q43">
            <v>31.199999999999996</v>
          </cell>
          <cell r="R43">
            <v>24.6</v>
          </cell>
          <cell r="S43">
            <v>26.534999999999997</v>
          </cell>
          <cell r="T43">
            <v>33.200000000000003</v>
          </cell>
          <cell r="U43">
            <v>35.999999999999993</v>
          </cell>
          <cell r="V43">
            <v>34.127000000000017</v>
          </cell>
          <cell r="W43">
            <v>31.843</v>
          </cell>
          <cell r="X43">
            <v>37.115999999999978</v>
          </cell>
          <cell r="Y43">
            <v>32.060999999999993</v>
          </cell>
        </row>
        <row r="44">
          <cell r="B44" t="str">
            <v>Operating Margin</v>
          </cell>
        </row>
        <row r="45">
          <cell r="B45" t="str">
            <v xml:space="preserve">      Wholesale</v>
          </cell>
          <cell r="K45">
            <v>0.18581746552856204</v>
          </cell>
          <cell r="L45">
            <v>0.19703264094955492</v>
          </cell>
          <cell r="M45">
            <v>0.1981690899299946</v>
          </cell>
          <cell r="O45">
            <v>0.16059295861642989</v>
          </cell>
          <cell r="P45">
            <v>0.15997770345596432</v>
          </cell>
          <cell r="Q45">
            <v>0.14240338803599786</v>
          </cell>
          <cell r="R45">
            <v>0.14099999999999999</v>
          </cell>
          <cell r="S45">
            <v>0.15020273236744919</v>
          </cell>
          <cell r="T45">
            <v>0.15486725663716816</v>
          </cell>
          <cell r="U45">
            <v>0.18735498839907191</v>
          </cell>
          <cell r="V45">
            <v>0.20100000000000001</v>
          </cell>
          <cell r="W45">
            <v>0.18294413542313392</v>
          </cell>
          <cell r="X45">
            <v>0.17699999999999999</v>
          </cell>
          <cell r="Y45">
            <v>0.19700000000000001</v>
          </cell>
        </row>
        <row r="46">
          <cell r="B46" t="str">
            <v xml:space="preserve">      Retail</v>
          </cell>
          <cell r="K46">
            <v>3.9190897597977239E-2</v>
          </cell>
          <cell r="L46">
            <v>7.0778564206268949E-2</v>
          </cell>
          <cell r="M46">
            <v>5.4229934924078092E-2</v>
          </cell>
          <cell r="O46">
            <v>6.0913705583756347E-2</v>
          </cell>
          <cell r="P46">
            <v>5.8877644894204224E-2</v>
          </cell>
          <cell r="Q46">
            <v>5.1773729626078624E-2</v>
          </cell>
          <cell r="R46">
            <v>6.2188477496124828E-2</v>
          </cell>
          <cell r="S46">
            <v>3.0372318899231077E-2</v>
          </cell>
          <cell r="T46">
            <v>6.5868263473053884E-2</v>
          </cell>
          <cell r="U46">
            <v>4.5768566493955096E-2</v>
          </cell>
          <cell r="V46">
            <v>5.5604996096799392E-2</v>
          </cell>
          <cell r="W46">
            <v>2.5290714564363916E-2</v>
          </cell>
          <cell r="X46">
            <v>5.8000000000000003E-2</v>
          </cell>
          <cell r="Y46">
            <v>1.7000000000000001E-2</v>
          </cell>
        </row>
        <row r="47">
          <cell r="B47" t="str">
            <v>Total Operating Income</v>
          </cell>
          <cell r="K47">
            <v>0.15981012658227847</v>
          </cell>
          <cell r="L47">
            <v>0.18620689655172415</v>
          </cell>
          <cell r="M47">
            <v>0.17430776214253291</v>
          </cell>
          <cell r="N47">
            <v>0</v>
          </cell>
          <cell r="O47">
            <v>0.15482954545454547</v>
          </cell>
          <cell r="P47">
            <v>0.15857327030511389</v>
          </cell>
          <cell r="Q47">
            <v>0.13344739093242083</v>
          </cell>
          <cell r="R47">
            <v>0.13912647781292528</v>
          </cell>
          <cell r="S47">
            <v>0.12835893094691014</v>
          </cell>
          <cell r="T47">
            <v>0.14894571556751909</v>
          </cell>
          <cell r="U47">
            <v>0.15796401930671344</v>
          </cell>
          <cell r="V47">
            <v>0.16712608908676485</v>
          </cell>
          <cell r="W47">
            <v>0.1470611326889239</v>
          </cell>
          <cell r="X47">
            <v>0.16157553120633128</v>
          </cell>
          <cell r="Y47">
            <v>0.14276363247749069</v>
          </cell>
        </row>
        <row r="49">
          <cell r="B49" t="str">
            <v xml:space="preserve">Balance Sheet Data: </v>
          </cell>
          <cell r="S49" t="str">
            <v>1Q02</v>
          </cell>
          <cell r="T49" t="str">
            <v>2Q02</v>
          </cell>
          <cell r="U49" t="str">
            <v>3Q02</v>
          </cell>
          <cell r="V49" t="str">
            <v>4Q02</v>
          </cell>
          <cell r="W49" t="str">
            <v>1Q03</v>
          </cell>
          <cell r="X49" t="str">
            <v>2Q03</v>
          </cell>
          <cell r="Y49" t="str">
            <v>3Q03</v>
          </cell>
          <cell r="Z49" t="str">
            <v>4Q03</v>
          </cell>
        </row>
        <row r="50">
          <cell r="B50" t="str">
            <v>Current ratio</v>
          </cell>
          <cell r="S50">
            <v>2.4685273527042937</v>
          </cell>
          <cell r="T50">
            <v>2.8629746050128215</v>
          </cell>
          <cell r="U50">
            <v>2.4403907397323557</v>
          </cell>
          <cell r="V50">
            <v>2.4685273527042937</v>
          </cell>
          <cell r="W50">
            <v>2.2808956604064377</v>
          </cell>
          <cell r="X50">
            <v>2.6085076125146398</v>
          </cell>
          <cell r="Y50">
            <v>2.3919456818508409</v>
          </cell>
          <cell r="Z50">
            <v>2.2776788202425866</v>
          </cell>
        </row>
        <row r="51">
          <cell r="B51" t="str">
            <v>Book value per share</v>
          </cell>
          <cell r="S51">
            <v>12.693725013036676</v>
          </cell>
          <cell r="T51">
            <v>12.079887383424248</v>
          </cell>
          <cell r="U51">
            <v>12.588701188029475</v>
          </cell>
          <cell r="V51">
            <v>12.838783403656821</v>
          </cell>
          <cell r="W51">
            <v>13.023538481305408</v>
          </cell>
          <cell r="X51">
            <v>13.610625628335008</v>
          </cell>
          <cell r="Y51">
            <v>13.439812172469258</v>
          </cell>
          <cell r="Z51">
            <v>13.782276288716881</v>
          </cell>
        </row>
        <row r="52">
          <cell r="B52" t="str">
            <v>Days sales outstanding</v>
          </cell>
          <cell r="S52">
            <v>14.544382633933971</v>
          </cell>
          <cell r="T52">
            <v>11.32744504262001</v>
          </cell>
          <cell r="U52">
            <v>11.243689666520401</v>
          </cell>
          <cell r="V52">
            <v>12.929108173742623</v>
          </cell>
          <cell r="W52">
            <v>13.025509862420277</v>
          </cell>
          <cell r="X52">
            <v>10.095921323564623</v>
          </cell>
          <cell r="Y52">
            <v>10.419997973941776</v>
          </cell>
          <cell r="Z52">
            <v>11.881989304796869</v>
          </cell>
        </row>
        <row r="53">
          <cell r="B53" t="str">
            <v>YOY Receivable Growth</v>
          </cell>
          <cell r="S53">
            <v>-5.2475190399261518E-2</v>
          </cell>
          <cell r="T53">
            <v>-0.28071241286691817</v>
          </cell>
          <cell r="U53">
            <v>-9.6791501234038124E-2</v>
          </cell>
          <cell r="V53">
            <v>-6.3530479503857151E-3</v>
          </cell>
          <cell r="W53">
            <v>-0.11791749124676509</v>
          </cell>
          <cell r="X53">
            <v>-2.8272949544343118E-2</v>
          </cell>
          <cell r="Y53">
            <v>-0.12587620292265655</v>
          </cell>
          <cell r="Z53">
            <v>-3.6552666426156843E-2</v>
          </cell>
        </row>
        <row r="54">
          <cell r="B54" t="str">
            <v>Inventory Turnover</v>
          </cell>
          <cell r="S54">
            <v>2.5759331549504116</v>
          </cell>
          <cell r="T54">
            <v>2.8789898703903956</v>
          </cell>
          <cell r="U54">
            <v>2.9405550411158656</v>
          </cell>
          <cell r="V54">
            <v>2.7950104583511544</v>
          </cell>
          <cell r="W54">
            <v>2.4953899117748981</v>
          </cell>
          <cell r="X54">
            <v>2.5472384269417945</v>
          </cell>
          <cell r="Y54">
            <v>2.3966696370383178</v>
          </cell>
          <cell r="Z54">
            <v>2.4302281093715883</v>
          </cell>
        </row>
        <row r="55">
          <cell r="B55" t="str">
            <v>YOY Inventory Growth</v>
          </cell>
          <cell r="S55">
            <v>7.6183884463505436E-2</v>
          </cell>
          <cell r="T55">
            <v>-2.5292381411087694E-2</v>
          </cell>
          <cell r="U55">
            <v>-1.434213628861114E-2</v>
          </cell>
          <cell r="V55">
            <v>-1.0730759617351038E-2</v>
          </cell>
          <cell r="W55">
            <v>2.1590954768098358E-2</v>
          </cell>
          <cell r="X55">
            <v>0.13932214127336096</v>
          </cell>
          <cell r="Y55">
            <v>0.17275592529020911</v>
          </cell>
          <cell r="Z55">
            <v>8.1625947274429178E-2</v>
          </cell>
        </row>
        <row r="57">
          <cell r="B57" t="str">
            <v>Miscellaneous Data:</v>
          </cell>
          <cell r="S57" t="str">
            <v>1Q02</v>
          </cell>
          <cell r="T57" t="str">
            <v>2Q02</v>
          </cell>
          <cell r="U57" t="str">
            <v>3Q02</v>
          </cell>
          <cell r="V57" t="str">
            <v>4Q02</v>
          </cell>
          <cell r="W57" t="str">
            <v>1Q03</v>
          </cell>
          <cell r="X57" t="str">
            <v>2Q03</v>
          </cell>
          <cell r="Y57" t="str">
            <v>3Q03</v>
          </cell>
          <cell r="Z57" t="str">
            <v>4Q03</v>
          </cell>
        </row>
        <row r="58">
          <cell r="B58" t="str">
            <v xml:space="preserve">   Dealer-owned stores</v>
          </cell>
          <cell r="S58">
            <v>207</v>
          </cell>
          <cell r="T58">
            <v>221</v>
          </cell>
          <cell r="U58">
            <v>212</v>
          </cell>
          <cell r="V58">
            <v>213</v>
          </cell>
          <cell r="W58">
            <v>197</v>
          </cell>
          <cell r="X58">
            <v>196</v>
          </cell>
          <cell r="Y58">
            <v>192</v>
          </cell>
        </row>
        <row r="59">
          <cell r="B59" t="str">
            <v xml:space="preserve">   ETH-owned stores</v>
          </cell>
          <cell r="S59">
            <v>93</v>
          </cell>
          <cell r="T59">
            <v>93</v>
          </cell>
          <cell r="U59">
            <v>102</v>
          </cell>
          <cell r="V59">
            <v>103</v>
          </cell>
          <cell r="W59">
            <v>116</v>
          </cell>
          <cell r="X59">
            <v>118</v>
          </cell>
          <cell r="Y59">
            <v>120</v>
          </cell>
        </row>
        <row r="60">
          <cell r="B60" t="str">
            <v>Total Stores</v>
          </cell>
          <cell r="S60">
            <v>300</v>
          </cell>
          <cell r="T60">
            <v>314</v>
          </cell>
          <cell r="U60">
            <v>314</v>
          </cell>
          <cell r="V60">
            <v>316</v>
          </cell>
          <cell r="W60">
            <v>313</v>
          </cell>
          <cell r="X60">
            <v>314</v>
          </cell>
          <cell r="Y60">
            <v>312</v>
          </cell>
          <cell r="Z60">
            <v>0</v>
          </cell>
        </row>
        <row r="65">
          <cell r="AF65" t="str">
            <v>1Q98</v>
          </cell>
          <cell r="AG65" t="str">
            <v>2Q98</v>
          </cell>
          <cell r="AH65" t="str">
            <v>3Q98</v>
          </cell>
          <cell r="AI65" t="str">
            <v>4Q98</v>
          </cell>
          <cell r="AJ65" t="str">
            <v>1Q99</v>
          </cell>
          <cell r="AK65" t="str">
            <v>2Q99</v>
          </cell>
          <cell r="AL65" t="str">
            <v>3Q99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Ethan Allen Interiors, Inc. (ETH)</v>
          </cell>
        </row>
        <row r="7">
          <cell r="B7" t="str">
            <v>Historical Analysis  ($ in mil, except per share data)</v>
          </cell>
        </row>
        <row r="8">
          <cell r="B8" t="str">
            <v>(June Fiscal Year)</v>
          </cell>
        </row>
        <row r="9">
          <cell r="B9" t="str">
            <v>Income Statement Analysis</v>
          </cell>
          <cell r="C9">
            <v>1990</v>
          </cell>
          <cell r="D9">
            <v>1991</v>
          </cell>
          <cell r="E9">
            <v>1992</v>
          </cell>
          <cell r="F9">
            <v>1993</v>
          </cell>
          <cell r="G9" t="str">
            <v>1994</v>
          </cell>
          <cell r="H9" t="str">
            <v>1995</v>
          </cell>
          <cell r="I9" t="str">
            <v>1996</v>
          </cell>
          <cell r="J9" t="str">
            <v>1997</v>
          </cell>
          <cell r="K9" t="str">
            <v>1998</v>
          </cell>
          <cell r="L9" t="str">
            <v>1999</v>
          </cell>
          <cell r="M9" t="str">
            <v>2000</v>
          </cell>
        </row>
        <row r="10">
          <cell r="B10" t="str">
            <v>Net Wholesale Revenue</v>
          </cell>
          <cell r="C10">
            <v>263.8</v>
          </cell>
          <cell r="D10">
            <v>241.8</v>
          </cell>
          <cell r="E10">
            <v>257.39999999999998</v>
          </cell>
          <cell r="F10">
            <v>281.60000000000002</v>
          </cell>
          <cell r="G10">
            <v>309.7</v>
          </cell>
          <cell r="H10">
            <v>320.3</v>
          </cell>
          <cell r="I10">
            <v>330.8</v>
          </cell>
          <cell r="J10">
            <v>374.6</v>
          </cell>
          <cell r="K10">
            <v>437.40000000000003</v>
          </cell>
          <cell r="L10">
            <v>461.1</v>
          </cell>
          <cell r="M10">
            <v>484.11300000000006</v>
          </cell>
        </row>
        <row r="11">
          <cell r="B11" t="str">
            <v>Growth</v>
          </cell>
          <cell r="D11">
            <v>-8.3396512509476883E-2</v>
          </cell>
          <cell r="E11">
            <v>6.4516129032258007E-2</v>
          </cell>
          <cell r="F11">
            <v>9.4017094017094127E-2</v>
          </cell>
          <cell r="G11">
            <v>9.9786931818181657E-2</v>
          </cell>
          <cell r="H11">
            <v>3.4226670971908346E-2</v>
          </cell>
          <cell r="I11">
            <v>3.2781767093349901E-2</v>
          </cell>
          <cell r="J11">
            <v>0.13240628778718255</v>
          </cell>
          <cell r="K11">
            <v>0.16764548852108918</v>
          </cell>
          <cell r="L11">
            <v>5.418381344307277E-2</v>
          </cell>
          <cell r="M11">
            <v>4.990891346779458E-2</v>
          </cell>
        </row>
        <row r="12">
          <cell r="B12" t="str">
            <v>Retail Revenue</v>
          </cell>
          <cell r="C12">
            <v>51</v>
          </cell>
          <cell r="D12">
            <v>55.7</v>
          </cell>
          <cell r="E12">
            <v>66.599999999999994</v>
          </cell>
          <cell r="F12">
            <v>77</v>
          </cell>
          <cell r="G12">
            <v>105.1</v>
          </cell>
          <cell r="H12">
            <v>133.19999999999999</v>
          </cell>
          <cell r="I12">
            <v>155.6</v>
          </cell>
          <cell r="J12">
            <v>175.8</v>
          </cell>
          <cell r="K12">
            <v>235.2</v>
          </cell>
          <cell r="L12">
            <v>294.7</v>
          </cell>
          <cell r="M12">
            <v>372.05799999999999</v>
          </cell>
        </row>
        <row r="13">
          <cell r="B13" t="str">
            <v>Growth</v>
          </cell>
          <cell r="D13">
            <v>9.2156862745098156E-2</v>
          </cell>
          <cell r="E13">
            <v>0.19569120287253128</v>
          </cell>
          <cell r="F13">
            <v>0.15615615615615619</v>
          </cell>
          <cell r="G13">
            <v>0.36493506493506489</v>
          </cell>
          <cell r="H13">
            <v>0.26736441484300655</v>
          </cell>
          <cell r="I13">
            <v>0.16816816816816815</v>
          </cell>
          <cell r="J13">
            <v>0.12982005141388187</v>
          </cell>
          <cell r="K13">
            <v>0.33788395904436852</v>
          </cell>
          <cell r="L13">
            <v>0.25297619047619047</v>
          </cell>
          <cell r="M13">
            <v>0.26249745503902266</v>
          </cell>
        </row>
        <row r="14">
          <cell r="B14" t="str">
            <v>Total Revenue</v>
          </cell>
          <cell r="C14">
            <v>348.40000000000003</v>
          </cell>
          <cell r="D14">
            <v>328.6</v>
          </cell>
          <cell r="E14">
            <v>351</v>
          </cell>
          <cell r="F14">
            <v>384.20000000000005</v>
          </cell>
          <cell r="G14">
            <v>437.29999999999995</v>
          </cell>
          <cell r="H14">
            <v>476.1</v>
          </cell>
          <cell r="I14">
            <v>509.79999999999995</v>
          </cell>
          <cell r="J14">
            <v>571.80000000000007</v>
          </cell>
          <cell r="K14">
            <v>679.30000000000007</v>
          </cell>
          <cell r="L14">
            <v>762.19999999999993</v>
          </cell>
          <cell r="M14">
            <v>856.17100000000005</v>
          </cell>
        </row>
        <row r="15">
          <cell r="B15" t="str">
            <v>Growth</v>
          </cell>
          <cell r="D15">
            <v>-5.6831228473019579E-2</v>
          </cell>
          <cell r="E15">
            <v>6.8167985392574515E-2</v>
          </cell>
          <cell r="F15">
            <v>9.4586894586894621E-2</v>
          </cell>
          <cell r="G15">
            <v>0.13820926600728756</v>
          </cell>
          <cell r="H15">
            <v>8.872627486851159E-2</v>
          </cell>
          <cell r="I15">
            <v>7.0783448855282316E-2</v>
          </cell>
          <cell r="J15">
            <v>0.12161632012553958</v>
          </cell>
          <cell r="K15">
            <v>0.18800279818118226</v>
          </cell>
          <cell r="L15">
            <v>0.1220373914323567</v>
          </cell>
          <cell r="M15">
            <v>0.12328916294935732</v>
          </cell>
        </row>
        <row r="16">
          <cell r="B16" t="str">
            <v>Revenue Mix</v>
          </cell>
        </row>
        <row r="17">
          <cell r="B17" t="str">
            <v>Wholesale</v>
          </cell>
          <cell r="C17">
            <v>0.75717566016073479</v>
          </cell>
          <cell r="D17">
            <v>0.73584905660377353</v>
          </cell>
          <cell r="E17">
            <v>0.73333333333333328</v>
          </cell>
          <cell r="F17">
            <v>0.7329515877147319</v>
          </cell>
          <cell r="G17">
            <v>0.70820946718499889</v>
          </cell>
          <cell r="H17">
            <v>0.67275782398655748</v>
          </cell>
          <cell r="I17">
            <v>0.64888191447626531</v>
          </cell>
          <cell r="J17">
            <v>0.65512416928996153</v>
          </cell>
          <cell r="K17">
            <v>0.64389813042838218</v>
          </cell>
          <cell r="L17">
            <v>0.60495932826029919</v>
          </cell>
          <cell r="M17">
            <v>0.56543961428266087</v>
          </cell>
        </row>
        <row r="18">
          <cell r="B18" t="str">
            <v>Retail</v>
          </cell>
          <cell r="C18">
            <v>0.14638346727898965</v>
          </cell>
          <cell r="D18">
            <v>0.16950699939135727</v>
          </cell>
          <cell r="E18">
            <v>0.18974358974358974</v>
          </cell>
          <cell r="F18">
            <v>0.20041644976574699</v>
          </cell>
          <cell r="G18">
            <v>0.24033844042991082</v>
          </cell>
          <cell r="H18">
            <v>0.27977315689981092</v>
          </cell>
          <cell r="I18">
            <v>0.30521773244409572</v>
          </cell>
          <cell r="J18">
            <v>0.30745015739769149</v>
          </cell>
          <cell r="K18">
            <v>0.3462387752097747</v>
          </cell>
          <cell r="L18">
            <v>0.38664392547887694</v>
          </cell>
          <cell r="M18">
            <v>0.43456038571733913</v>
          </cell>
        </row>
        <row r="20">
          <cell r="B20" t="str">
            <v>Gross Margin</v>
          </cell>
          <cell r="C20">
            <v>0.38124856486796788</v>
          </cell>
          <cell r="D20">
            <v>0.39158855751673771</v>
          </cell>
          <cell r="E20">
            <v>0.39369515669515676</v>
          </cell>
          <cell r="F20">
            <v>0.37350338365434682</v>
          </cell>
          <cell r="G20">
            <v>0.39057855019437449</v>
          </cell>
          <cell r="H20">
            <v>0.38870405377021633</v>
          </cell>
          <cell r="I20">
            <v>0.40241271086700664</v>
          </cell>
          <cell r="J20">
            <v>0.43406785589366914</v>
          </cell>
          <cell r="K20">
            <v>0.46452819078463131</v>
          </cell>
          <cell r="L20">
            <v>0.46571241144056674</v>
          </cell>
          <cell r="M20">
            <v>0.46790886400029907</v>
          </cell>
        </row>
        <row r="21">
          <cell r="B21" t="str">
            <v>SG&amp;A / Total Sales</v>
          </cell>
          <cell r="C21">
            <v>0.31123995407577498</v>
          </cell>
          <cell r="D21">
            <v>0.33983262325015212</v>
          </cell>
          <cell r="E21">
            <v>0.31497150997150997</v>
          </cell>
          <cell r="F21">
            <v>0.28117647058823525</v>
          </cell>
          <cell r="G21">
            <v>0.27571232563457582</v>
          </cell>
          <cell r="H21">
            <v>0.28856752783028772</v>
          </cell>
          <cell r="I21">
            <v>0.29336798744605724</v>
          </cell>
          <cell r="J21">
            <v>0.2839961525008744</v>
          </cell>
          <cell r="K21">
            <v>0.2883630207566612</v>
          </cell>
          <cell r="L21">
            <v>0.29140251902387826</v>
          </cell>
          <cell r="M21">
            <v>0.29726655072409597</v>
          </cell>
        </row>
        <row r="22">
          <cell r="B22" t="str">
            <v>EBIT</v>
          </cell>
          <cell r="C22">
            <v>24.39100000000002</v>
          </cell>
          <cell r="D22">
            <v>12.63000000000002</v>
          </cell>
          <cell r="E22">
            <v>12.539000000000005</v>
          </cell>
          <cell r="F22">
            <v>35.472000000000065</v>
          </cell>
          <cell r="G22">
            <v>50.230999999999952</v>
          </cell>
          <cell r="H22">
            <v>46.125000000000014</v>
          </cell>
          <cell r="I22">
            <v>55.591000000000008</v>
          </cell>
          <cell r="J22">
            <v>85.811000000000035</v>
          </cell>
          <cell r="K22">
            <v>119.6690000000001</v>
          </cell>
          <cell r="L22">
            <v>132.85899999999998</v>
          </cell>
          <cell r="M22">
            <v>146.09900000000007</v>
          </cell>
        </row>
        <row r="23">
          <cell r="B23" t="str">
            <v>EBIT Margin</v>
          </cell>
          <cell r="C23">
            <v>7.0008610792192935E-2</v>
          </cell>
          <cell r="D23">
            <v>3.8435788192331163E-2</v>
          </cell>
          <cell r="E23">
            <v>3.5723646723646738E-2</v>
          </cell>
          <cell r="F23">
            <v>9.2326913066111557E-2</v>
          </cell>
          <cell r="G23">
            <v>0.11486622455979867</v>
          </cell>
          <cell r="H23">
            <v>9.6880907372400779E-2</v>
          </cell>
          <cell r="I23">
            <v>0.10904472342094942</v>
          </cell>
          <cell r="J23">
            <v>0.15007170339279471</v>
          </cell>
          <cell r="K23">
            <v>0.17616517002797008</v>
          </cell>
          <cell r="L23">
            <v>0.17430989241668851</v>
          </cell>
          <cell r="M23">
            <v>0.17064231327620308</v>
          </cell>
        </row>
        <row r="24">
          <cell r="B24" t="str">
            <v>EBIT Margin Adjusted (a)</v>
          </cell>
          <cell r="C24">
            <v>7.0008610792192935E-2</v>
          </cell>
          <cell r="D24">
            <v>5.175593426658557E-2</v>
          </cell>
          <cell r="E24">
            <v>7.8723646723646734E-2</v>
          </cell>
          <cell r="F24">
            <v>9.2326913066111557E-2</v>
          </cell>
          <cell r="G24">
            <v>0.11486622455979867</v>
          </cell>
          <cell r="H24">
            <v>0.10013652593992861</v>
          </cell>
          <cell r="I24">
            <v>0.10904472342094942</v>
          </cell>
          <cell r="J24">
            <v>0.15007170339279471</v>
          </cell>
          <cell r="K24">
            <v>0.17616517002797008</v>
          </cell>
          <cell r="L24">
            <v>0.17430989241668851</v>
          </cell>
          <cell r="M24">
            <v>0.17064231327620308</v>
          </cell>
        </row>
        <row r="25">
          <cell r="B25" t="str">
            <v>EBITDA</v>
          </cell>
          <cell r="C25">
            <v>53.182000000000016</v>
          </cell>
          <cell r="D25">
            <v>34.916000000000025</v>
          </cell>
          <cell r="E25">
            <v>35.81</v>
          </cell>
          <cell r="F25">
            <v>55.278000000000063</v>
          </cell>
          <cell r="G25">
            <v>67.530999999999949</v>
          </cell>
          <cell r="H25">
            <v>63.425000000000011</v>
          </cell>
          <cell r="I25">
            <v>73.091000000000008</v>
          </cell>
          <cell r="J25">
            <v>102.21100000000003</v>
          </cell>
          <cell r="K25">
            <v>135.5690000000001</v>
          </cell>
          <cell r="L25">
            <v>149.20299999999997</v>
          </cell>
          <cell r="M25">
            <v>163.07400000000007</v>
          </cell>
        </row>
        <row r="26">
          <cell r="B26" t="str">
            <v>EBITDA Margin</v>
          </cell>
          <cell r="C26">
            <v>0.15264638346727902</v>
          </cell>
          <cell r="D26">
            <v>0.10625684723067566</v>
          </cell>
          <cell r="E26">
            <v>0.10202279202279203</v>
          </cell>
          <cell r="F26">
            <v>0.14387818844351916</v>
          </cell>
          <cell r="G26">
            <v>0.15442716670477924</v>
          </cell>
          <cell r="H26">
            <v>0.133217811384163</v>
          </cell>
          <cell r="I26">
            <v>0.14337191055315812</v>
          </cell>
          <cell r="J26">
            <v>0.17875306051066808</v>
          </cell>
          <cell r="K26">
            <v>0.1995716178418962</v>
          </cell>
          <cell r="L26">
            <v>0.19575308318026763</v>
          </cell>
          <cell r="M26">
            <v>0.19046896005587677</v>
          </cell>
        </row>
        <row r="27">
          <cell r="B27" t="str">
            <v>Segment Operating Margin</v>
          </cell>
        </row>
        <row r="28">
          <cell r="B28" t="str">
            <v>Wholesale</v>
          </cell>
          <cell r="F28">
            <v>0.10923932124049152</v>
          </cell>
          <cell r="G28">
            <v>0.13383919338159256</v>
          </cell>
          <cell r="H28">
            <v>0.11227916056612981</v>
          </cell>
          <cell r="I28">
            <v>0.12557242990654205</v>
          </cell>
          <cell r="J28">
            <v>0.16932515337423312</v>
          </cell>
          <cell r="K28">
            <v>0.1897733263046916</v>
          </cell>
          <cell r="L28">
            <v>0.19362511893434822</v>
          </cell>
          <cell r="M28">
            <v>0.18970417146594584</v>
          </cell>
        </row>
        <row r="29">
          <cell r="B29" t="str">
            <v>Retail</v>
          </cell>
          <cell r="F29">
            <v>9.7142857142857135E-3</v>
          </cell>
          <cell r="G29">
            <v>1.9524262607040915E-2</v>
          </cell>
          <cell r="H29">
            <v>1.9707207207207211E-2</v>
          </cell>
          <cell r="I29">
            <v>2.6086118251928022E-2</v>
          </cell>
          <cell r="J29">
            <v>4.2201365187713308E-2</v>
          </cell>
          <cell r="K29">
            <v>5.8673469387755105E-2</v>
          </cell>
          <cell r="L29">
            <v>5.1238547675602306E-2</v>
          </cell>
          <cell r="M29">
            <v>5.5367711485843608E-2</v>
          </cell>
        </row>
        <row r="31">
          <cell r="B31" t="str">
            <v>Interest Expense</v>
          </cell>
          <cell r="C31">
            <v>45.470999999999997</v>
          </cell>
          <cell r="D31">
            <v>47.814</v>
          </cell>
          <cell r="E31">
            <v>49.503</v>
          </cell>
          <cell r="F31">
            <v>38.789000000000001</v>
          </cell>
          <cell r="G31">
            <v>11.943</v>
          </cell>
          <cell r="H31">
            <v>10.776999999999999</v>
          </cell>
          <cell r="I31">
            <v>8.8819999999999997</v>
          </cell>
          <cell r="J31">
            <v>5.8639999999999999</v>
          </cell>
          <cell r="K31">
            <v>4.2450000000000001</v>
          </cell>
          <cell r="L31">
            <v>1.8819999999999999</v>
          </cell>
          <cell r="M31">
            <v>1.254</v>
          </cell>
        </row>
        <row r="32">
          <cell r="B32" t="str">
            <v>% of Total Sales</v>
          </cell>
          <cell r="C32">
            <v>0.1305137772675086</v>
          </cell>
          <cell r="D32">
            <v>0.14550821667681071</v>
          </cell>
          <cell r="E32">
            <v>0.14103418803418805</v>
          </cell>
          <cell r="F32">
            <v>0.10096043727225402</v>
          </cell>
          <cell r="G32">
            <v>2.7310770638005948E-2</v>
          </cell>
          <cell r="H32">
            <v>2.2636000840159629E-2</v>
          </cell>
          <cell r="I32">
            <v>1.742251863475873E-2</v>
          </cell>
          <cell r="J32">
            <v>1.0255334032878628E-2</v>
          </cell>
          <cell r="K32">
            <v>6.2490799352274392E-3</v>
          </cell>
          <cell r="L32">
            <v>2.4691681973235372E-3</v>
          </cell>
          <cell r="M32">
            <v>1.4646606811022564E-3</v>
          </cell>
        </row>
        <row r="33">
          <cell r="B33" t="str">
            <v>Interest Coverage</v>
          </cell>
          <cell r="C33">
            <v>1.1695806118185221</v>
          </cell>
          <cell r="D33">
            <v>0.73024637135567039</v>
          </cell>
          <cell r="E33">
            <v>0.72339050158576257</v>
          </cell>
          <cell r="F33">
            <v>1.4250947433550765</v>
          </cell>
          <cell r="G33">
            <v>5.6544419325127651</v>
          </cell>
          <cell r="H33">
            <v>5.8852185209241918</v>
          </cell>
          <cell r="I33">
            <v>8.2291150641747368</v>
          </cell>
          <cell r="J33">
            <v>17.430252387448846</v>
          </cell>
          <cell r="K33">
            <v>31.936160188457031</v>
          </cell>
          <cell r="L33">
            <v>79.278958554729002</v>
          </cell>
          <cell r="M33">
            <v>130.043062200957</v>
          </cell>
        </row>
        <row r="35">
          <cell r="B35" t="str">
            <v>Net Income</v>
          </cell>
          <cell r="C35">
            <v>-20.812999999999978</v>
          </cell>
          <cell r="D35">
            <v>-34.172999999999981</v>
          </cell>
          <cell r="E35">
            <v>-28.735000000000003</v>
          </cell>
          <cell r="F35">
            <v>-17.254999999999939</v>
          </cell>
          <cell r="G35">
            <v>22.588999999999952</v>
          </cell>
          <cell r="H35">
            <v>22.115000000000013</v>
          </cell>
          <cell r="I35">
            <v>28.169000000000011</v>
          </cell>
          <cell r="J35">
            <v>48.702000000000034</v>
          </cell>
          <cell r="K35">
            <v>71.125000000000071</v>
          </cell>
          <cell r="L35">
            <v>81.347999999999985</v>
          </cell>
          <cell r="M35">
            <v>90.570000000000093</v>
          </cell>
        </row>
        <row r="36">
          <cell r="B36" t="str">
            <v>Growth</v>
          </cell>
          <cell r="D36">
            <v>0.64190650074472777</v>
          </cell>
          <cell r="E36">
            <v>-0.15913147806747963</v>
          </cell>
          <cell r="F36">
            <v>-0.39951278928136635</v>
          </cell>
          <cell r="G36">
            <v>-2.3091277890466548</v>
          </cell>
          <cell r="H36">
            <v>-2.098366461551826E-2</v>
          </cell>
          <cell r="I36">
            <v>0.2737508478408317</v>
          </cell>
          <cell r="J36">
            <v>0.72892186446093277</v>
          </cell>
          <cell r="K36">
            <v>0.4604123033961649</v>
          </cell>
          <cell r="L36">
            <v>0.14373286467486679</v>
          </cell>
          <cell r="M36">
            <v>0.11336480306830055</v>
          </cell>
        </row>
        <row r="37">
          <cell r="B37" t="str">
            <v>Operating EPS</v>
          </cell>
          <cell r="C37">
            <v>-0.52375559917459302</v>
          </cell>
          <cell r="D37">
            <v>-0.85995772308621421</v>
          </cell>
          <cell r="E37">
            <v>-0.60070964819568173</v>
          </cell>
          <cell r="F37">
            <v>-5.54381196839282E-2</v>
          </cell>
          <cell r="G37">
            <v>0.53247059378167394</v>
          </cell>
          <cell r="H37">
            <v>0.51792837766988109</v>
          </cell>
          <cell r="I37">
            <v>0.64473970313912665</v>
          </cell>
          <cell r="J37">
            <v>1.1190312884273814</v>
          </cell>
          <cell r="K37">
            <v>1.6296673916983886</v>
          </cell>
          <cell r="L37">
            <v>1.9237117790337452</v>
          </cell>
          <cell r="M37">
            <v>2.1984076896936768</v>
          </cell>
        </row>
        <row r="38">
          <cell r="B38" t="str">
            <v>Growth</v>
          </cell>
          <cell r="D38" t="str">
            <v>n/a</v>
          </cell>
          <cell r="E38" t="str">
            <v>n/a</v>
          </cell>
          <cell r="F38" t="str">
            <v>n/a</v>
          </cell>
          <cell r="G38" t="str">
            <v>n/a</v>
          </cell>
          <cell r="H38">
            <v>-2.7310834216237478E-2</v>
          </cell>
          <cell r="I38">
            <v>0.24484336239647586</v>
          </cell>
          <cell r="J38">
            <v>0.73563266381612724</v>
          </cell>
          <cell r="K38">
            <v>0.45631977278188907</v>
          </cell>
          <cell r="L38">
            <v>0.1804321475862094</v>
          </cell>
          <cell r="M38">
            <v>0.14279473341786564</v>
          </cell>
        </row>
        <row r="39">
          <cell r="B39" t="str">
            <v>Capital Expenditures</v>
          </cell>
          <cell r="C39">
            <v>3.6880000000000002</v>
          </cell>
          <cell r="D39">
            <v>3.883</v>
          </cell>
          <cell r="E39">
            <v>5.9180000000000001</v>
          </cell>
          <cell r="F39">
            <v>11</v>
          </cell>
          <cell r="G39">
            <v>11</v>
          </cell>
          <cell r="H39">
            <v>11.2</v>
          </cell>
          <cell r="I39">
            <v>13.3</v>
          </cell>
          <cell r="J39">
            <v>23.4</v>
          </cell>
          <cell r="K39">
            <v>29.7</v>
          </cell>
          <cell r="L39">
            <v>40.628</v>
          </cell>
          <cell r="M39">
            <v>42.064999999999998</v>
          </cell>
        </row>
        <row r="40">
          <cell r="B40" t="str">
            <v>Depreciation</v>
          </cell>
          <cell r="C40">
            <v>28.791</v>
          </cell>
          <cell r="D40">
            <v>22.286000000000001</v>
          </cell>
          <cell r="E40">
            <v>23.271000000000001</v>
          </cell>
          <cell r="F40">
            <v>19.506</v>
          </cell>
          <cell r="G40">
            <v>17</v>
          </cell>
          <cell r="H40">
            <v>17</v>
          </cell>
          <cell r="I40">
            <v>17.2</v>
          </cell>
          <cell r="J40">
            <v>16.100000000000001</v>
          </cell>
          <cell r="K40">
            <v>15.6</v>
          </cell>
          <cell r="L40">
            <v>16.344000000000001</v>
          </cell>
          <cell r="M40">
            <v>16.975000000000001</v>
          </cell>
        </row>
        <row r="41">
          <cell r="B41" t="str">
            <v>Amortization</v>
          </cell>
          <cell r="C41">
            <v>0</v>
          </cell>
          <cell r="D41">
            <v>0</v>
          </cell>
          <cell r="E41">
            <v>0</v>
          </cell>
          <cell r="F41">
            <v>0.3</v>
          </cell>
          <cell r="G41">
            <v>0.3</v>
          </cell>
          <cell r="H41">
            <v>0.3</v>
          </cell>
          <cell r="I41">
            <v>0.3</v>
          </cell>
          <cell r="J41">
            <v>0.3</v>
          </cell>
          <cell r="K41">
            <v>0.3</v>
          </cell>
          <cell r="L41">
            <v>0</v>
          </cell>
          <cell r="M41">
            <v>0</v>
          </cell>
        </row>
        <row r="42">
          <cell r="B42" t="str">
            <v>Dividends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0.04</v>
          </cell>
          <cell r="J42">
            <v>0.1</v>
          </cell>
          <cell r="K42">
            <v>0.14000000000000001</v>
          </cell>
          <cell r="L42">
            <v>0.10454749686664934</v>
          </cell>
          <cell r="M42">
            <v>0.15702218554298752</v>
          </cell>
        </row>
        <row r="43">
          <cell r="B43" t="str">
            <v>Balance Sheet Analysis</v>
          </cell>
          <cell r="C43">
            <v>1990</v>
          </cell>
          <cell r="D43">
            <v>1991</v>
          </cell>
          <cell r="E43">
            <v>1992</v>
          </cell>
          <cell r="F43">
            <v>1993</v>
          </cell>
          <cell r="G43" t="str">
            <v>1994</v>
          </cell>
          <cell r="H43" t="str">
            <v>1995</v>
          </cell>
          <cell r="I43" t="str">
            <v>1996</v>
          </cell>
          <cell r="J43" t="str">
            <v>1997</v>
          </cell>
          <cell r="K43" t="str">
            <v>1998</v>
          </cell>
          <cell r="L43" t="str">
            <v>1999</v>
          </cell>
          <cell r="M43" t="str">
            <v>2000</v>
          </cell>
        </row>
        <row r="44">
          <cell r="B44" t="str">
            <v xml:space="preserve">Cash </v>
          </cell>
          <cell r="D44">
            <v>2.9260000000000002</v>
          </cell>
          <cell r="E44">
            <v>3.1709999999999998</v>
          </cell>
          <cell r="F44">
            <v>4.8460000000000001</v>
          </cell>
          <cell r="G44">
            <v>6.7309999999999999</v>
          </cell>
          <cell r="H44">
            <v>7.5460000000000003</v>
          </cell>
          <cell r="I44">
            <v>9.0779999999999994</v>
          </cell>
          <cell r="J44">
            <v>21.866</v>
          </cell>
          <cell r="K44">
            <v>19.38</v>
          </cell>
          <cell r="L44">
            <v>12.028</v>
          </cell>
          <cell r="M44">
            <v>14.023999999999999</v>
          </cell>
        </row>
        <row r="45">
          <cell r="B45" t="str">
            <v>Accounts receivable</v>
          </cell>
          <cell r="D45">
            <v>38.484999999999999</v>
          </cell>
          <cell r="E45">
            <v>34.680999999999997</v>
          </cell>
          <cell r="F45">
            <v>37.442999999999998</v>
          </cell>
          <cell r="G45">
            <v>36.296999999999997</v>
          </cell>
          <cell r="H45">
            <v>35.334000000000003</v>
          </cell>
          <cell r="I45">
            <v>33.984000000000002</v>
          </cell>
          <cell r="J45">
            <v>32.231999999999999</v>
          </cell>
          <cell r="K45">
            <v>35.64</v>
          </cell>
          <cell r="L45">
            <v>35.85</v>
          </cell>
          <cell r="M45">
            <v>34.335999999999999</v>
          </cell>
        </row>
        <row r="46">
          <cell r="B46" t="str">
            <v>Inventory</v>
          </cell>
          <cell r="D46">
            <v>80.635999999999996</v>
          </cell>
          <cell r="E46">
            <v>84.162999999999997</v>
          </cell>
          <cell r="F46">
            <v>82.512</v>
          </cell>
          <cell r="G46">
            <v>103.32599999999999</v>
          </cell>
          <cell r="H46">
            <v>114.11499999999999</v>
          </cell>
          <cell r="I46">
            <v>107.224</v>
          </cell>
          <cell r="J46">
            <v>107.52500000000001</v>
          </cell>
          <cell r="K46">
            <v>114.364</v>
          </cell>
          <cell r="L46">
            <v>126.349</v>
          </cell>
          <cell r="M46">
            <v>159.006</v>
          </cell>
        </row>
        <row r="47">
          <cell r="B47" t="str">
            <v>Total Current Assets</v>
          </cell>
          <cell r="D47">
            <v>132.66299999999998</v>
          </cell>
          <cell r="E47">
            <v>144.63999999999999</v>
          </cell>
          <cell r="F47">
            <v>148.226</v>
          </cell>
          <cell r="G47">
            <v>167.471</v>
          </cell>
          <cell r="H47">
            <v>176.15300000000002</v>
          </cell>
          <cell r="I47">
            <v>168.28200000000001</v>
          </cell>
          <cell r="J47">
            <v>194.73099999999999</v>
          </cell>
          <cell r="K47">
            <v>187.899</v>
          </cell>
          <cell r="L47">
            <v>480.62200000000001</v>
          </cell>
          <cell r="M47">
            <v>543.57099999999991</v>
          </cell>
        </row>
        <row r="48">
          <cell r="B48" t="str">
            <v>PP&amp;E</v>
          </cell>
          <cell r="D48">
            <v>152.899</v>
          </cell>
          <cell r="E48">
            <v>174.899</v>
          </cell>
          <cell r="F48">
            <v>166.875</v>
          </cell>
          <cell r="G48">
            <v>164.61500000000001</v>
          </cell>
          <cell r="H48">
            <v>161.11500000000001</v>
          </cell>
          <cell r="I48">
            <v>159.63399999999999</v>
          </cell>
          <cell r="J48">
            <v>171.40600000000001</v>
          </cell>
          <cell r="K48">
            <v>188.17099999999999</v>
          </cell>
          <cell r="L48">
            <v>195.99799999999999</v>
          </cell>
          <cell r="M48">
            <v>214.49199999999999</v>
          </cell>
        </row>
        <row r="49">
          <cell r="B49" t="str">
            <v>Total assets</v>
          </cell>
          <cell r="D49">
            <v>388.12400000000002</v>
          </cell>
          <cell r="E49">
            <v>413.13300000000004</v>
          </cell>
          <cell r="F49">
            <v>396.233</v>
          </cell>
          <cell r="G49">
            <v>413.28700000000003</v>
          </cell>
          <cell r="H49">
            <v>408.28800000000007</v>
          </cell>
          <cell r="I49">
            <v>395.98099999999999</v>
          </cell>
          <cell r="J49">
            <v>427.78399999999999</v>
          </cell>
          <cell r="K49">
            <v>433.12300000000005</v>
          </cell>
          <cell r="L49">
            <v>450.63200000000001</v>
          </cell>
          <cell r="M49">
            <v>543.57099999999991</v>
          </cell>
        </row>
        <row r="50">
          <cell r="B50" t="str">
            <v>Accounts Payable</v>
          </cell>
          <cell r="D50">
            <v>23.077999999999999</v>
          </cell>
          <cell r="E50">
            <v>18.497</v>
          </cell>
          <cell r="F50">
            <v>25.065999999999999</v>
          </cell>
          <cell r="G50">
            <v>28.358000000000001</v>
          </cell>
          <cell r="H50">
            <v>32.408999999999999</v>
          </cell>
          <cell r="I50">
            <v>36.741999999999997</v>
          </cell>
          <cell r="J50">
            <v>41.171999999999997</v>
          </cell>
          <cell r="K50">
            <v>51.134999999999998</v>
          </cell>
          <cell r="L50">
            <v>59.378</v>
          </cell>
          <cell r="M50">
            <v>65.879000000000005</v>
          </cell>
        </row>
        <row r="51">
          <cell r="B51" t="str">
            <v>Total Current Liabilities</v>
          </cell>
          <cell r="D51">
            <v>62.856999999999999</v>
          </cell>
          <cell r="E51">
            <v>62.351999999999997</v>
          </cell>
          <cell r="F51">
            <v>57.429000000000002</v>
          </cell>
          <cell r="G51">
            <v>64.413000000000011</v>
          </cell>
          <cell r="H51">
            <v>53.471999999999994</v>
          </cell>
          <cell r="I51">
            <v>59.134999999999998</v>
          </cell>
          <cell r="J51">
            <v>63.31</v>
          </cell>
          <cell r="K51">
            <v>73.611999999999995</v>
          </cell>
          <cell r="L51">
            <v>86.246000000000009</v>
          </cell>
          <cell r="M51">
            <v>108.26500000000001</v>
          </cell>
        </row>
        <row r="52">
          <cell r="B52" t="str">
            <v>ST &amp; LT debt</v>
          </cell>
          <cell r="D52">
            <v>323.80599999999998</v>
          </cell>
          <cell r="E52">
            <v>333.96099999999996</v>
          </cell>
          <cell r="F52">
            <v>161.672</v>
          </cell>
          <cell r="G52">
            <v>152.59399999999999</v>
          </cell>
          <cell r="H52">
            <v>127.89700000000001</v>
          </cell>
          <cell r="I52">
            <v>82.427000000000007</v>
          </cell>
          <cell r="J52">
            <v>65.185000000000002</v>
          </cell>
          <cell r="K52">
            <v>12.359</v>
          </cell>
          <cell r="L52">
            <v>35.302</v>
          </cell>
          <cell r="M52">
            <v>17.907</v>
          </cell>
        </row>
        <row r="53">
          <cell r="B53" t="str">
            <v>Stockholders equity</v>
          </cell>
          <cell r="D53">
            <v>11.807</v>
          </cell>
          <cell r="E53">
            <v>-22.488</v>
          </cell>
          <cell r="F53">
            <v>116.053</v>
          </cell>
          <cell r="G53">
            <v>171.166</v>
          </cell>
          <cell r="H53">
            <v>193.09800000000001</v>
          </cell>
          <cell r="I53">
            <v>220.29300000000001</v>
          </cell>
          <cell r="J53">
            <v>265.43400000000003</v>
          </cell>
          <cell r="K53">
            <v>314.32</v>
          </cell>
          <cell r="L53">
            <v>350.53500000000003</v>
          </cell>
          <cell r="M53">
            <v>390.50900000000001</v>
          </cell>
        </row>
        <row r="55">
          <cell r="B55" t="str">
            <v>Days' Sales in Receivables</v>
          </cell>
          <cell r="E55">
            <v>38.042150997150998</v>
          </cell>
          <cell r="F55">
            <v>34.259838625715766</v>
          </cell>
          <cell r="G55">
            <v>30.774182483420994</v>
          </cell>
          <cell r="H55">
            <v>27.457797731568995</v>
          </cell>
          <cell r="I55">
            <v>24.814701843860345</v>
          </cell>
          <cell r="J55">
            <v>21.133997901364111</v>
          </cell>
          <cell r="K55">
            <v>18.234417783011921</v>
          </cell>
          <cell r="L55">
            <v>17.117456048281294</v>
          </cell>
          <cell r="M55">
            <v>14.960732143461996</v>
          </cell>
        </row>
        <row r="56">
          <cell r="B56" t="str">
            <v>Days' Sales in Inventory</v>
          </cell>
          <cell r="E56">
            <v>141.32509527143549</v>
          </cell>
          <cell r="F56">
            <v>126.37385749896139</v>
          </cell>
          <cell r="G56">
            <v>127.26242026266416</v>
          </cell>
          <cell r="H56">
            <v>136.34983232430127</v>
          </cell>
          <cell r="I56">
            <v>132.59270474314786</v>
          </cell>
          <cell r="J56">
            <v>121.11153430160692</v>
          </cell>
          <cell r="K56">
            <v>111.32697679149736</v>
          </cell>
          <cell r="L56">
            <v>107.87439776639476</v>
          </cell>
          <cell r="M56">
            <v>114.31463075197395</v>
          </cell>
        </row>
        <row r="57">
          <cell r="B57" t="str">
            <v>Days' Purchases in Payables</v>
          </cell>
          <cell r="E57">
            <v>35.653073355481105</v>
          </cell>
          <cell r="F57">
            <v>33.029694640631497</v>
          </cell>
          <cell r="G57">
            <v>36.584915572232646</v>
          </cell>
          <cell r="H57">
            <v>38.104912416935242</v>
          </cell>
          <cell r="I57">
            <v>41.424774331199728</v>
          </cell>
          <cell r="J57">
            <v>43.940991965389358</v>
          </cell>
          <cell r="K57">
            <v>46.312612372369721</v>
          </cell>
          <cell r="L57">
            <v>49.525880697584192</v>
          </cell>
          <cell r="M57">
            <v>50.178576524329351</v>
          </cell>
        </row>
        <row r="58">
          <cell r="B58" t="str">
            <v>Cash Conversion Cycle (b)</v>
          </cell>
          <cell r="E58">
            <v>143.71417291310539</v>
          </cell>
          <cell r="F58">
            <v>127.60400148404565</v>
          </cell>
          <cell r="G58">
            <v>121.45168717385251</v>
          </cell>
          <cell r="H58">
            <v>125.70271763893504</v>
          </cell>
          <cell r="I58">
            <v>115.98263225580848</v>
          </cell>
          <cell r="J58">
            <v>98.304540237581691</v>
          </cell>
          <cell r="K58">
            <v>83.248782202139552</v>
          </cell>
          <cell r="L58">
            <v>75.465973117091863</v>
          </cell>
          <cell r="M58">
            <v>79.096786371106589</v>
          </cell>
        </row>
        <row r="59">
          <cell r="B59" t="str">
            <v>Working Capital Turnover</v>
          </cell>
          <cell r="F59">
            <v>2.8604118660466615</v>
          </cell>
          <cell r="G59">
            <v>3.0053102471727651</v>
          </cell>
          <cell r="H59">
            <v>2.9036762836617087</v>
          </cell>
          <cell r="I59">
            <v>3.1470229024890974</v>
          </cell>
          <cell r="J59">
            <v>3.7129516003825529</v>
          </cell>
          <cell r="K59">
            <v>4.3844485209853223</v>
          </cell>
          <cell r="L59">
            <v>4.8366168873708357</v>
          </cell>
          <cell r="M59">
            <v>4.6145996158110858</v>
          </cell>
        </row>
        <row r="61">
          <cell r="B61" t="str">
            <v>Current Ratio</v>
          </cell>
          <cell r="E61">
            <v>2.3197331280472158</v>
          </cell>
          <cell r="F61">
            <v>2.5810304898222149</v>
          </cell>
          <cell r="G61">
            <v>2.5999565305140262</v>
          </cell>
          <cell r="H61">
            <v>3.2943035607420712</v>
          </cell>
          <cell r="I61">
            <v>2.8457258814576818</v>
          </cell>
          <cell r="J61">
            <v>3.0758332017058914</v>
          </cell>
          <cell r="K61">
            <v>2.5525593653208718</v>
          </cell>
          <cell r="L61">
            <v>5.5726874289822135</v>
          </cell>
          <cell r="M61">
            <v>5.0207453932480473</v>
          </cell>
        </row>
        <row r="62">
          <cell r="B62" t="str">
            <v>Inventory Turnover</v>
          </cell>
          <cell r="E62">
            <v>2.5826977105443603</v>
          </cell>
          <cell r="F62">
            <v>2.8882555872206384</v>
          </cell>
          <cell r="G62">
            <v>2.868089411207611</v>
          </cell>
          <cell r="H62">
            <v>2.6769376520527413</v>
          </cell>
          <cell r="I62">
            <v>2.7527909677011286</v>
          </cell>
          <cell r="J62">
            <v>3.0137509371405686</v>
          </cell>
          <cell r="K62">
            <v>3.2786303061440631</v>
          </cell>
          <cell r="L62">
            <v>3.3835646599892812</v>
          </cell>
          <cell r="M62">
            <v>3.1929421247218372</v>
          </cell>
        </row>
        <row r="63">
          <cell r="B63" t="str">
            <v>Debt-to-Capital</v>
          </cell>
          <cell r="F63">
            <v>0.58212980466288589</v>
          </cell>
          <cell r="G63">
            <v>0.47131826043983199</v>
          </cell>
          <cell r="H63">
            <v>0.39843922802535864</v>
          </cell>
          <cell r="I63">
            <v>0.27228792283298098</v>
          </cell>
          <cell r="J63">
            <v>0.19716047777048504</v>
          </cell>
          <cell r="K63">
            <v>3.7832245109113233E-2</v>
          </cell>
          <cell r="L63">
            <v>9.1494594867780943E-2</v>
          </cell>
          <cell r="M63">
            <v>4.384500117527227E-2</v>
          </cell>
        </row>
        <row r="64">
          <cell r="B64" t="str">
            <v>Net Debt-to-Capital</v>
          </cell>
          <cell r="F64">
            <v>0.56468088936898009</v>
          </cell>
          <cell r="G64">
            <v>0.45052816901408455</v>
          </cell>
          <cell r="H64">
            <v>0.37493107369273665</v>
          </cell>
          <cell r="I64">
            <v>0.24229981501057082</v>
          </cell>
          <cell r="J64">
            <v>0.13102392784443725</v>
          </cell>
          <cell r="K64">
            <v>-2.1492045708478354E-2</v>
          </cell>
          <cell r="L64">
            <v>6.0320809046307114E-2</v>
          </cell>
          <cell r="M64">
            <v>9.5074629789234522E-3</v>
          </cell>
        </row>
        <row r="65">
          <cell r="B65" t="str">
            <v>Book Value Per Share</v>
          </cell>
          <cell r="D65">
            <v>0.29712114348985857</v>
          </cell>
          <cell r="E65">
            <v>-0.56590668881171668</v>
          </cell>
          <cell r="F65">
            <v>2.9204539735265991</v>
          </cell>
          <cell r="G65">
            <v>4.0347453032553098</v>
          </cell>
          <cell r="H65">
            <v>4.4016959584216648</v>
          </cell>
          <cell r="I65">
            <v>5.0421258626017096</v>
          </cell>
          <cell r="J65">
            <v>6.0444049733570164</v>
          </cell>
          <cell r="K65">
            <v>7.1216240710531089</v>
          </cell>
          <cell r="L65">
            <v>8.2894270106652179</v>
          </cell>
          <cell r="M65">
            <v>9.4788339239768931</v>
          </cell>
        </row>
        <row r="66">
          <cell r="B66" t="str">
            <v>Return Analysis</v>
          </cell>
          <cell r="D66">
            <v>1991</v>
          </cell>
          <cell r="E66">
            <v>1992</v>
          </cell>
          <cell r="F66">
            <v>1993</v>
          </cell>
          <cell r="G66" t="str">
            <v>1994</v>
          </cell>
          <cell r="H66" t="str">
            <v>1995</v>
          </cell>
          <cell r="I66" t="str">
            <v>1996</v>
          </cell>
          <cell r="J66" t="str">
            <v>1997</v>
          </cell>
          <cell r="K66" t="str">
            <v>1998</v>
          </cell>
          <cell r="L66" t="str">
            <v>1999</v>
          </cell>
          <cell r="M66" t="str">
            <v>2000</v>
          </cell>
        </row>
        <row r="67">
          <cell r="B67" t="str">
            <v>EBITDA Margin</v>
          </cell>
          <cell r="D67">
            <v>0.10625684723067566</v>
          </cell>
          <cell r="E67">
            <v>0.10202279202279203</v>
          </cell>
          <cell r="F67">
            <v>0.14387818844351916</v>
          </cell>
          <cell r="G67">
            <v>0.15442716670477924</v>
          </cell>
          <cell r="H67">
            <v>0.133217811384163</v>
          </cell>
          <cell r="I67">
            <v>0.14337191055315812</v>
          </cell>
          <cell r="J67">
            <v>0.17875306051066808</v>
          </cell>
          <cell r="K67">
            <v>0.1995716178418962</v>
          </cell>
          <cell r="L67">
            <v>0.19575308318026763</v>
          </cell>
          <cell r="M67">
            <v>0.19046896005587677</v>
          </cell>
        </row>
        <row r="68">
          <cell r="B68" t="str">
            <v>Asset Turnover</v>
          </cell>
          <cell r="D68">
            <v>1.6932732837959004</v>
          </cell>
          <cell r="E68">
            <v>0.87612339112170001</v>
          </cell>
          <cell r="F68">
            <v>0.94938507424329677</v>
          </cell>
          <cell r="G68">
            <v>1.080393319497974</v>
          </cell>
          <cell r="H68">
            <v>1.1589933968292609</v>
          </cell>
          <cell r="I68">
            <v>1.2677350488455976</v>
          </cell>
          <cell r="J68">
            <v>1.3882600013353326</v>
          </cell>
          <cell r="K68">
            <v>1.5781030935977987</v>
          </cell>
          <cell r="L68">
            <v>1.724912447454328</v>
          </cell>
          <cell r="M68">
            <v>1.7223263257101418</v>
          </cell>
        </row>
        <row r="69">
          <cell r="B69" t="str">
            <v>Return on Total Assets (ROTA)</v>
          </cell>
          <cell r="D69">
            <v>0.1799218806360855</v>
          </cell>
          <cell r="E69">
            <v>8.9384554518712481E-2</v>
          </cell>
          <cell r="F69">
            <v>0.13659580461744147</v>
          </cell>
          <cell r="G69">
            <v>0.16684207925684344</v>
          </cell>
          <cell r="H69">
            <v>0.15439856373429087</v>
          </cell>
          <cell r="I69">
            <v>0.18175759602819455</v>
          </cell>
          <cell r="J69">
            <v>0.24815572402323485</v>
          </cell>
          <cell r="K69">
            <v>0.31494458751061399</v>
          </cell>
          <cell r="L69">
            <v>0.33765692980520612</v>
          </cell>
          <cell r="M69">
            <v>0.32804970413487</v>
          </cell>
        </row>
        <row r="71">
          <cell r="B71" t="str">
            <v>Return on Equity (ROE)</v>
          </cell>
          <cell r="G71">
            <v>0.15729460794724551</v>
          </cell>
          <cell r="H71">
            <v>0.1214229240331189</v>
          </cell>
          <cell r="I71">
            <v>0.13628259928251951</v>
          </cell>
          <cell r="J71">
            <v>0.2005323978284099</v>
          </cell>
          <cell r="K71">
            <v>0.24536268831262939</v>
          </cell>
          <cell r="L71">
            <v>0.24470899669852819</v>
          </cell>
          <cell r="M71">
            <v>0.24443892670340783</v>
          </cell>
        </row>
        <row r="72">
          <cell r="B72" t="str">
            <v>Return on Capital (ROC)</v>
          </cell>
          <cell r="D72">
            <v>8.4664768781235494E-2</v>
          </cell>
          <cell r="E72">
            <v>7.4321344567136616E-3</v>
          </cell>
          <cell r="F72">
            <v>2.9406610417701571E-2</v>
          </cell>
          <cell r="G72">
            <v>9.8328696299965559E-2</v>
          </cell>
          <cell r="H72">
            <v>8.9725511530244842E-2</v>
          </cell>
          <cell r="I72">
            <v>0.10739121699982812</v>
          </cell>
          <cell r="J72">
            <v>0.16497585609205162</v>
          </cell>
          <cell r="K72">
            <v>0.22425575542547843</v>
          </cell>
          <cell r="L72">
            <v>0.23157666093491991</v>
          </cell>
          <cell r="M72">
            <v>0.23001191887921543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rnings Model"/>
      <sheetName val="1Q04"/>
      <sheetName val="Valuation"/>
      <sheetName val="ROIC"/>
      <sheetName val="Valuation By Property"/>
      <sheetName val="DCF"/>
      <sheetName val="FCF"/>
      <sheetName val="EBITDA Mix"/>
      <sheetName val="Property Portfolio"/>
      <sheetName val="Property Returns"/>
      <sheetName val="Holders"/>
      <sheetName val="Debt"/>
      <sheetName val="Horseshoe Analysis"/>
      <sheetName val="3Q03"/>
      <sheetName val="2Q03"/>
      <sheetName val="3Q04"/>
      <sheetName val="2Q04"/>
      <sheetName val="4Q03"/>
      <sheetName val="2Q03 Comp"/>
      <sheetName val="4Q03 Comp"/>
      <sheetName val="3Q03 Comp"/>
      <sheetName val="CoverSheet"/>
      <sheetName val="Capital Projects"/>
      <sheetName val="Guidance"/>
      <sheetName val="Current Trends"/>
      <sheetName val="1Q08"/>
      <sheetName val="EV-EBITDA Valuation"/>
      <sheetName val="Valuation Scenarios"/>
      <sheetName val="Estimate Changes"/>
      <sheetName val="EV, Sensitivity"/>
      <sheetName val="4Q07"/>
      <sheetName val="3Q07"/>
      <sheetName val="2Q07"/>
      <sheetName val="1Q07"/>
      <sheetName val="4Q06"/>
      <sheetName val="3Q06"/>
      <sheetName val="1Q05"/>
      <sheetName val="__FDSCACHE__"/>
      <sheetName val="1Q06"/>
      <sheetName val="2Q06"/>
      <sheetName val="4Q05"/>
      <sheetName val="3Q05"/>
      <sheetName val="2Q05"/>
      <sheetName val="4Q04"/>
      <sheetName val="Margins at Top Props"/>
      <sheetName val="1Q06 Guidance"/>
      <sheetName val="ASCA - AZR Transaction"/>
      <sheetName val="2Q10"/>
      <sheetName val="Price Target"/>
      <sheetName val="JPM Valuation"/>
      <sheetName val="Guidance Post 2Q10 Earnings"/>
      <sheetName val="Risk-Reward Analysis"/>
      <sheetName val="Historical Valuation"/>
      <sheetName val="Relative Valuation"/>
      <sheetName val="Summary Estimates and Charts"/>
      <sheetName val="1Q10"/>
      <sheetName val="4Q09"/>
      <sheetName val="3Q09"/>
      <sheetName val="2Q09"/>
      <sheetName val="1Q09"/>
      <sheetName val="4Q08"/>
      <sheetName val="3Q08"/>
      <sheetName val="2Q08"/>
      <sheetName val="GPS - Ameristar Casinos"/>
      <sheetName val="4Q10"/>
      <sheetName val="Guidance Post 4Q10 Earnings"/>
      <sheetName val="3Q10"/>
    </sheetNames>
    <sheetDataSet>
      <sheetData sheetId="0" refreshError="1">
        <row r="56">
          <cell r="AC56">
            <v>27.749749999999999</v>
          </cell>
        </row>
        <row r="61">
          <cell r="D61">
            <v>1.0067773303211873E-2</v>
          </cell>
          <cell r="I61">
            <v>0.17412178476716206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EPS model"/>
      <sheetName val="Summary"/>
      <sheetName val="Balance Sheet"/>
      <sheetName val="Cash flow"/>
      <sheetName val="Comp Table"/>
      <sheetName val="ROE"/>
      <sheetName val="ROIC"/>
      <sheetName val="DCF"/>
      <sheetName val="Operating Margins"/>
      <sheetName val="Store Count"/>
      <sheetName val="Operating Stats"/>
      <sheetName val="Working Capital"/>
      <sheetName val="Depreciation Schedule"/>
      <sheetName val="Amortization Schedule"/>
      <sheetName val="Price Comparison"/>
      <sheetName val="New Store Economics"/>
      <sheetName val="Ratio Analysis"/>
      <sheetName val="Operating Margin Comparison"/>
      <sheetName val="Graphs for Report"/>
      <sheetName val="Store Growth"/>
      <sheetName val="Sales Growth"/>
      <sheetName val="Quarterly Sales Flow"/>
      <sheetName val="Womens NPD Data"/>
      <sheetName val="Mens NPD Data"/>
      <sheetName val="AEOS Competition table"/>
      <sheetName val="Updated store locations"/>
      <sheetName val="Store Locations"/>
      <sheetName val="Net Income"/>
      <sheetName val="AEOSQTR"/>
      <sheetName val="EPS"/>
      <sheetName val="Income-Summary"/>
      <sheetName val="Variables"/>
      <sheetName val="SG&amp;A"/>
      <sheetName val="Chart1"/>
      <sheetName val="AEOS DCF"/>
      <sheetName val="Am. Eagle Outfi-Retail"/>
      <sheetName val="Val Data"/>
      <sheetName val="comps"/>
      <sheetName val="BS"/>
      <sheetName val="CF"/>
      <sheetName val="workcap"/>
      <sheetName val="dep"/>
      <sheetName val="equity"/>
      <sheetName val="debt_interest"/>
      <sheetName val="shares"/>
      <sheetName val="CF-historical"/>
      <sheetName val="BBBY qtr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e made too much pricing - 10"/>
    </sheetNames>
    <definedNames>
      <definedName name="ASMAcquistion" refersTo="#REF!"/>
      <definedName name="Europe" refersTo="#REF!"/>
      <definedName name="ExpandModel" refersTo="#REF!"/>
      <definedName name="ExpandOutputs" refersTo="#REF!"/>
      <definedName name="ExpandVPeriods" refersTo="#REF!"/>
      <definedName name="ExportFile" refersTo="#REF!"/>
      <definedName name="ImportFile" refersTo="#REF!"/>
      <definedName name="ProImportExport.ImportFile" refersTo="#REF!"/>
      <definedName name="ProImportExport.SaveNewFile" refersTo="#REF!"/>
      <definedName name="SaveNewFile" refersTo="#REF!"/>
      <definedName name="X" refersTo="#REF!"/>
    </defined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ZR Earnings Model"/>
      <sheetName val="valuation"/>
      <sheetName val="Property Valuation "/>
      <sheetName val="DCF Model (2)"/>
      <sheetName val="DCF Model"/>
      <sheetName val="Chart1"/>
      <sheetName val="EBITDAR Mix"/>
      <sheetName val="96 AC Expansion Return"/>
      <sheetName val="Expansion"/>
      <sheetName val="FCF"/>
      <sheetName val="Sheet1"/>
      <sheetName val="Property Portfolio"/>
      <sheetName val="Qtlry Quickie"/>
      <sheetName val="3Q00 Comp"/>
      <sheetName val="2Q00 Comparison"/>
      <sheetName val="AZRold"/>
      <sheetName val="Prop. Comps"/>
      <sheetName val="AZR bkup 2-99"/>
      <sheetName val="AZR Old(3-98)"/>
      <sheetName val="LV Tr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troduction"/>
      <sheetName val="Annual"/>
      <sheetName val="Act - Exp"/>
      <sheetName val="Quarter"/>
      <sheetName val="Balance Sheet"/>
      <sheetName val="Cash Flow"/>
      <sheetName val="Analysis"/>
      <sheetName val="Units"/>
      <sheetName val="Events"/>
      <sheetName val="Report Template"/>
      <sheetName val="Earn._Fin.Sum"/>
      <sheetName val="Analysis - Old"/>
      <sheetName val="#REF"/>
      <sheetName val="RPT - BS"/>
      <sheetName val="RPT - CF"/>
      <sheetName val="Centex-Basic Mate"/>
      <sheetName val="RPT - Events"/>
      <sheetName val="GPS - Centex"/>
    </sheetNames>
    <sheetDataSet>
      <sheetData sheetId="0"/>
      <sheetData sheetId="1" refreshError="1"/>
      <sheetData sheetId="2"/>
      <sheetData sheetId="3"/>
      <sheetData sheetId="4" refreshError="1">
        <row r="2">
          <cell r="B2" t="str">
            <v>JP Morgan</v>
          </cell>
        </row>
        <row r="3">
          <cell r="B3" t="str">
            <v>Michael Rehaut - Building Research</v>
          </cell>
        </row>
        <row r="4">
          <cell r="B4" t="str">
            <v>(212) 622-6696</v>
          </cell>
        </row>
        <row r="6">
          <cell r="B6" t="str">
            <v>Centex Corp. (CTX)</v>
          </cell>
        </row>
        <row r="7">
          <cell r="B7" t="str">
            <v>Balance Sheet (March FY) ($ in mil, except per share data)</v>
          </cell>
        </row>
        <row r="8">
          <cell r="B8" t="str">
            <v>(March Fiscal Year)</v>
          </cell>
          <cell r="C8" t="str">
            <v>1Q98</v>
          </cell>
          <cell r="D8" t="str">
            <v>2Q98</v>
          </cell>
          <cell r="E8" t="str">
            <v>3Q98</v>
          </cell>
          <cell r="F8" t="str">
            <v>4Q98</v>
          </cell>
          <cell r="G8" t="str">
            <v>1Q99</v>
          </cell>
          <cell r="H8" t="str">
            <v>2Q99</v>
          </cell>
          <cell r="I8" t="str">
            <v>3Q99</v>
          </cell>
          <cell r="J8" t="str">
            <v>4Q99</v>
          </cell>
          <cell r="K8" t="str">
            <v>1Q00</v>
          </cell>
        </row>
        <row r="9">
          <cell r="B9" t="str">
            <v>ASSETS</v>
          </cell>
        </row>
        <row r="10">
          <cell r="B10" t="str">
            <v>Current Assets</v>
          </cell>
        </row>
        <row r="11">
          <cell r="B11" t="str">
            <v xml:space="preserve">       Total Cash </v>
          </cell>
        </row>
        <row r="12">
          <cell r="B12" t="str">
            <v xml:space="preserve">       HB Cash</v>
          </cell>
        </row>
        <row r="13">
          <cell r="B13" t="str">
            <v xml:space="preserve">       Restricted Cash</v>
          </cell>
        </row>
        <row r="14">
          <cell r="B14" t="str">
            <v xml:space="preserve">   Total Cash and Equivalents</v>
          </cell>
          <cell r="C14">
            <v>42.201999999999998</v>
          </cell>
          <cell r="D14">
            <v>70.751999999999995</v>
          </cell>
          <cell r="E14">
            <v>89.498999999999995</v>
          </cell>
          <cell r="F14">
            <v>87.491</v>
          </cell>
          <cell r="G14">
            <v>73.884</v>
          </cell>
          <cell r="H14">
            <v>70.334000000000003</v>
          </cell>
          <cell r="I14">
            <v>86.006</v>
          </cell>
          <cell r="J14">
            <v>111.268</v>
          </cell>
          <cell r="K14">
            <v>105.3</v>
          </cell>
        </row>
        <row r="15">
          <cell r="B15" t="str">
            <v xml:space="preserve">   Accounts Receivable</v>
          </cell>
        </row>
        <row r="16">
          <cell r="B16" t="str">
            <v xml:space="preserve">       Resid. Mtg Loans Held for Investment</v>
          </cell>
        </row>
        <row r="17">
          <cell r="B17" t="str">
            <v xml:space="preserve">       Resid. Mtg Loans Held for Sale</v>
          </cell>
        </row>
        <row r="18">
          <cell r="B18" t="str">
            <v xml:space="preserve">       Residential Mortgage Loans </v>
          </cell>
          <cell r="J18">
            <v>1395.616</v>
          </cell>
        </row>
        <row r="19">
          <cell r="B19" t="str">
            <v xml:space="preserve">       Construction Contracts</v>
          </cell>
          <cell r="J19">
            <v>232.779</v>
          </cell>
        </row>
        <row r="20">
          <cell r="B20" t="str">
            <v xml:space="preserve">       Trade Receivables</v>
          </cell>
          <cell r="J20">
            <v>226.999</v>
          </cell>
        </row>
        <row r="21">
          <cell r="B21" t="str">
            <v xml:space="preserve">       Other (Construction Contracts and Trade)</v>
          </cell>
          <cell r="J21">
            <v>459.77800000000002</v>
          </cell>
        </row>
        <row r="22">
          <cell r="B22" t="str">
            <v xml:space="preserve">   Total Accounts Receivable</v>
          </cell>
          <cell r="C22">
            <v>1041.934</v>
          </cell>
          <cell r="D22">
            <v>1093.296</v>
          </cell>
          <cell r="E22">
            <v>1172.403</v>
          </cell>
          <cell r="F22">
            <v>337.55799999999999</v>
          </cell>
          <cell r="G22">
            <v>381.66199999999998</v>
          </cell>
          <cell r="H22">
            <v>417.334</v>
          </cell>
          <cell r="I22">
            <v>350.11700000000002</v>
          </cell>
          <cell r="J22">
            <v>1855.394</v>
          </cell>
          <cell r="K22">
            <v>1817.5</v>
          </cell>
        </row>
        <row r="23">
          <cell r="B23" t="str">
            <v xml:space="preserve">   Inventory</v>
          </cell>
        </row>
        <row r="24">
          <cell r="B24" t="str">
            <v xml:space="preserve">       Housing Projects</v>
          </cell>
          <cell r="J24">
            <v>1412.788</v>
          </cell>
        </row>
        <row r="25">
          <cell r="B25" t="str">
            <v xml:space="preserve">       Land Held for Development and Sale</v>
          </cell>
          <cell r="J25">
            <v>74.081000000000003</v>
          </cell>
        </row>
        <row r="26">
          <cell r="B26" t="str">
            <v xml:space="preserve">       Construction Products and Other</v>
          </cell>
          <cell r="J26">
            <v>46.95</v>
          </cell>
        </row>
        <row r="27">
          <cell r="B27" t="str">
            <v xml:space="preserve">   Inventories</v>
          </cell>
          <cell r="C27">
            <v>1086.299</v>
          </cell>
          <cell r="D27">
            <v>1093.991</v>
          </cell>
          <cell r="E27">
            <v>1152.8789999999999</v>
          </cell>
          <cell r="F27">
            <v>1064.5540000000001</v>
          </cell>
          <cell r="G27">
            <v>1204.0730000000001</v>
          </cell>
          <cell r="H27">
            <v>1301.6179999999999</v>
          </cell>
          <cell r="I27">
            <v>1541.106</v>
          </cell>
          <cell r="J27">
            <v>1533.819</v>
          </cell>
          <cell r="K27">
            <v>1681.4</v>
          </cell>
        </row>
        <row r="28">
          <cell r="B28" t="str">
            <v xml:space="preserve">   Investments - CTX Development Co.</v>
          </cell>
          <cell r="C28">
            <v>37.792000000000002</v>
          </cell>
          <cell r="D28">
            <v>30.977</v>
          </cell>
          <cell r="E28">
            <v>34.338999999999999</v>
          </cell>
          <cell r="F28">
            <v>34.526000000000003</v>
          </cell>
          <cell r="G28">
            <v>55.145000000000003</v>
          </cell>
          <cell r="H28">
            <v>34.526000000000003</v>
          </cell>
          <cell r="I28">
            <v>63.984000000000002</v>
          </cell>
          <cell r="J28">
            <v>63.207000000000001</v>
          </cell>
          <cell r="K28">
            <v>63.1</v>
          </cell>
        </row>
        <row r="29">
          <cell r="B29" t="str">
            <v xml:space="preserve">   Investments - JVs &amp; Other</v>
          </cell>
          <cell r="C29">
            <v>37.792000000000002</v>
          </cell>
          <cell r="D29">
            <v>30.977</v>
          </cell>
          <cell r="E29">
            <v>34.338999999999999</v>
          </cell>
          <cell r="F29">
            <v>7.5579999999999998</v>
          </cell>
          <cell r="G29">
            <v>32.646999999999998</v>
          </cell>
          <cell r="H29">
            <v>7.5579999999999998</v>
          </cell>
          <cell r="I29">
            <v>40.265000000000001</v>
          </cell>
          <cell r="J29">
            <v>48.594000000000001</v>
          </cell>
          <cell r="K29">
            <v>49.7</v>
          </cell>
        </row>
        <row r="30">
          <cell r="B30" t="str">
            <v xml:space="preserve">   Investments - Unconsol. JV</v>
          </cell>
          <cell r="F30">
            <v>146.59200000000001</v>
          </cell>
          <cell r="G30">
            <v>140.459</v>
          </cell>
          <cell r="H30">
            <v>146.59200000000001</v>
          </cell>
          <cell r="I30">
            <v>181.422</v>
          </cell>
          <cell r="J30">
            <v>48.594000000000001</v>
          </cell>
          <cell r="K30">
            <v>49.7</v>
          </cell>
        </row>
        <row r="31">
          <cell r="B31" t="str">
            <v>Total Current Assets</v>
          </cell>
          <cell r="C31">
            <v>2208.2269999999999</v>
          </cell>
          <cell r="D31">
            <v>2289.0159999999996</v>
          </cell>
          <cell r="E31">
            <v>2449.12</v>
          </cell>
          <cell r="F31">
            <v>1678.2790000000002</v>
          </cell>
          <cell r="G31">
            <v>1714.7640000000001</v>
          </cell>
          <cell r="H31">
            <v>1977.9620000000002</v>
          </cell>
          <cell r="I31">
            <v>2262.9</v>
          </cell>
          <cell r="J31">
            <v>3612.2819999999997</v>
          </cell>
          <cell r="K31">
            <v>3716.9999999999995</v>
          </cell>
        </row>
        <row r="32">
          <cell r="B32" t="str">
            <v xml:space="preserve">   Property, Plant and Equipment   </v>
          </cell>
          <cell r="C32">
            <v>297.54399999999998</v>
          </cell>
          <cell r="D32">
            <v>301.43200000000002</v>
          </cell>
          <cell r="E32">
            <v>302.161</v>
          </cell>
          <cell r="F32">
            <v>276.00799999999998</v>
          </cell>
          <cell r="G32">
            <v>265.303</v>
          </cell>
          <cell r="H32">
            <v>270.66300000000001</v>
          </cell>
          <cell r="I32">
            <v>277.18700000000001</v>
          </cell>
          <cell r="J32">
            <v>313.65499999999997</v>
          </cell>
          <cell r="K32">
            <v>322.3</v>
          </cell>
        </row>
        <row r="33">
          <cell r="B33" t="str">
            <v xml:space="preserve">   Deferred Income Taxes</v>
          </cell>
          <cell r="C33">
            <v>191.56</v>
          </cell>
          <cell r="D33">
            <v>180.291</v>
          </cell>
          <cell r="E33">
            <v>166.279</v>
          </cell>
          <cell r="F33">
            <v>144.09</v>
          </cell>
          <cell r="G33">
            <v>124.398</v>
          </cell>
          <cell r="H33">
            <v>102.825</v>
          </cell>
          <cell r="I33">
            <v>90.784999999999997</v>
          </cell>
          <cell r="J33">
            <v>49.106999999999999</v>
          </cell>
          <cell r="K33">
            <v>34.6</v>
          </cell>
        </row>
        <row r="34">
          <cell r="B34" t="str">
            <v xml:space="preserve">   Goodwill</v>
          </cell>
          <cell r="C34">
            <v>108.508</v>
          </cell>
          <cell r="D34">
            <v>106.724</v>
          </cell>
          <cell r="E34">
            <v>107.27200000000001</v>
          </cell>
          <cell r="F34">
            <v>123.709</v>
          </cell>
          <cell r="G34">
            <v>193.26599999999999</v>
          </cell>
          <cell r="H34">
            <v>176.32900000000001</v>
          </cell>
          <cell r="I34">
            <v>201.27</v>
          </cell>
          <cell r="J34">
            <v>222.16200000000001</v>
          </cell>
          <cell r="K34">
            <v>232.6</v>
          </cell>
        </row>
        <row r="35">
          <cell r="B35" t="str">
            <v xml:space="preserve">   Mortgage Securitization Residual Interest</v>
          </cell>
          <cell r="C35">
            <v>108.508</v>
          </cell>
          <cell r="D35">
            <v>106.724</v>
          </cell>
          <cell r="E35">
            <v>107.27200000000001</v>
          </cell>
          <cell r="F35">
            <v>123.709</v>
          </cell>
          <cell r="G35">
            <v>193.26599999999999</v>
          </cell>
          <cell r="H35">
            <v>176.32900000000001</v>
          </cell>
          <cell r="I35">
            <v>201.27</v>
          </cell>
          <cell r="J35">
            <v>80.152000000000001</v>
          </cell>
          <cell r="K35">
            <v>232.6</v>
          </cell>
        </row>
        <row r="36">
          <cell r="B36" t="str">
            <v xml:space="preserve">   Deferred Charges and Other Assets</v>
          </cell>
          <cell r="C36">
            <v>30.986999999999998</v>
          </cell>
          <cell r="D36">
            <v>31.638000000000002</v>
          </cell>
          <cell r="E36">
            <v>34.326999999999998</v>
          </cell>
          <cell r="F36">
            <v>23.73</v>
          </cell>
          <cell r="G36">
            <v>24.506</v>
          </cell>
          <cell r="H36">
            <v>29.434999999999999</v>
          </cell>
          <cell r="I36">
            <v>33.436999999999998</v>
          </cell>
          <cell r="J36">
            <v>57.387999999999998</v>
          </cell>
          <cell r="K36">
            <v>165</v>
          </cell>
        </row>
        <row r="37">
          <cell r="B37" t="str">
            <v xml:space="preserve">Total Assets </v>
          </cell>
          <cell r="C37">
            <v>2836.826</v>
          </cell>
          <cell r="D37">
            <v>2909.1009999999997</v>
          </cell>
          <cell r="E37">
            <v>3059.1589999999997</v>
          </cell>
          <cell r="F37">
            <v>2245.8160000000003</v>
          </cell>
          <cell r="G37">
            <v>2322.2370000000001</v>
          </cell>
          <cell r="H37">
            <v>2557.2139999999999</v>
          </cell>
          <cell r="I37">
            <v>2865.5790000000002</v>
          </cell>
          <cell r="J37">
            <v>4334.7460000000001</v>
          </cell>
          <cell r="K37">
            <v>4471.5</v>
          </cell>
        </row>
        <row r="38">
          <cell r="B38" t="str">
            <v xml:space="preserve">   Discontinued Operations</v>
          </cell>
        </row>
        <row r="39">
          <cell r="B39" t="str">
            <v>LIABILITIES AND SHAREHOLDERS' EQUITY</v>
          </cell>
          <cell r="C39">
            <v>2836.826</v>
          </cell>
          <cell r="D39">
            <v>2909.1009999999997</v>
          </cell>
          <cell r="E39">
            <v>3059.1589999999997</v>
          </cell>
          <cell r="F39">
            <v>2245.8160000000003</v>
          </cell>
          <cell r="G39">
            <v>2322.2370000000001</v>
          </cell>
          <cell r="H39">
            <v>2557.2139999999999</v>
          </cell>
          <cell r="I39">
            <v>2865.5790000000002</v>
          </cell>
          <cell r="J39">
            <v>4334.7460000000001</v>
          </cell>
          <cell r="K39">
            <v>4471.5</v>
          </cell>
        </row>
        <row r="40">
          <cell r="B40" t="str">
            <v>Current Liabilities</v>
          </cell>
          <cell r="C40">
            <v>737.69799999999998</v>
          </cell>
          <cell r="D40">
            <v>694.81399999999996</v>
          </cell>
          <cell r="E40">
            <v>703.09199999999998</v>
          </cell>
          <cell r="F40">
            <v>711.56399999999996</v>
          </cell>
          <cell r="G40">
            <v>760.43299999999999</v>
          </cell>
          <cell r="H40">
            <v>807.48199999999997</v>
          </cell>
          <cell r="I40">
            <v>846.49199999999996</v>
          </cell>
          <cell r="J40">
            <v>1018.65</v>
          </cell>
          <cell r="K40">
            <v>967.9</v>
          </cell>
        </row>
        <row r="41">
          <cell r="B41" t="str">
            <v xml:space="preserve">   Accounts Payable &amp; Accrued Liabilities</v>
          </cell>
          <cell r="C41">
            <v>737.69799999999998</v>
          </cell>
          <cell r="D41">
            <v>694.81399999999996</v>
          </cell>
          <cell r="E41">
            <v>703.09199999999998</v>
          </cell>
          <cell r="F41">
            <v>711.56399999999996</v>
          </cell>
          <cell r="G41">
            <v>760.43299999999999</v>
          </cell>
          <cell r="H41">
            <v>807.48199999999997</v>
          </cell>
          <cell r="I41">
            <v>846.49199999999996</v>
          </cell>
          <cell r="J41">
            <v>1018.65</v>
          </cell>
          <cell r="K41">
            <v>967.9</v>
          </cell>
        </row>
        <row r="42">
          <cell r="B42" t="str">
            <v xml:space="preserve">   Short-Term Debt</v>
          </cell>
          <cell r="C42">
            <v>737.69799999999998</v>
          </cell>
          <cell r="D42">
            <v>694.81399999999996</v>
          </cell>
          <cell r="E42">
            <v>703.09199999999998</v>
          </cell>
          <cell r="F42">
            <v>711.56399999999996</v>
          </cell>
          <cell r="G42">
            <v>760.43299999999999</v>
          </cell>
          <cell r="H42">
            <v>807.48199999999997</v>
          </cell>
          <cell r="I42">
            <v>846.49199999999996</v>
          </cell>
          <cell r="J42">
            <v>303.65600000000001</v>
          </cell>
          <cell r="K42">
            <v>967.9</v>
          </cell>
        </row>
        <row r="43">
          <cell r="B43" t="str">
            <v xml:space="preserve">       Non-financial Services</v>
          </cell>
          <cell r="J43">
            <v>303.65600000000001</v>
          </cell>
        </row>
        <row r="44">
          <cell r="B44" t="str">
            <v xml:space="preserve">       Financial Services</v>
          </cell>
          <cell r="C44">
            <v>627.51800000000003</v>
          </cell>
          <cell r="D44">
            <v>829.34900000000005</v>
          </cell>
          <cell r="E44">
            <v>936.75699999999995</v>
          </cell>
          <cell r="F44">
            <v>73.822999999999993</v>
          </cell>
          <cell r="G44">
            <v>267.44600000000003</v>
          </cell>
          <cell r="H44">
            <v>265.92200000000003</v>
          </cell>
          <cell r="I44">
            <v>385.27600000000001</v>
          </cell>
          <cell r="J44">
            <v>1322.944</v>
          </cell>
          <cell r="K44">
            <v>1708</v>
          </cell>
        </row>
        <row r="45">
          <cell r="B45" t="str">
            <v xml:space="preserve">   Total Short-Term Debt</v>
          </cell>
          <cell r="C45">
            <v>627.51800000000003</v>
          </cell>
          <cell r="D45">
            <v>829.34900000000005</v>
          </cell>
          <cell r="E45">
            <v>936.75699999999995</v>
          </cell>
          <cell r="F45">
            <v>73.822999999999993</v>
          </cell>
          <cell r="G45">
            <v>267.44600000000003</v>
          </cell>
          <cell r="H45">
            <v>265.92200000000003</v>
          </cell>
          <cell r="I45">
            <v>385.27600000000001</v>
          </cell>
          <cell r="J45">
            <v>1626.6</v>
          </cell>
          <cell r="K45">
            <v>1708</v>
          </cell>
        </row>
        <row r="46">
          <cell r="B46" t="str">
            <v>Total Current Liabilities</v>
          </cell>
          <cell r="C46">
            <v>1365.2159999999999</v>
          </cell>
          <cell r="D46">
            <v>1524.163</v>
          </cell>
          <cell r="E46">
            <v>1639.8489999999999</v>
          </cell>
          <cell r="F46">
            <v>785.38699999999994</v>
          </cell>
          <cell r="G46">
            <v>1027.8789999999999</v>
          </cell>
          <cell r="H46">
            <v>1073.404</v>
          </cell>
          <cell r="I46">
            <v>1231.768</v>
          </cell>
          <cell r="J46">
            <v>2645.25</v>
          </cell>
          <cell r="K46">
            <v>967.9</v>
          </cell>
        </row>
        <row r="47">
          <cell r="B47" t="str">
            <v xml:space="preserve">   Long-Term Debt</v>
          </cell>
          <cell r="C47">
            <v>1365.2159999999999</v>
          </cell>
          <cell r="D47">
            <v>1524.163</v>
          </cell>
          <cell r="E47">
            <v>1639.8489999999999</v>
          </cell>
          <cell r="F47">
            <v>785.38699999999994</v>
          </cell>
          <cell r="G47">
            <v>1027.8789999999999</v>
          </cell>
          <cell r="H47">
            <v>1073.404</v>
          </cell>
          <cell r="I47">
            <v>1231.768</v>
          </cell>
          <cell r="J47">
            <v>2645.25</v>
          </cell>
          <cell r="K47">
            <v>967.9</v>
          </cell>
        </row>
        <row r="48">
          <cell r="B48" t="str">
            <v xml:space="preserve">       Non-financial Services</v>
          </cell>
        </row>
        <row r="49">
          <cell r="B49" t="str">
            <v xml:space="preserve">       Financial Services</v>
          </cell>
          <cell r="C49">
            <v>236.76900000000001</v>
          </cell>
          <cell r="D49">
            <v>239.886</v>
          </cell>
          <cell r="E49">
            <v>240.18299999999999</v>
          </cell>
          <cell r="F49">
            <v>237.715</v>
          </cell>
          <cell r="G49">
            <v>208.43100000000001</v>
          </cell>
          <cell r="H49">
            <v>209.09700000000001</v>
          </cell>
          <cell r="I49">
            <v>284.15100000000001</v>
          </cell>
          <cell r="J49">
            <v>284.29899999999998</v>
          </cell>
          <cell r="K49">
            <v>335.7</v>
          </cell>
        </row>
        <row r="50">
          <cell r="B50" t="str">
            <v xml:space="preserve">   Total Long-Term Debt</v>
          </cell>
          <cell r="C50">
            <v>236.76900000000001</v>
          </cell>
          <cell r="D50">
            <v>239.886</v>
          </cell>
          <cell r="E50">
            <v>240.18299999999999</v>
          </cell>
          <cell r="F50">
            <v>237.715</v>
          </cell>
          <cell r="G50">
            <v>208.43100000000001</v>
          </cell>
          <cell r="H50">
            <v>209.09700000000001</v>
          </cell>
          <cell r="I50">
            <v>284.15100000000001</v>
          </cell>
          <cell r="J50">
            <v>284.29899999999998</v>
          </cell>
          <cell r="K50">
            <v>335.7</v>
          </cell>
        </row>
        <row r="51">
          <cell r="B51" t="str">
            <v xml:space="preserve">   Payables to Affiliates</v>
          </cell>
          <cell r="C51">
            <v>142.22999999999999</v>
          </cell>
          <cell r="D51">
            <v>142.88800000000001</v>
          </cell>
          <cell r="E51">
            <v>144.88900000000001</v>
          </cell>
          <cell r="F51">
            <v>148.70500000000001</v>
          </cell>
          <cell r="G51">
            <v>145.73599999999999</v>
          </cell>
          <cell r="H51">
            <v>144.28700000000001</v>
          </cell>
          <cell r="I51">
            <v>142.357</v>
          </cell>
          <cell r="J51">
            <v>140.721</v>
          </cell>
          <cell r="K51">
            <v>143</v>
          </cell>
        </row>
        <row r="52">
          <cell r="B52" t="str">
            <v xml:space="preserve">   Minority Interest</v>
          </cell>
          <cell r="C52">
            <v>142.22999999999999</v>
          </cell>
          <cell r="D52">
            <v>142.88800000000001</v>
          </cell>
          <cell r="E52">
            <v>144.88900000000001</v>
          </cell>
          <cell r="F52">
            <v>148.70500000000001</v>
          </cell>
          <cell r="G52">
            <v>145.73599999999999</v>
          </cell>
          <cell r="H52">
            <v>144.28700000000001</v>
          </cell>
          <cell r="I52">
            <v>142.357</v>
          </cell>
          <cell r="J52">
            <v>140.721</v>
          </cell>
          <cell r="K52">
            <v>143</v>
          </cell>
        </row>
        <row r="53">
          <cell r="B53" t="str">
            <v xml:space="preserve">   Negative Goodwill</v>
          </cell>
          <cell r="C53">
            <v>98.837000000000003</v>
          </cell>
          <cell r="D53">
            <v>90.837000000000003</v>
          </cell>
          <cell r="E53">
            <v>86.837000000000003</v>
          </cell>
          <cell r="F53">
            <v>82.837000000000003</v>
          </cell>
          <cell r="G53">
            <v>78.837000000000003</v>
          </cell>
          <cell r="H53">
            <v>74.837000000000003</v>
          </cell>
          <cell r="I53">
            <v>70.837000000000003</v>
          </cell>
          <cell r="J53">
            <v>3137.107</v>
          </cell>
          <cell r="K53">
            <v>1509.3999999999999</v>
          </cell>
        </row>
        <row r="54">
          <cell r="B54" t="str">
            <v>Total Liabilities</v>
          </cell>
          <cell r="C54">
            <v>835.77700000000004</v>
          </cell>
          <cell r="D54">
            <v>911.327</v>
          </cell>
          <cell r="E54">
            <v>947.40099999999995</v>
          </cell>
          <cell r="F54">
            <v>991.17200000000003</v>
          </cell>
          <cell r="G54">
            <v>1034.46</v>
          </cell>
          <cell r="H54">
            <v>1082.5889999999999</v>
          </cell>
          <cell r="I54">
            <v>1136.4659999999999</v>
          </cell>
          <cell r="J54">
            <v>3137.107</v>
          </cell>
          <cell r="K54">
            <v>1509.3999999999999</v>
          </cell>
        </row>
        <row r="55">
          <cell r="B55" t="str">
            <v>Total Shareholders' Equity</v>
          </cell>
          <cell r="C55">
            <v>835.77700000000004</v>
          </cell>
          <cell r="D55">
            <v>911.327</v>
          </cell>
          <cell r="E55">
            <v>947.40099999999995</v>
          </cell>
          <cell r="F55">
            <v>991.17200000000003</v>
          </cell>
          <cell r="G55">
            <v>1034.46</v>
          </cell>
          <cell r="H55">
            <v>1082.5889999999999</v>
          </cell>
          <cell r="I55">
            <v>1136.4659999999999</v>
          </cell>
          <cell r="J55">
            <v>1197.6389999999999</v>
          </cell>
          <cell r="K55">
            <v>1254.0999999999999</v>
          </cell>
        </row>
        <row r="56">
          <cell r="B56" t="str">
            <v>Total Liabilities and S.E.</v>
          </cell>
          <cell r="C56">
            <v>2678.8289999999997</v>
          </cell>
          <cell r="D56">
            <v>2909.1009999999997</v>
          </cell>
          <cell r="E56">
            <v>3059.1590000000001</v>
          </cell>
          <cell r="F56">
            <v>2245.8159999999998</v>
          </cell>
          <cell r="G56">
            <v>2495.3429999999998</v>
          </cell>
          <cell r="H56">
            <v>2584.2139999999999</v>
          </cell>
          <cell r="I56">
            <v>2865.5789999999997</v>
          </cell>
          <cell r="J56">
            <v>4334.7460000000001</v>
          </cell>
          <cell r="K56">
            <v>2763.5</v>
          </cell>
        </row>
        <row r="57">
          <cell r="B57" t="str">
            <v>Balance Sheet Metrics</v>
          </cell>
          <cell r="C57">
            <v>835.77700000000004</v>
          </cell>
          <cell r="D57">
            <v>911.327</v>
          </cell>
          <cell r="E57">
            <v>947.40099999999995</v>
          </cell>
          <cell r="F57">
            <v>991.17200000000003</v>
          </cell>
          <cell r="G57">
            <v>1034.46</v>
          </cell>
          <cell r="H57">
            <v>1082.5889999999999</v>
          </cell>
          <cell r="I57">
            <v>1136.4659999999999</v>
          </cell>
          <cell r="J57">
            <v>1197.6389999999999</v>
          </cell>
          <cell r="K57">
            <v>1254.0999999999999</v>
          </cell>
        </row>
        <row r="58">
          <cell r="B58" t="str">
            <v>Balance Sheet Metrics</v>
          </cell>
          <cell r="C58">
            <v>13.992172873147936</v>
          </cell>
          <cell r="D58">
            <v>14.977444108243958</v>
          </cell>
          <cell r="E58">
            <v>15.340173245004426</v>
          </cell>
          <cell r="F58">
            <v>16.006502518511514</v>
          </cell>
          <cell r="G58">
            <v>16.692230406222627</v>
          </cell>
          <cell r="H58">
            <v>17.452312996630635</v>
          </cell>
          <cell r="I58">
            <v>18.430585379228706</v>
          </cell>
          <cell r="J58">
            <v>19.395147620348268</v>
          </cell>
          <cell r="K58">
            <v>20.355696026432117</v>
          </cell>
        </row>
        <row r="59">
          <cell r="B59" t="str">
            <v>Book Value</v>
          </cell>
          <cell r="C59">
            <v>13.992172873147936</v>
          </cell>
          <cell r="D59">
            <v>14.977444108243958</v>
          </cell>
          <cell r="E59">
            <v>15.340173245004426</v>
          </cell>
          <cell r="F59">
            <v>224.04700000000003</v>
          </cell>
          <cell r="G59">
            <v>401.99300000000005</v>
          </cell>
          <cell r="H59">
            <v>404.685</v>
          </cell>
          <cell r="I59">
            <v>583.42100000000005</v>
          </cell>
          <cell r="J59">
            <v>1799.6309999999999</v>
          </cell>
          <cell r="K59">
            <v>1938.4</v>
          </cell>
        </row>
        <row r="60">
          <cell r="B60" t="str">
            <v>Net Debt (ex Financial Services)</v>
          </cell>
          <cell r="F60">
            <v>224.04700000000003</v>
          </cell>
          <cell r="G60">
            <v>401.99300000000005</v>
          </cell>
          <cell r="H60">
            <v>404.685</v>
          </cell>
          <cell r="I60">
            <v>583.42100000000005</v>
          </cell>
          <cell r="J60">
            <v>1799.6309999999999</v>
          </cell>
          <cell r="K60">
            <v>1938.4</v>
          </cell>
        </row>
        <row r="61">
          <cell r="B61" t="str">
            <v>Net Debt/Capital (ex Financial Services)</v>
          </cell>
          <cell r="C61">
            <v>13.992172873147936</v>
          </cell>
          <cell r="D61">
            <v>14.977444108243958</v>
          </cell>
          <cell r="E61">
            <v>15.340173245004426</v>
          </cell>
          <cell r="F61">
            <v>0.18436759135596137</v>
          </cell>
          <cell r="G61">
            <v>0.27985113331240219</v>
          </cell>
          <cell r="H61">
            <v>0.27209848353430505</v>
          </cell>
          <cell r="I61">
            <v>0.33922054181466577</v>
          </cell>
          <cell r="J61">
            <v>0.60042338528060535</v>
          </cell>
          <cell r="K61">
            <v>0.6071730618637432</v>
          </cell>
        </row>
        <row r="62">
          <cell r="B62" t="str">
            <v>EXCESS CASH/(GAP)</v>
          </cell>
          <cell r="F62">
            <v>224.04700000000003</v>
          </cell>
          <cell r="G62">
            <v>401.99300000000005</v>
          </cell>
          <cell r="H62">
            <v>404.685</v>
          </cell>
          <cell r="I62">
            <v>583.42100000000005</v>
          </cell>
          <cell r="J62">
            <v>1799.6309999999999</v>
          </cell>
          <cell r="K62">
            <v>1938.4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Model Introduction"/>
      <sheetName val="Convert Details"/>
      <sheetName val="Annual"/>
      <sheetName val="Actual vs. Expectations"/>
      <sheetName val="Earn._Fin.Sum."/>
      <sheetName val="Quarter"/>
      <sheetName val="Units"/>
      <sheetName val="Balance Sheet"/>
      <sheetName val="Analysis - Old"/>
      <sheetName val="Old Quarter"/>
      <sheetName val="Module1"/>
      <sheetName val="Cash Flow"/>
      <sheetName val="Lennar-Basic Mate"/>
      <sheetName val="Analysis"/>
      <sheetName val="Organic Orders"/>
      <sheetName val="Events"/>
      <sheetName val="GPS - Lennar"/>
      <sheetName val="Report Template"/>
      <sheetName val="Charts"/>
      <sheetName val="#REF"/>
      <sheetName val="(3) Personal Income"/>
      <sheetName val="(3) Disposable Income"/>
      <sheetName val="(3) Wage &amp; Salary-M"/>
      <sheetName val="(3) Consumer Spending-M"/>
      <sheetName val="(3) Consumer Spending-Q"/>
      <sheetName val="(3) Wage &amp; Salary-Q"/>
      <sheetName val="(3) Disposable Income-Q"/>
      <sheetName val="(3) Personal Income-Q"/>
      <sheetName val="(3) Savings Rate-Q"/>
      <sheetName val="(1) Consumer Confidence"/>
      <sheetName val="(2) Consumer Sentiment"/>
      <sheetName val="B-Sheet"/>
      <sheetName val="99-0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JP Morgan</v>
          </cell>
        </row>
      </sheetData>
      <sheetData sheetId="7">
        <row r="2">
          <cell r="B2" t="str">
            <v>JP Morgan</v>
          </cell>
        </row>
      </sheetData>
      <sheetData sheetId="8" refreshError="1">
        <row r="2">
          <cell r="B2" t="str">
            <v>JP Morgan</v>
          </cell>
        </row>
        <row r="3">
          <cell r="B3" t="str">
            <v>Michael Rehaut - Building Equity Research</v>
          </cell>
        </row>
        <row r="4">
          <cell r="B4" t="str">
            <v>(212) 622-6696</v>
          </cell>
        </row>
        <row r="6">
          <cell r="B6" t="str">
            <v>Lennar Corp.  (LEN)</v>
          </cell>
          <cell r="L6" t="str">
            <v>Last Update:</v>
          </cell>
        </row>
        <row r="7">
          <cell r="B7" t="str">
            <v>Balance Sheet  ($ in mil, except per share data)</v>
          </cell>
        </row>
        <row r="8">
          <cell r="B8" t="str">
            <v>(November Fiscal Year)</v>
          </cell>
          <cell r="C8" t="str">
            <v>2Q97</v>
          </cell>
          <cell r="D8" t="str">
            <v>3Q97</v>
          </cell>
          <cell r="E8" t="str">
            <v>4Q97</v>
          </cell>
          <cell r="F8" t="str">
            <v>1Q98</v>
          </cell>
          <cell r="G8" t="str">
            <v>2Q98</v>
          </cell>
          <cell r="H8" t="str">
            <v>3Q98</v>
          </cell>
          <cell r="I8" t="str">
            <v>4Q98</v>
          </cell>
          <cell r="J8" t="str">
            <v>1Q99</v>
          </cell>
          <cell r="K8" t="str">
            <v>2Q99</v>
          </cell>
          <cell r="L8" t="str">
            <v>3Q99</v>
          </cell>
        </row>
        <row r="9">
          <cell r="B9" t="str">
            <v>ASSETS</v>
          </cell>
          <cell r="C9" t="str">
            <v>($ in millions, except per share)</v>
          </cell>
        </row>
        <row r="10">
          <cell r="B10" t="str">
            <v>Homebuilding</v>
          </cell>
        </row>
        <row r="11">
          <cell r="B11" t="str">
            <v xml:space="preserve">   Cash and Cash Equivalents</v>
          </cell>
          <cell r="C11">
            <v>15.827999999999999</v>
          </cell>
          <cell r="D11">
            <v>31.103000000000002</v>
          </cell>
          <cell r="E11">
            <v>52.926000000000002</v>
          </cell>
          <cell r="F11">
            <v>53.11</v>
          </cell>
          <cell r="G11">
            <v>39.075000000000003</v>
          </cell>
          <cell r="H11">
            <v>49.372</v>
          </cell>
          <cell r="I11">
            <v>34.677</v>
          </cell>
          <cell r="J11">
            <v>74.543000000000006</v>
          </cell>
          <cell r="K11">
            <v>27.6</v>
          </cell>
          <cell r="L11">
            <v>38.356999999999999</v>
          </cell>
        </row>
        <row r="12">
          <cell r="B12" t="str">
            <v xml:space="preserve">   Receivables</v>
          </cell>
          <cell r="C12">
            <v>52.189</v>
          </cell>
          <cell r="D12">
            <v>44.209000000000003</v>
          </cell>
          <cell r="E12">
            <v>34.646000000000001</v>
          </cell>
          <cell r="F12">
            <v>18.776</v>
          </cell>
          <cell r="G12">
            <v>11.802</v>
          </cell>
          <cell r="H12">
            <v>28.163</v>
          </cell>
          <cell r="I12">
            <v>23.8</v>
          </cell>
          <cell r="J12">
            <v>25.2</v>
          </cell>
          <cell r="K12">
            <v>27.7</v>
          </cell>
          <cell r="L12">
            <v>28.5</v>
          </cell>
        </row>
        <row r="13">
          <cell r="B13" t="str">
            <v xml:space="preserve">   Inventories</v>
          </cell>
          <cell r="C13">
            <v>838.17700000000002</v>
          </cell>
          <cell r="D13">
            <v>847.12300000000005</v>
          </cell>
          <cell r="E13">
            <v>806.97500000000002</v>
          </cell>
          <cell r="F13">
            <v>952.39400000000001</v>
          </cell>
          <cell r="G13">
            <v>1010.819</v>
          </cell>
          <cell r="H13">
            <v>1308.17</v>
          </cell>
          <cell r="I13">
            <v>1198.5530000000001</v>
          </cell>
          <cell r="J13">
            <v>1324.905</v>
          </cell>
          <cell r="K13">
            <v>1381.7</v>
          </cell>
          <cell r="L13">
            <v>1438.2</v>
          </cell>
        </row>
        <row r="14">
          <cell r="B14" t="str">
            <v xml:space="preserve">   Consolidated Inventory not Owned</v>
          </cell>
          <cell r="C14">
            <v>60.101999999999997</v>
          </cell>
          <cell r="D14">
            <v>60.487000000000002</v>
          </cell>
          <cell r="E14" t="str">
            <v xml:space="preserve">N/A </v>
          </cell>
          <cell r="F14" t="str">
            <v xml:space="preserve">N/A </v>
          </cell>
          <cell r="G14" t="str">
            <v xml:space="preserve">N/A </v>
          </cell>
          <cell r="H14" t="str">
            <v xml:space="preserve">N/A </v>
          </cell>
          <cell r="I14" t="str">
            <v xml:space="preserve">N/A </v>
          </cell>
          <cell r="J14" t="str">
            <v xml:space="preserve">N/A </v>
          </cell>
          <cell r="K14" t="str">
            <v>N/A</v>
          </cell>
          <cell r="L14" t="str">
            <v>N/A</v>
          </cell>
        </row>
        <row r="15">
          <cell r="B15" t="str">
            <v xml:space="preserve">   Land Held for Investments</v>
          </cell>
          <cell r="C15">
            <v>60.101999999999997</v>
          </cell>
          <cell r="D15">
            <v>60.487000000000002</v>
          </cell>
          <cell r="E15" t="str">
            <v xml:space="preserve">N/A </v>
          </cell>
          <cell r="F15" t="str">
            <v xml:space="preserve">N/A </v>
          </cell>
          <cell r="G15" t="str">
            <v xml:space="preserve">N/A </v>
          </cell>
          <cell r="H15" t="str">
            <v xml:space="preserve">N/A </v>
          </cell>
          <cell r="I15" t="str">
            <v xml:space="preserve">N/A </v>
          </cell>
          <cell r="J15" t="str">
            <v xml:space="preserve">N/A </v>
          </cell>
          <cell r="K15" t="str">
            <v>N/A</v>
          </cell>
          <cell r="L15" t="str">
            <v>N/A</v>
          </cell>
        </row>
        <row r="16">
          <cell r="B16" t="str">
            <v xml:space="preserve">   Properties and Equipment</v>
          </cell>
          <cell r="C16">
            <v>238.435</v>
          </cell>
          <cell r="D16">
            <v>239.065</v>
          </cell>
          <cell r="E16">
            <v>8.5980000000000008</v>
          </cell>
          <cell r="F16">
            <v>8.6609999999999996</v>
          </cell>
          <cell r="G16">
            <v>9.8239999999999998</v>
          </cell>
          <cell r="H16">
            <v>11.856999999999999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 t="str">
            <v xml:space="preserve">   Investments in unconsolidated entities</v>
          </cell>
          <cell r="C17">
            <v>123.56699999999999</v>
          </cell>
          <cell r="D17">
            <v>101.38</v>
          </cell>
          <cell r="E17">
            <v>108.06399999999999</v>
          </cell>
          <cell r="F17">
            <v>132.16900000000001</v>
          </cell>
          <cell r="G17">
            <v>141.96899999999999</v>
          </cell>
          <cell r="H17">
            <v>148.77500000000001</v>
          </cell>
          <cell r="I17">
            <v>156.536</v>
          </cell>
          <cell r="J17">
            <v>175.37200000000001</v>
          </cell>
          <cell r="K17">
            <v>193</v>
          </cell>
          <cell r="L17">
            <v>158.86199999999999</v>
          </cell>
        </row>
        <row r="18">
          <cell r="B18" t="str">
            <v xml:space="preserve">   Goodwill</v>
          </cell>
          <cell r="C18">
            <v>163.35400000000001</v>
          </cell>
          <cell r="D18">
            <v>203.39400000000001</v>
          </cell>
          <cell r="E18">
            <v>127.631</v>
          </cell>
          <cell r="F18">
            <v>121.39400000000001</v>
          </cell>
          <cell r="G18">
            <v>127.027</v>
          </cell>
          <cell r="H18">
            <v>124.69199999999999</v>
          </cell>
          <cell r="I18">
            <v>137.31</v>
          </cell>
          <cell r="J18">
            <v>157.58600000000001</v>
          </cell>
          <cell r="K18">
            <v>123.1</v>
          </cell>
          <cell r="L18">
            <v>129.30000000000001</v>
          </cell>
        </row>
        <row r="19">
          <cell r="B19" t="str">
            <v xml:space="preserve">   Other Assets</v>
          </cell>
          <cell r="C19">
            <v>163.35400000000001</v>
          </cell>
          <cell r="D19">
            <v>203.39400000000001</v>
          </cell>
          <cell r="E19">
            <v>127.631</v>
          </cell>
          <cell r="F19">
            <v>121.39400000000001</v>
          </cell>
          <cell r="G19">
            <v>127.027</v>
          </cell>
          <cell r="H19">
            <v>124.69199999999999</v>
          </cell>
          <cell r="I19">
            <v>137.31</v>
          </cell>
          <cell r="J19">
            <v>157.58600000000001</v>
          </cell>
          <cell r="K19">
            <v>123.1</v>
          </cell>
          <cell r="L19">
            <v>129.30000000000001</v>
          </cell>
        </row>
        <row r="20">
          <cell r="B20" t="str">
            <v>Total Homebuilding Assets</v>
          </cell>
          <cell r="C20">
            <v>1491.652</v>
          </cell>
          <cell r="D20">
            <v>1526.7610000000002</v>
          </cell>
          <cell r="E20">
            <v>1138.8399999999999</v>
          </cell>
          <cell r="F20">
            <v>1286.5040000000001</v>
          </cell>
          <cell r="G20">
            <v>1340.5160000000001</v>
          </cell>
          <cell r="H20">
            <v>1671.0290000000002</v>
          </cell>
          <cell r="I20">
            <v>1550.8760000000002</v>
          </cell>
          <cell r="J20">
            <v>1757.606</v>
          </cell>
          <cell r="K20">
            <v>1753.1</v>
          </cell>
          <cell r="L20">
            <v>1793.2190000000001</v>
          </cell>
        </row>
        <row r="21">
          <cell r="B21" t="str">
            <v>Financial Services Assets</v>
          </cell>
          <cell r="C21">
            <v>379.16300000000001</v>
          </cell>
          <cell r="D21">
            <v>364.16800000000001</v>
          </cell>
          <cell r="E21">
            <v>156.988</v>
          </cell>
          <cell r="F21">
            <v>202.85499999999999</v>
          </cell>
          <cell r="G21">
            <v>235.429</v>
          </cell>
          <cell r="H21">
            <v>258.65199999999999</v>
          </cell>
          <cell r="I21">
            <v>366.95400000000001</v>
          </cell>
          <cell r="J21">
            <v>339.53899999999999</v>
          </cell>
          <cell r="K21">
            <v>395.7</v>
          </cell>
          <cell r="L21">
            <v>410.78199999999998</v>
          </cell>
        </row>
        <row r="22">
          <cell r="B22" t="str">
            <v>Collateral Bonds/Notes-Subsidiaries</v>
          </cell>
          <cell r="C22">
            <v>55.021999999999998</v>
          </cell>
          <cell r="D22">
            <v>52.917999999999999</v>
          </cell>
          <cell r="E22">
            <v>47.456000000000003</v>
          </cell>
          <cell r="F22">
            <v>44.753999999999998</v>
          </cell>
          <cell r="G22">
            <v>41.3</v>
          </cell>
          <cell r="H22">
            <v>37.887999999999998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 t="str">
            <v>Total Assets</v>
          </cell>
          <cell r="C23">
            <v>1925.837</v>
          </cell>
          <cell r="D23">
            <v>1943.8470000000002</v>
          </cell>
          <cell r="E23">
            <v>1343.2839999999999</v>
          </cell>
          <cell r="F23">
            <v>1534.1130000000001</v>
          </cell>
          <cell r="G23">
            <v>1617.2450000000001</v>
          </cell>
          <cell r="H23">
            <v>1967.5690000000002</v>
          </cell>
          <cell r="I23">
            <v>1917.8300000000002</v>
          </cell>
          <cell r="J23">
            <v>2071.9</v>
          </cell>
          <cell r="K23">
            <v>2148.7999999999997</v>
          </cell>
          <cell r="L23">
            <v>2204.0010000000002</v>
          </cell>
        </row>
        <row r="24">
          <cell r="B24" t="str">
            <v>Total Assets</v>
          </cell>
          <cell r="C24">
            <v>1925.837</v>
          </cell>
          <cell r="D24">
            <v>1943.8470000000002</v>
          </cell>
          <cell r="E24">
            <v>1343.2839999999999</v>
          </cell>
          <cell r="F24">
            <v>1534.1130000000001</v>
          </cell>
          <cell r="G24">
            <v>1617.2450000000001</v>
          </cell>
          <cell r="H24">
            <v>1967.5690000000002</v>
          </cell>
          <cell r="I24">
            <v>1917.8300000000002</v>
          </cell>
          <cell r="J24">
            <v>2071.9</v>
          </cell>
          <cell r="K24">
            <v>2148.7999999999997</v>
          </cell>
          <cell r="L24">
            <v>2204.0010000000002</v>
          </cell>
        </row>
        <row r="25">
          <cell r="B25" t="str">
            <v>LIABILITIES AND SHAREHOLDERS' EQUITY</v>
          </cell>
        </row>
        <row r="26">
          <cell r="B26" t="str">
            <v>LIABILITIES AND SHAREHOLDERS' EQUITY</v>
          </cell>
          <cell r="C26">
            <v>180.49199999999999</v>
          </cell>
          <cell r="D26">
            <v>193.726</v>
          </cell>
          <cell r="E26">
            <v>198.386</v>
          </cell>
          <cell r="F26">
            <v>212.154</v>
          </cell>
          <cell r="G26">
            <v>195.078</v>
          </cell>
          <cell r="H26">
            <v>262.34699999999998</v>
          </cell>
          <cell r="I26">
            <v>322.26</v>
          </cell>
          <cell r="J26">
            <v>329.12400000000002</v>
          </cell>
          <cell r="K26">
            <v>320.10000000000002</v>
          </cell>
          <cell r="L26">
            <v>327.9</v>
          </cell>
        </row>
        <row r="27">
          <cell r="B27" t="str">
            <v>Homebuilding</v>
          </cell>
          <cell r="C27">
            <v>180.49199999999999</v>
          </cell>
          <cell r="D27">
            <v>193.726</v>
          </cell>
          <cell r="E27">
            <v>198.386</v>
          </cell>
          <cell r="F27">
            <v>212.154</v>
          </cell>
          <cell r="G27">
            <v>195.078</v>
          </cell>
          <cell r="H27">
            <v>262.34699999999998</v>
          </cell>
          <cell r="I27">
            <v>322.26</v>
          </cell>
          <cell r="J27">
            <v>329.12400000000002</v>
          </cell>
          <cell r="K27">
            <v>320.10000000000002</v>
          </cell>
          <cell r="L27">
            <v>327.9</v>
          </cell>
        </row>
        <row r="28">
          <cell r="B28" t="str">
            <v xml:space="preserve">   Accounts Payable &amp; Other Liabilities</v>
          </cell>
          <cell r="C28">
            <v>180.49199999999999</v>
          </cell>
          <cell r="D28">
            <v>193.726</v>
          </cell>
          <cell r="E28">
            <v>198.386</v>
          </cell>
          <cell r="F28">
            <v>212.154</v>
          </cell>
          <cell r="G28">
            <v>195.078</v>
          </cell>
          <cell r="H28">
            <v>262.34699999999998</v>
          </cell>
          <cell r="I28">
            <v>322.26</v>
          </cell>
          <cell r="J28">
            <v>329.12400000000002</v>
          </cell>
          <cell r="K28">
            <v>320.10000000000002</v>
          </cell>
          <cell r="L28">
            <v>327.9</v>
          </cell>
        </row>
        <row r="29">
          <cell r="B29" t="str">
            <v xml:space="preserve">   Liabilities Related to Unowned Inventory</v>
          </cell>
          <cell r="C29">
            <v>16.960999999999999</v>
          </cell>
          <cell r="D29">
            <v>7.5019999999999998</v>
          </cell>
          <cell r="E29">
            <v>22.634</v>
          </cell>
          <cell r="F29">
            <v>7.7489999999999997</v>
          </cell>
          <cell r="G29">
            <v>4.6449999999999996</v>
          </cell>
          <cell r="H29">
            <v>13.353</v>
          </cell>
          <cell r="I29">
            <v>33.44</v>
          </cell>
          <cell r="J29">
            <v>0</v>
          </cell>
          <cell r="K29">
            <v>11.7</v>
          </cell>
          <cell r="L29">
            <v>16.7</v>
          </cell>
        </row>
        <row r="30">
          <cell r="B30" t="str">
            <v xml:space="preserve">   Income Taxes Payable</v>
          </cell>
          <cell r="C30">
            <v>16.960999999999999</v>
          </cell>
          <cell r="D30">
            <v>7.5019999999999998</v>
          </cell>
          <cell r="E30">
            <v>22.634</v>
          </cell>
          <cell r="F30">
            <v>7.7489999999999997</v>
          </cell>
          <cell r="G30">
            <v>4.6449999999999996</v>
          </cell>
          <cell r="H30">
            <v>13.353</v>
          </cell>
          <cell r="I30">
            <v>33.44</v>
          </cell>
          <cell r="J30">
            <v>0</v>
          </cell>
          <cell r="K30">
            <v>11.7</v>
          </cell>
          <cell r="L30">
            <v>16.7</v>
          </cell>
        </row>
        <row r="31">
          <cell r="B31" t="str">
            <v xml:space="preserve">   Mortgages &amp; Notes Payable</v>
          </cell>
          <cell r="C31">
            <v>669.40800000000002</v>
          </cell>
          <cell r="D31">
            <v>682.78899999999999</v>
          </cell>
          <cell r="E31">
            <v>527.303</v>
          </cell>
          <cell r="F31">
            <v>666.53599999999994</v>
          </cell>
          <cell r="G31">
            <v>686.70399999999995</v>
          </cell>
          <cell r="H31">
            <v>803.12900000000002</v>
          </cell>
          <cell r="I31">
            <v>530.63</v>
          </cell>
          <cell r="J31">
            <v>713.303</v>
          </cell>
          <cell r="K31">
            <v>717</v>
          </cell>
          <cell r="L31">
            <v>711.721</v>
          </cell>
        </row>
        <row r="32">
          <cell r="B32" t="str">
            <v>Total Homebuilding Liabilitities</v>
          </cell>
          <cell r="C32">
            <v>866.86099999999999</v>
          </cell>
          <cell r="D32">
            <v>884.01700000000005</v>
          </cell>
          <cell r="E32">
            <v>748.32299999999998</v>
          </cell>
          <cell r="F32">
            <v>886.43899999999996</v>
          </cell>
          <cell r="G32">
            <v>886.42699999999991</v>
          </cell>
          <cell r="H32">
            <v>1078.829</v>
          </cell>
          <cell r="I32">
            <v>886.32999999999993</v>
          </cell>
          <cell r="J32">
            <v>1042.4270000000001</v>
          </cell>
          <cell r="K32">
            <v>1048.8</v>
          </cell>
          <cell r="L32">
            <v>1056.3209999999999</v>
          </cell>
        </row>
        <row r="33">
          <cell r="B33" t="str">
            <v>Financial Services Liabilities</v>
          </cell>
          <cell r="C33">
            <v>264.202</v>
          </cell>
          <cell r="D33">
            <v>234.08199999999999</v>
          </cell>
          <cell r="E33">
            <v>108.506</v>
          </cell>
          <cell r="F33">
            <v>145.619</v>
          </cell>
          <cell r="G33">
            <v>180.565</v>
          </cell>
          <cell r="H33">
            <v>201.99799999999999</v>
          </cell>
          <cell r="I33">
            <v>280.94</v>
          </cell>
          <cell r="J33">
            <v>286.69299999999998</v>
          </cell>
          <cell r="K33">
            <v>317.89999999999998</v>
          </cell>
          <cell r="L33">
            <v>319.291</v>
          </cell>
        </row>
        <row r="34">
          <cell r="B34" t="str">
            <v>Bonds/Notes Payable-Subsidiaries</v>
          </cell>
          <cell r="C34">
            <v>52.256999999999998</v>
          </cell>
          <cell r="D34">
            <v>50.225000000000001</v>
          </cell>
          <cell r="E34">
            <v>47.456000000000003</v>
          </cell>
          <cell r="F34">
            <v>44.753999999999998</v>
          </cell>
          <cell r="G34">
            <v>41.3</v>
          </cell>
          <cell r="H34">
            <v>37.887999999999998</v>
          </cell>
          <cell r="I34">
            <v>34.89</v>
          </cell>
          <cell r="J34">
            <v>0</v>
          </cell>
          <cell r="K34">
            <v>0</v>
          </cell>
          <cell r="L34">
            <v>0</v>
          </cell>
        </row>
        <row r="35">
          <cell r="B35" t="str">
            <v>Total Liabilities</v>
          </cell>
          <cell r="C35">
            <v>1183.3200000000002</v>
          </cell>
          <cell r="D35">
            <v>1168.3240000000001</v>
          </cell>
          <cell r="E35">
            <v>904.28499999999997</v>
          </cell>
          <cell r="F35">
            <v>1076.8119999999999</v>
          </cell>
          <cell r="G35">
            <v>1108.2919999999999</v>
          </cell>
          <cell r="H35">
            <v>1318.7149999999999</v>
          </cell>
          <cell r="I35">
            <v>1202.1600000000001</v>
          </cell>
          <cell r="J35">
            <v>1329.1200000000001</v>
          </cell>
          <cell r="K35">
            <v>1366.6999999999998</v>
          </cell>
          <cell r="L35">
            <v>1375.6119999999999</v>
          </cell>
        </row>
        <row r="36">
          <cell r="B36" t="str">
            <v>Total Liabilities</v>
          </cell>
          <cell r="C36">
            <v>1183.3200000000002</v>
          </cell>
          <cell r="D36">
            <v>1168.3240000000001</v>
          </cell>
          <cell r="E36">
            <v>904.28499999999997</v>
          </cell>
          <cell r="F36">
            <v>1076.8119999999999</v>
          </cell>
          <cell r="G36">
            <v>1108.2919999999999</v>
          </cell>
          <cell r="H36">
            <v>1318.7149999999999</v>
          </cell>
          <cell r="I36">
            <v>1202.1600000000001</v>
          </cell>
          <cell r="J36">
            <v>1329.1200000000001</v>
          </cell>
          <cell r="K36">
            <v>1366.6999999999998</v>
          </cell>
          <cell r="L36">
            <v>1375.6119999999999</v>
          </cell>
        </row>
        <row r="37">
          <cell r="B37" t="str">
            <v>Minority Interest</v>
          </cell>
          <cell r="C37">
            <v>1925.8370000000002</v>
          </cell>
          <cell r="D37">
            <v>1943.8470000000002</v>
          </cell>
          <cell r="E37">
            <v>1343.2840000000001</v>
          </cell>
          <cell r="F37">
            <v>1534.1129999999998</v>
          </cell>
          <cell r="G37">
            <v>1617.2449999999999</v>
          </cell>
          <cell r="H37">
            <v>1967.5459999999998</v>
          </cell>
          <cell r="I37">
            <v>1917.825</v>
          </cell>
          <cell r="J37">
            <v>2071.9450000000002</v>
          </cell>
          <cell r="K37">
            <v>2148.7999999999997</v>
          </cell>
          <cell r="L37">
            <v>2204.0189999999998</v>
          </cell>
        </row>
        <row r="38">
          <cell r="B38" t="str">
            <v>Total Shareholders' Equity</v>
          </cell>
          <cell r="C38">
            <v>742.51700000000005</v>
          </cell>
          <cell r="D38">
            <v>775.52300000000002</v>
          </cell>
          <cell r="E38">
            <v>438.99900000000002</v>
          </cell>
          <cell r="F38">
            <v>457.30099999999999</v>
          </cell>
          <cell r="G38">
            <v>508.95299999999997</v>
          </cell>
          <cell r="H38">
            <v>648.83100000000002</v>
          </cell>
          <cell r="I38">
            <v>715.66499999999996</v>
          </cell>
          <cell r="J38">
            <v>742.82500000000005</v>
          </cell>
          <cell r="K38">
            <v>782.1</v>
          </cell>
          <cell r="L38">
            <v>828.40700000000004</v>
          </cell>
        </row>
        <row r="39">
          <cell r="B39" t="str">
            <v>Total Liabilities and S.E.</v>
          </cell>
          <cell r="C39">
            <v>1925.8370000000002</v>
          </cell>
          <cell r="D39">
            <v>1943.8470000000002</v>
          </cell>
          <cell r="E39">
            <v>1343.2840000000001</v>
          </cell>
          <cell r="F39">
            <v>1534.1129999999998</v>
          </cell>
          <cell r="G39">
            <v>1617.2449999999999</v>
          </cell>
          <cell r="H39">
            <v>1967.5459999999998</v>
          </cell>
          <cell r="I39">
            <v>1917.825</v>
          </cell>
          <cell r="J39">
            <v>2071.9450000000002</v>
          </cell>
          <cell r="K39">
            <v>2148.7999999999997</v>
          </cell>
          <cell r="L39">
            <v>2204.0189999999998</v>
          </cell>
        </row>
        <row r="40">
          <cell r="B40" t="str">
            <v>Book Value</v>
          </cell>
          <cell r="C40">
            <v>0.46814798685191639</v>
          </cell>
          <cell r="D40">
            <v>0.45661567436864547</v>
          </cell>
          <cell r="E40">
            <v>0.51936661353046287</v>
          </cell>
          <cell r="F40">
            <v>0.57290607222942902</v>
          </cell>
          <cell r="G40">
            <v>0.55995078602295378</v>
          </cell>
          <cell r="H40">
            <v>0.53740442667411958</v>
          </cell>
          <cell r="I40">
            <v>0.40933115883058846</v>
          </cell>
          <cell r="J40">
            <v>0.46233854594541773</v>
          </cell>
          <cell r="K40">
            <v>0.46850152905198778</v>
          </cell>
          <cell r="L40">
            <v>0.44837994607699838</v>
          </cell>
        </row>
      </sheetData>
      <sheetData sheetId="9" refreshError="1"/>
      <sheetData sheetId="10">
        <row r="2">
          <cell r="B2" t="str">
            <v>JP Morgan</v>
          </cell>
        </row>
      </sheetData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Mkt Segment 95"/>
      <sheetName val="Table of Contents"/>
      <sheetName val="By Mkt Segment 96"/>
    </sheetNames>
    <sheetDataSet>
      <sheetData sheetId="0" refreshError="1">
        <row r="1">
          <cell r="A1" t="str">
            <v>Hotel Sales, By Market Segment and By Brand: 1991 - 1995</v>
          </cell>
        </row>
        <row r="3">
          <cell r="C3">
            <v>1991</v>
          </cell>
          <cell r="F3">
            <v>1992</v>
          </cell>
          <cell r="I3">
            <v>1993</v>
          </cell>
          <cell r="L3">
            <v>1994</v>
          </cell>
          <cell r="O3">
            <v>1995</v>
          </cell>
        </row>
        <row r="4">
          <cell r="B4" t="str">
            <v>Hotels Sold</v>
          </cell>
          <cell r="C4" t="str">
            <v>Avg. # of Rooms</v>
          </cell>
          <cell r="D4" t="str">
            <v>Avg. Selling Price per Room</v>
          </cell>
          <cell r="E4" t="str">
            <v>Hotels Sold</v>
          </cell>
          <cell r="F4" t="str">
            <v>Avg. # of Rooms</v>
          </cell>
          <cell r="G4" t="str">
            <v>Avg. Selling Price per Room</v>
          </cell>
          <cell r="H4" t="str">
            <v>Hotels Sold</v>
          </cell>
          <cell r="I4" t="str">
            <v>Avg. # of Rooms</v>
          </cell>
          <cell r="J4" t="str">
            <v>Avg. Selling Price per Room</v>
          </cell>
          <cell r="K4" t="str">
            <v>Hotels Sold</v>
          </cell>
          <cell r="L4" t="str">
            <v>Avg. # of Rooms</v>
          </cell>
          <cell r="M4" t="str">
            <v>Avg. Selling Price per Room</v>
          </cell>
          <cell r="N4" t="str">
            <v>Hotels Sold</v>
          </cell>
          <cell r="O4" t="str">
            <v>Avg. # of Rooms</v>
          </cell>
          <cell r="P4" t="str">
            <v>Avg. Selling Price per Room</v>
          </cell>
        </row>
        <row r="5">
          <cell r="A5" t="str">
            <v>BUDGET</v>
          </cell>
        </row>
        <row r="6">
          <cell r="A6" t="str">
            <v>Motel 6</v>
          </cell>
          <cell r="B6">
            <v>6</v>
          </cell>
          <cell r="C6">
            <v>123.83333333333333</v>
          </cell>
          <cell r="D6">
            <v>19513.56796769852</v>
          </cell>
          <cell r="E6">
            <v>5</v>
          </cell>
          <cell r="F6">
            <v>114.6</v>
          </cell>
          <cell r="G6">
            <v>14905.759162303664</v>
          </cell>
          <cell r="H6">
            <v>4</v>
          </cell>
          <cell r="I6">
            <v>148.75</v>
          </cell>
          <cell r="J6">
            <v>25705.882352941175</v>
          </cell>
          <cell r="K6">
            <v>3</v>
          </cell>
          <cell r="L6">
            <v>82.666666666666671</v>
          </cell>
          <cell r="M6">
            <v>8790.322580645161</v>
          </cell>
          <cell r="N6">
            <v>7</v>
          </cell>
          <cell r="O6">
            <v>106.14285714285714</v>
          </cell>
          <cell r="P6">
            <v>10910.955585464333</v>
          </cell>
        </row>
        <row r="7">
          <cell r="A7" t="str">
            <v>Other Hotels</v>
          </cell>
          <cell r="B7">
            <v>87</v>
          </cell>
          <cell r="C7">
            <v>63</v>
          </cell>
          <cell r="D7">
            <v>10483.975592045246</v>
          </cell>
          <cell r="E7">
            <v>63</v>
          </cell>
          <cell r="F7">
            <v>62.920634920634917</v>
          </cell>
          <cell r="G7">
            <v>8823.6019172552969</v>
          </cell>
          <cell r="H7">
            <v>62</v>
          </cell>
          <cell r="I7">
            <v>65.790322580645167</v>
          </cell>
          <cell r="J7">
            <v>11787.215248835499</v>
          </cell>
          <cell r="K7">
            <v>62</v>
          </cell>
          <cell r="L7">
            <v>51.435483870967744</v>
          </cell>
          <cell r="M7">
            <v>11705.852618375666</v>
          </cell>
          <cell r="N7">
            <v>39</v>
          </cell>
          <cell r="O7">
            <v>48.179487179487182</v>
          </cell>
          <cell r="P7">
            <v>12156.732304417243</v>
          </cell>
        </row>
        <row r="8">
          <cell r="A8" t="str">
            <v>TOTAL, BUDGET</v>
          </cell>
          <cell r="B8">
            <v>93</v>
          </cell>
          <cell r="C8">
            <v>66.924731182795696</v>
          </cell>
          <cell r="D8">
            <v>11561.897689588688</v>
          </cell>
          <cell r="E8">
            <v>68</v>
          </cell>
          <cell r="F8">
            <v>66.720588235294116</v>
          </cell>
          <cell r="G8">
            <v>9591.7474101829412</v>
          </cell>
          <cell r="H8">
            <v>66</v>
          </cell>
          <cell r="I8">
            <v>70.818181818181813</v>
          </cell>
          <cell r="J8">
            <v>13559.060975609756</v>
          </cell>
          <cell r="K8">
            <v>65</v>
          </cell>
          <cell r="L8">
            <v>52.876923076923077</v>
          </cell>
          <cell r="M8">
            <v>11495.479778876928</v>
          </cell>
          <cell r="N8">
            <v>46</v>
          </cell>
          <cell r="O8">
            <v>57</v>
          </cell>
          <cell r="P8">
            <v>11803.714721586575</v>
          </cell>
        </row>
        <row r="9">
          <cell r="A9" t="str">
            <v>ECONOMY (Limited-Service)</v>
          </cell>
        </row>
        <row r="10">
          <cell r="A10" t="str">
            <v>Econo Lodge</v>
          </cell>
          <cell r="B10">
            <v>13</v>
          </cell>
          <cell r="C10">
            <v>83.538461538461533</v>
          </cell>
          <cell r="D10">
            <v>12381.675874769797</v>
          </cell>
          <cell r="E10">
            <v>16</v>
          </cell>
          <cell r="F10">
            <v>118.25</v>
          </cell>
          <cell r="G10">
            <v>11615.750528541226</v>
          </cell>
          <cell r="H10">
            <v>12</v>
          </cell>
          <cell r="I10">
            <v>78.916666666666671</v>
          </cell>
          <cell r="J10">
            <v>11993.664202745513</v>
          </cell>
          <cell r="K10">
            <v>8</v>
          </cell>
          <cell r="L10">
            <v>87</v>
          </cell>
          <cell r="M10">
            <v>13706.896551724138</v>
          </cell>
          <cell r="N10">
            <v>11</v>
          </cell>
          <cell r="O10">
            <v>71</v>
          </cell>
          <cell r="P10">
            <v>20128.040973111394</v>
          </cell>
        </row>
        <row r="11">
          <cell r="A11" t="str">
            <v>Knights Inn</v>
          </cell>
          <cell r="B11">
            <v>14</v>
          </cell>
          <cell r="C11">
            <v>114.71428571428571</v>
          </cell>
          <cell r="D11">
            <v>12207.347447073475</v>
          </cell>
          <cell r="E11">
            <v>11</v>
          </cell>
          <cell r="F11">
            <v>109.81818181818181</v>
          </cell>
          <cell r="G11">
            <v>12263.21605960265</v>
          </cell>
          <cell r="H11">
            <v>4</v>
          </cell>
          <cell r="I11">
            <v>112.5</v>
          </cell>
          <cell r="J11">
            <v>10222.222222222223</v>
          </cell>
          <cell r="K11">
            <v>1</v>
          </cell>
          <cell r="L11">
            <v>122</v>
          </cell>
          <cell r="M11">
            <v>17827.868852459018</v>
          </cell>
        </row>
        <row r="12">
          <cell r="A12" t="str">
            <v>Super 8</v>
          </cell>
          <cell r="B12">
            <v>6</v>
          </cell>
          <cell r="C12">
            <v>49.333333333333336</v>
          </cell>
          <cell r="D12">
            <v>25726.35135135135</v>
          </cell>
          <cell r="E12">
            <v>7</v>
          </cell>
          <cell r="F12">
            <v>59</v>
          </cell>
          <cell r="G12">
            <v>15362.355932203391</v>
          </cell>
          <cell r="H12">
            <v>6</v>
          </cell>
          <cell r="I12">
            <v>54.833333333333336</v>
          </cell>
          <cell r="J12">
            <v>22203.647416413372</v>
          </cell>
          <cell r="K12">
            <v>6</v>
          </cell>
          <cell r="L12">
            <v>56</v>
          </cell>
          <cell r="M12">
            <v>24313.988095238095</v>
          </cell>
          <cell r="N12">
            <v>6</v>
          </cell>
          <cell r="O12">
            <v>73.333333333333329</v>
          </cell>
          <cell r="P12">
            <v>19649.19090909091</v>
          </cell>
        </row>
        <row r="13">
          <cell r="A13" t="str">
            <v>Travelodge</v>
          </cell>
          <cell r="B13">
            <v>15</v>
          </cell>
          <cell r="C13">
            <v>86.933333333333337</v>
          </cell>
          <cell r="D13">
            <v>21796.167944785277</v>
          </cell>
          <cell r="E13">
            <v>10</v>
          </cell>
          <cell r="F13">
            <v>93.9</v>
          </cell>
          <cell r="G13">
            <v>20638.125665601703</v>
          </cell>
          <cell r="H13">
            <v>13</v>
          </cell>
          <cell r="I13">
            <v>95.538461538461533</v>
          </cell>
          <cell r="J13">
            <v>15953.30112721417</v>
          </cell>
          <cell r="K13">
            <v>9</v>
          </cell>
          <cell r="L13">
            <v>113</v>
          </cell>
          <cell r="M13">
            <v>17515.240904621434</v>
          </cell>
          <cell r="N13">
            <v>7</v>
          </cell>
          <cell r="O13">
            <v>94.714285714285708</v>
          </cell>
          <cell r="P13">
            <v>17872.549019607843</v>
          </cell>
        </row>
        <row r="14">
          <cell r="A14" t="str">
            <v>Other Hotels</v>
          </cell>
          <cell r="B14">
            <v>33</v>
          </cell>
          <cell r="C14">
            <v>58.515151515151516</v>
          </cell>
          <cell r="D14">
            <v>19749.153707923357</v>
          </cell>
          <cell r="E14">
            <v>31</v>
          </cell>
          <cell r="F14">
            <v>54.774193548387096</v>
          </cell>
          <cell r="G14">
            <v>17965.333922261485</v>
          </cell>
          <cell r="H14">
            <v>21</v>
          </cell>
          <cell r="I14">
            <v>75.952380952380949</v>
          </cell>
          <cell r="J14">
            <v>16227.084639498433</v>
          </cell>
          <cell r="K14">
            <v>26</v>
          </cell>
          <cell r="L14">
            <v>49.730769230769234</v>
          </cell>
          <cell r="M14">
            <v>20975.419180201083</v>
          </cell>
          <cell r="N14">
            <v>22</v>
          </cell>
          <cell r="O14">
            <v>52.272727272727273</v>
          </cell>
          <cell r="P14">
            <v>22692.869565217392</v>
          </cell>
        </row>
        <row r="15">
          <cell r="A15" t="str">
            <v>TOTAL, ECON (Ltd-Svc)</v>
          </cell>
          <cell r="B15">
            <v>81</v>
          </cell>
          <cell r="C15">
            <v>76.827160493827165</v>
          </cell>
          <cell r="D15">
            <v>17230.326017997751</v>
          </cell>
          <cell r="E15">
            <v>75</v>
          </cell>
          <cell r="F15">
            <v>82</v>
          </cell>
          <cell r="G15">
            <v>15125.195934959349</v>
          </cell>
          <cell r="H15">
            <v>56</v>
          </cell>
          <cell r="I15">
            <v>81.482142857142861</v>
          </cell>
          <cell r="J15">
            <v>15112.689020381327</v>
          </cell>
          <cell r="K15">
            <v>77</v>
          </cell>
          <cell r="L15">
            <v>88.36363636363636</v>
          </cell>
          <cell r="M15">
            <v>26608.85949441505</v>
          </cell>
          <cell r="N15">
            <v>46</v>
          </cell>
          <cell r="O15">
            <v>65.956521739130437</v>
          </cell>
          <cell r="P15">
            <v>20537.885299934082</v>
          </cell>
        </row>
        <row r="16">
          <cell r="A16" t="str">
            <v>ECONOMY (Full-Service)</v>
          </cell>
        </row>
        <row r="17">
          <cell r="A17" t="str">
            <v>Days Inn</v>
          </cell>
          <cell r="B17">
            <v>30</v>
          </cell>
          <cell r="C17">
            <v>133.96666666666667</v>
          </cell>
          <cell r="D17">
            <v>15725.24259766111</v>
          </cell>
          <cell r="E17">
            <v>38</v>
          </cell>
          <cell r="F17">
            <v>133.10526315789474</v>
          </cell>
          <cell r="G17">
            <v>18637.119414788453</v>
          </cell>
          <cell r="H17">
            <v>44</v>
          </cell>
          <cell r="I17">
            <v>157.75</v>
          </cell>
          <cell r="J17">
            <v>16647.24103155165</v>
          </cell>
          <cell r="K17">
            <v>23</v>
          </cell>
          <cell r="L17">
            <v>147.08695652173913</v>
          </cell>
          <cell r="M17">
            <v>19806.872598285547</v>
          </cell>
          <cell r="N17">
            <v>29</v>
          </cell>
          <cell r="O17">
            <v>105.93103448275862</v>
          </cell>
          <cell r="P17">
            <v>22545.572916666668</v>
          </cell>
        </row>
        <row r="18">
          <cell r="A18" t="str">
            <v>Howard Johnson</v>
          </cell>
          <cell r="B18">
            <v>12</v>
          </cell>
          <cell r="C18">
            <v>115.91666666666667</v>
          </cell>
          <cell r="D18">
            <v>17391.895758447161</v>
          </cell>
          <cell r="E18">
            <v>14</v>
          </cell>
          <cell r="F18">
            <v>113.78571428571429</v>
          </cell>
          <cell r="G18">
            <v>19310.063402385436</v>
          </cell>
          <cell r="H18">
            <v>18</v>
          </cell>
          <cell r="I18">
            <v>132.5</v>
          </cell>
          <cell r="J18">
            <v>12126.8893081761</v>
          </cell>
          <cell r="K18">
            <v>19</v>
          </cell>
          <cell r="L18">
            <v>119.10526315789474</v>
          </cell>
          <cell r="M18">
            <v>20549.522757401679</v>
          </cell>
          <cell r="N18">
            <v>10</v>
          </cell>
          <cell r="O18">
            <v>143.19999999999999</v>
          </cell>
          <cell r="P18">
            <v>12571.229050279329</v>
          </cell>
        </row>
        <row r="19">
          <cell r="A19" t="str">
            <v>Rodeway Inn</v>
          </cell>
          <cell r="B19">
            <v>9</v>
          </cell>
          <cell r="C19">
            <v>131.55555555555554</v>
          </cell>
          <cell r="D19">
            <v>13363.175675675675</v>
          </cell>
          <cell r="E19">
            <v>7</v>
          </cell>
          <cell r="F19">
            <v>110.28571428571429</v>
          </cell>
          <cell r="G19">
            <v>10900.259067357512</v>
          </cell>
          <cell r="H19">
            <v>1</v>
          </cell>
          <cell r="I19">
            <v>54</v>
          </cell>
          <cell r="J19">
            <v>13888.888888888889</v>
          </cell>
          <cell r="K19">
            <v>3</v>
          </cell>
          <cell r="L19">
            <v>103</v>
          </cell>
          <cell r="M19">
            <v>8012.9449838187702</v>
          </cell>
          <cell r="N19">
            <v>29</v>
          </cell>
          <cell r="O19">
            <v>122.65517241379311</v>
          </cell>
          <cell r="P19">
            <v>46819.418330053413</v>
          </cell>
        </row>
        <row r="20">
          <cell r="A20" t="str">
            <v>Other Hotels</v>
          </cell>
          <cell r="B20">
            <v>74</v>
          </cell>
          <cell r="C20">
            <v>144.90540540540542</v>
          </cell>
          <cell r="D20">
            <v>13633.022661568592</v>
          </cell>
          <cell r="E20">
            <v>51</v>
          </cell>
          <cell r="F20">
            <v>159.19607843137254</v>
          </cell>
          <cell r="G20">
            <v>14879.949008498583</v>
          </cell>
          <cell r="H20">
            <v>59</v>
          </cell>
          <cell r="I20">
            <v>151.03389830508473</v>
          </cell>
          <cell r="J20">
            <v>11502.087307821794</v>
          </cell>
          <cell r="K20">
            <v>45</v>
          </cell>
          <cell r="L20">
            <v>120.66666666666667</v>
          </cell>
          <cell r="M20">
            <v>13069.705340699817</v>
          </cell>
          <cell r="N20">
            <v>36</v>
          </cell>
          <cell r="O20">
            <v>153.97222222222223</v>
          </cell>
          <cell r="P20">
            <v>19129.17174815082</v>
          </cell>
        </row>
        <row r="21">
          <cell r="A21" t="str">
            <v>TOTAL, ECON (Full-Svc)</v>
          </cell>
          <cell r="B21">
            <v>125</v>
          </cell>
          <cell r="C21">
            <v>138.536</v>
          </cell>
          <cell r="D21">
            <v>14402.077669342265</v>
          </cell>
          <cell r="E21">
            <v>110</v>
          </cell>
          <cell r="F21">
            <v>141.29090909090908</v>
          </cell>
          <cell r="G21">
            <v>16359.077789216317</v>
          </cell>
          <cell r="H21">
            <v>122</v>
          </cell>
          <cell r="I21">
            <v>149.92622950819671</v>
          </cell>
          <cell r="J21">
            <v>13543.066590126291</v>
          </cell>
          <cell r="K21">
            <v>90</v>
          </cell>
          <cell r="L21">
            <v>126.5</v>
          </cell>
          <cell r="M21">
            <v>16421.143610013176</v>
          </cell>
          <cell r="N21">
            <v>75</v>
          </cell>
          <cell r="O21">
            <v>133.96</v>
          </cell>
          <cell r="P21">
            <v>19239.076241664177</v>
          </cell>
        </row>
        <row r="22">
          <cell r="A22" t="str">
            <v>MID-MARKET (Limited-Service)</v>
          </cell>
          <cell r="B22">
            <v>98</v>
          </cell>
          <cell r="C22">
            <v>53.744897959183675</v>
          </cell>
          <cell r="D22">
            <v>34276.478627302073</v>
          </cell>
          <cell r="E22">
            <v>66</v>
          </cell>
          <cell r="F22">
            <v>60.287878787878789</v>
          </cell>
          <cell r="G22">
            <v>32995.484041216383</v>
          </cell>
          <cell r="H22">
            <v>53</v>
          </cell>
          <cell r="I22">
            <v>58.056603773584904</v>
          </cell>
          <cell r="J22">
            <v>39301.872278193048</v>
          </cell>
          <cell r="K22">
            <v>29</v>
          </cell>
          <cell r="L22">
            <v>65.793103448275858</v>
          </cell>
          <cell r="M22">
            <v>33980.607966457021</v>
          </cell>
          <cell r="N22">
            <v>28</v>
          </cell>
          <cell r="O22">
            <v>64</v>
          </cell>
          <cell r="P22">
            <v>45220.327008928572</v>
          </cell>
        </row>
        <row r="23">
          <cell r="A23" t="str">
            <v>Comfort Inn</v>
          </cell>
          <cell r="B23">
            <v>13</v>
          </cell>
          <cell r="C23">
            <v>101</v>
          </cell>
          <cell r="D23">
            <v>17045.138613861385</v>
          </cell>
          <cell r="E23">
            <v>15</v>
          </cell>
          <cell r="F23">
            <v>94.533333333333331</v>
          </cell>
          <cell r="G23">
            <v>21703.102961918194</v>
          </cell>
          <cell r="H23">
            <v>13</v>
          </cell>
          <cell r="I23">
            <v>117</v>
          </cell>
          <cell r="J23">
            <v>24270.216962524653</v>
          </cell>
          <cell r="K23">
            <v>27</v>
          </cell>
          <cell r="L23">
            <v>96.81481481481481</v>
          </cell>
          <cell r="M23">
            <v>38168.07612853864</v>
          </cell>
          <cell r="N23">
            <v>19</v>
          </cell>
          <cell r="O23">
            <v>108.47368421052632</v>
          </cell>
          <cell r="P23">
            <v>36306.404657933039</v>
          </cell>
        </row>
        <row r="24">
          <cell r="A24" t="str">
            <v>Fairfield Inn</v>
          </cell>
          <cell r="K24">
            <v>27</v>
          </cell>
          <cell r="L24">
            <v>123.70370370370371</v>
          </cell>
          <cell r="M24">
            <v>34798.791317365271</v>
          </cell>
        </row>
        <row r="25">
          <cell r="A25" t="str">
            <v>Hampton Inn</v>
          </cell>
          <cell r="B25">
            <v>5</v>
          </cell>
          <cell r="C25">
            <v>124.6</v>
          </cell>
          <cell r="D25">
            <v>28170.144462279295</v>
          </cell>
          <cell r="E25">
            <v>9</v>
          </cell>
          <cell r="F25">
            <v>123.22222222222223</v>
          </cell>
          <cell r="G25">
            <v>26938.536519386835</v>
          </cell>
          <cell r="H25">
            <v>5</v>
          </cell>
          <cell r="I25">
            <v>127.8</v>
          </cell>
          <cell r="J25">
            <v>25148.669796557122</v>
          </cell>
          <cell r="K25">
            <v>52</v>
          </cell>
          <cell r="L25">
            <v>124.94230769230769</v>
          </cell>
          <cell r="M25">
            <v>49050.964599045714</v>
          </cell>
          <cell r="N25">
            <v>29</v>
          </cell>
          <cell r="O25">
            <v>122.65517241379311</v>
          </cell>
          <cell r="P25">
            <v>46819.418330053413</v>
          </cell>
        </row>
        <row r="26">
          <cell r="A26" t="str">
            <v>Holiday Inn Express</v>
          </cell>
          <cell r="B26">
            <v>2</v>
          </cell>
          <cell r="C26">
            <v>87.5</v>
          </cell>
          <cell r="D26">
            <v>44000</v>
          </cell>
          <cell r="E26">
            <v>4</v>
          </cell>
          <cell r="F26">
            <v>116.5</v>
          </cell>
          <cell r="G26">
            <v>17150.991416309014</v>
          </cell>
          <cell r="H26">
            <v>2</v>
          </cell>
          <cell r="I26">
            <v>112</v>
          </cell>
          <cell r="J26">
            <v>26339.285714285714</v>
          </cell>
          <cell r="K26">
            <v>7</v>
          </cell>
          <cell r="L26">
            <v>107.57142857142857</v>
          </cell>
          <cell r="M26">
            <v>40564.729083665341</v>
          </cell>
          <cell r="N26">
            <v>7</v>
          </cell>
          <cell r="O26">
            <v>135.14285714285714</v>
          </cell>
          <cell r="P26">
            <v>33800.211416490485</v>
          </cell>
        </row>
        <row r="27">
          <cell r="A27" t="str">
            <v>Shoney's</v>
          </cell>
          <cell r="B27">
            <v>1</v>
          </cell>
          <cell r="C27">
            <v>100</v>
          </cell>
          <cell r="D27">
            <v>23000</v>
          </cell>
          <cell r="E27">
            <v>7</v>
          </cell>
          <cell r="F27">
            <v>110.28571428571429</v>
          </cell>
          <cell r="G27">
            <v>10900.259067357512</v>
          </cell>
          <cell r="H27">
            <v>2</v>
          </cell>
          <cell r="I27">
            <v>137.5</v>
          </cell>
          <cell r="J27">
            <v>23636.363636363636</v>
          </cell>
          <cell r="K27">
            <v>15</v>
          </cell>
          <cell r="L27">
            <v>117.6</v>
          </cell>
          <cell r="M27">
            <v>25708.616780045351</v>
          </cell>
          <cell r="N27">
            <v>1</v>
          </cell>
          <cell r="O27">
            <v>99</v>
          </cell>
          <cell r="P27">
            <v>28282.828282828283</v>
          </cell>
        </row>
        <row r="28">
          <cell r="A28" t="str">
            <v>Other Hotels</v>
          </cell>
          <cell r="B28">
            <v>98</v>
          </cell>
          <cell r="C28">
            <v>53.744897959183675</v>
          </cell>
          <cell r="D28">
            <v>34276.478627302073</v>
          </cell>
          <cell r="E28">
            <v>66</v>
          </cell>
          <cell r="F28">
            <v>60.287878787878789</v>
          </cell>
          <cell r="G28">
            <v>32995.484041216383</v>
          </cell>
          <cell r="H28">
            <v>53</v>
          </cell>
          <cell r="I28">
            <v>58.056603773584904</v>
          </cell>
          <cell r="J28">
            <v>39301.872278193048</v>
          </cell>
          <cell r="K28">
            <v>29</v>
          </cell>
          <cell r="L28">
            <v>65.793103448275858</v>
          </cell>
          <cell r="M28">
            <v>33980.607966457021</v>
          </cell>
          <cell r="N28">
            <v>28</v>
          </cell>
          <cell r="O28">
            <v>64</v>
          </cell>
          <cell r="P28">
            <v>45220.327008928572</v>
          </cell>
        </row>
        <row r="29">
          <cell r="A29" t="str">
            <v>TOTAL, MID-MKT (Ltd-Svc)</v>
          </cell>
          <cell r="B29">
            <v>119</v>
          </cell>
          <cell r="C29">
            <v>62.840336134453779</v>
          </cell>
          <cell r="D29">
            <v>30818.999723188019</v>
          </cell>
          <cell r="E29">
            <v>94</v>
          </cell>
          <cell r="F29">
            <v>74.170212765957444</v>
          </cell>
          <cell r="G29">
            <v>28676.309523809523</v>
          </cell>
          <cell r="H29">
            <v>75</v>
          </cell>
          <cell r="I29">
            <v>76.48</v>
          </cell>
          <cell r="J29">
            <v>32482.019002789399</v>
          </cell>
          <cell r="K29">
            <v>157</v>
          </cell>
          <cell r="L29">
            <v>107.49044585987261</v>
          </cell>
          <cell r="M29">
            <v>40022.142213794737</v>
          </cell>
          <cell r="N29">
            <v>84</v>
          </cell>
          <cell r="O29">
            <v>100.6547619047619</v>
          </cell>
          <cell r="P29">
            <v>42244.115552927266</v>
          </cell>
        </row>
        <row r="30">
          <cell r="A30" t="str">
            <v>MID-MARKET (Full-Service)</v>
          </cell>
        </row>
        <row r="31">
          <cell r="A31" t="str">
            <v>Best Western</v>
          </cell>
          <cell r="B31">
            <v>30</v>
          </cell>
          <cell r="C31">
            <v>84.4</v>
          </cell>
          <cell r="D31">
            <v>27892.772511848339</v>
          </cell>
          <cell r="E31">
            <v>25</v>
          </cell>
          <cell r="F31">
            <v>129.47999999999999</v>
          </cell>
          <cell r="G31">
            <v>18688.446092060549</v>
          </cell>
          <cell r="H31">
            <v>30</v>
          </cell>
          <cell r="I31">
            <v>92.733333333333334</v>
          </cell>
          <cell r="J31">
            <v>26086.730409777138</v>
          </cell>
          <cell r="K31">
            <v>27</v>
          </cell>
          <cell r="L31">
            <v>107.18518518518519</v>
          </cell>
          <cell r="M31">
            <v>25950.932964754666</v>
          </cell>
          <cell r="N31">
            <v>20</v>
          </cell>
          <cell r="O31">
            <v>105.5</v>
          </cell>
          <cell r="P31">
            <v>29002.843601895736</v>
          </cell>
        </row>
        <row r="32">
          <cell r="A32" t="str">
            <v>Courtyard</v>
          </cell>
          <cell r="H32">
            <v>1</v>
          </cell>
          <cell r="I32">
            <v>149</v>
          </cell>
          <cell r="J32">
            <v>55369.127516778521</v>
          </cell>
          <cell r="N32">
            <v>38</v>
          </cell>
          <cell r="O32">
            <v>142.15789473684211</v>
          </cell>
          <cell r="P32">
            <v>62089.95945945946</v>
          </cell>
        </row>
        <row r="33">
          <cell r="A33" t="str">
            <v>Holiday Inn</v>
          </cell>
          <cell r="B33">
            <v>28</v>
          </cell>
          <cell r="C33">
            <v>185.42857142857142</v>
          </cell>
          <cell r="D33">
            <v>23002.719953775038</v>
          </cell>
          <cell r="E33">
            <v>45</v>
          </cell>
          <cell r="F33">
            <v>193.73333333333332</v>
          </cell>
          <cell r="G33">
            <v>25440.390112411103</v>
          </cell>
          <cell r="H33">
            <v>43</v>
          </cell>
          <cell r="I33">
            <v>203.37209302325581</v>
          </cell>
          <cell r="J33">
            <v>24976.214979988566</v>
          </cell>
          <cell r="K33">
            <v>32</v>
          </cell>
          <cell r="L33">
            <v>210.90625</v>
          </cell>
          <cell r="M33">
            <v>33740.702326270555</v>
          </cell>
          <cell r="N33">
            <v>40</v>
          </cell>
          <cell r="O33">
            <v>181.77500000000001</v>
          </cell>
          <cell r="P33">
            <v>44107.909228441757</v>
          </cell>
        </row>
        <row r="34">
          <cell r="A34" t="str">
            <v>Quality Inn</v>
          </cell>
          <cell r="B34">
            <v>11</v>
          </cell>
          <cell r="C34">
            <v>156.81818181818181</v>
          </cell>
          <cell r="D34">
            <v>22049.739130434784</v>
          </cell>
          <cell r="E34">
            <v>12</v>
          </cell>
          <cell r="F34">
            <v>122.08333333333333</v>
          </cell>
          <cell r="G34">
            <v>22190.779522184301</v>
          </cell>
          <cell r="H34">
            <v>8</v>
          </cell>
          <cell r="I34">
            <v>150.375</v>
          </cell>
          <cell r="J34">
            <v>16342.477140482128</v>
          </cell>
          <cell r="K34">
            <v>9</v>
          </cell>
          <cell r="L34">
            <v>176.88888888888889</v>
          </cell>
          <cell r="M34">
            <v>15690.954773869347</v>
          </cell>
          <cell r="N34">
            <v>8</v>
          </cell>
          <cell r="O34">
            <v>171.75</v>
          </cell>
          <cell r="P34">
            <v>27365.356622998544</v>
          </cell>
        </row>
        <row r="35">
          <cell r="A35" t="str">
            <v>Ramada Inn</v>
          </cell>
          <cell r="B35">
            <v>19</v>
          </cell>
          <cell r="C35">
            <v>163.89473684210526</v>
          </cell>
          <cell r="D35">
            <v>24242.871547848426</v>
          </cell>
          <cell r="E35">
            <v>30</v>
          </cell>
          <cell r="F35">
            <v>159.46666666666667</v>
          </cell>
          <cell r="G35">
            <v>16243.153428093645</v>
          </cell>
          <cell r="H35">
            <v>29</v>
          </cell>
          <cell r="I35">
            <v>177</v>
          </cell>
          <cell r="J35">
            <v>16621.357880381842</v>
          </cell>
          <cell r="K35">
            <v>19</v>
          </cell>
          <cell r="L35">
            <v>179.57894736842104</v>
          </cell>
          <cell r="M35">
            <v>19299.412368112546</v>
          </cell>
          <cell r="N35">
            <v>22</v>
          </cell>
          <cell r="O35">
            <v>164</v>
          </cell>
          <cell r="P35">
            <v>20503.048780487807</v>
          </cell>
        </row>
        <row r="36">
          <cell r="A36" t="str">
            <v>Other Hotels</v>
          </cell>
          <cell r="B36">
            <v>21</v>
          </cell>
          <cell r="C36">
            <v>156.38095238095238</v>
          </cell>
          <cell r="D36">
            <v>32875.091352009746</v>
          </cell>
          <cell r="E36">
            <v>25</v>
          </cell>
          <cell r="F36">
            <v>396</v>
          </cell>
          <cell r="G36">
            <v>35518.888888888891</v>
          </cell>
          <cell r="H36">
            <v>30</v>
          </cell>
          <cell r="I36">
            <v>215.56666666666666</v>
          </cell>
          <cell r="J36">
            <v>34216.687335704344</v>
          </cell>
          <cell r="K36">
            <v>12</v>
          </cell>
          <cell r="L36">
            <v>156.83333333333334</v>
          </cell>
          <cell r="M36">
            <v>33663.655685441023</v>
          </cell>
          <cell r="N36">
            <v>15</v>
          </cell>
          <cell r="O36">
            <v>148.06666666666666</v>
          </cell>
          <cell r="P36">
            <v>43714.044574515981</v>
          </cell>
        </row>
        <row r="37">
          <cell r="A37" t="str">
            <v>TOTAL, MID-MKT (Full-Svc)</v>
          </cell>
          <cell r="B37">
            <v>109</v>
          </cell>
          <cell r="C37">
            <v>145.38532110091742</v>
          </cell>
          <cell r="D37">
            <v>25969.869628320819</v>
          </cell>
          <cell r="E37">
            <v>137</v>
          </cell>
          <cell r="F37">
            <v>205.13868613138686</v>
          </cell>
          <cell r="G37">
            <v>26477.9945559351</v>
          </cell>
          <cell r="H37">
            <v>141</v>
          </cell>
          <cell r="I37">
            <v>173.60992907801418</v>
          </cell>
          <cell r="J37">
            <v>25552.393112463746</v>
          </cell>
          <cell r="K37">
            <v>99</v>
          </cell>
          <cell r="L37">
            <v>166.95959595959596</v>
          </cell>
          <cell r="M37">
            <v>27648.532579103394</v>
          </cell>
          <cell r="N37">
            <v>143</v>
          </cell>
          <cell r="O37">
            <v>153.74825174825176</v>
          </cell>
          <cell r="P37">
            <v>42116.731647411987</v>
          </cell>
        </row>
        <row r="38">
          <cell r="A38" t="str">
            <v>FIRST-CLASS (Upscale)</v>
          </cell>
        </row>
        <row r="39">
          <cell r="A39" t="str">
            <v>Doubletree</v>
          </cell>
          <cell r="B39">
            <v>1</v>
          </cell>
          <cell r="C39">
            <v>289</v>
          </cell>
          <cell r="D39">
            <v>62629.757785467125</v>
          </cell>
          <cell r="E39">
            <v>3</v>
          </cell>
          <cell r="F39">
            <v>218.66666666666666</v>
          </cell>
          <cell r="G39">
            <v>43109.756097560974</v>
          </cell>
          <cell r="H39">
            <v>10</v>
          </cell>
          <cell r="I39">
            <v>262.7</v>
          </cell>
          <cell r="J39">
            <v>37086.029691663498</v>
          </cell>
          <cell r="K39">
            <v>3</v>
          </cell>
          <cell r="L39">
            <v>251.66666666666666</v>
          </cell>
          <cell r="M39">
            <v>48675.496688741725</v>
          </cell>
          <cell r="N39">
            <v>6</v>
          </cell>
          <cell r="O39">
            <v>239.5</v>
          </cell>
          <cell r="P39">
            <v>53316.283924843425</v>
          </cell>
        </row>
        <row r="40">
          <cell r="A40" t="str">
            <v>Embassy Suites</v>
          </cell>
          <cell r="B40">
            <v>4</v>
          </cell>
          <cell r="C40">
            <v>218</v>
          </cell>
          <cell r="D40">
            <v>44542.431192660551</v>
          </cell>
          <cell r="E40">
            <v>3</v>
          </cell>
          <cell r="F40">
            <v>229</v>
          </cell>
          <cell r="G40">
            <v>57860.262008733625</v>
          </cell>
          <cell r="H40">
            <v>1</v>
          </cell>
          <cell r="I40">
            <v>212</v>
          </cell>
          <cell r="J40">
            <v>43867.92452830189</v>
          </cell>
          <cell r="K40">
            <v>8</v>
          </cell>
          <cell r="L40">
            <v>241</v>
          </cell>
          <cell r="M40">
            <v>52411.825726141076</v>
          </cell>
          <cell r="N40">
            <v>9</v>
          </cell>
          <cell r="O40">
            <v>194.11111111111111</v>
          </cell>
          <cell r="P40">
            <v>66921.579851173447</v>
          </cell>
        </row>
        <row r="41">
          <cell r="A41" t="str">
            <v>Hilton</v>
          </cell>
          <cell r="B41">
            <v>8</v>
          </cell>
          <cell r="C41">
            <v>283.375</v>
          </cell>
          <cell r="D41">
            <v>31737.979708866344</v>
          </cell>
          <cell r="E41">
            <v>8</v>
          </cell>
          <cell r="F41">
            <v>360.25</v>
          </cell>
          <cell r="G41">
            <v>31335.877862595418</v>
          </cell>
          <cell r="H41">
            <v>9</v>
          </cell>
          <cell r="I41">
            <v>279.22222222222223</v>
          </cell>
          <cell r="J41">
            <v>41555.90927178671</v>
          </cell>
          <cell r="K41">
            <v>6</v>
          </cell>
          <cell r="L41">
            <v>263.5</v>
          </cell>
          <cell r="M41">
            <v>40920.303605313093</v>
          </cell>
          <cell r="N41">
            <v>9</v>
          </cell>
          <cell r="O41">
            <v>271.77777777777777</v>
          </cell>
          <cell r="P41">
            <v>58505.314799672939</v>
          </cell>
        </row>
        <row r="42">
          <cell r="A42" t="str">
            <v>Hyatt Hotels</v>
          </cell>
          <cell r="B42">
            <v>5</v>
          </cell>
          <cell r="C42">
            <v>358.6</v>
          </cell>
          <cell r="D42">
            <v>39765.755716675965</v>
          </cell>
          <cell r="E42">
            <v>2</v>
          </cell>
          <cell r="F42">
            <v>358.5</v>
          </cell>
          <cell r="G42">
            <v>63319.386331938636</v>
          </cell>
          <cell r="H42">
            <v>4</v>
          </cell>
          <cell r="I42">
            <v>645</v>
          </cell>
          <cell r="J42">
            <v>55152.713178294573</v>
          </cell>
          <cell r="K42">
            <v>4</v>
          </cell>
          <cell r="L42">
            <v>290.25</v>
          </cell>
          <cell r="M42">
            <v>60818.260120585699</v>
          </cell>
          <cell r="N42">
            <v>6</v>
          </cell>
          <cell r="O42">
            <v>347.16666666666669</v>
          </cell>
          <cell r="P42">
            <v>103960.63370139222</v>
          </cell>
        </row>
        <row r="43">
          <cell r="A43" t="str">
            <v>Marriott Hotels</v>
          </cell>
          <cell r="B43">
            <v>3</v>
          </cell>
          <cell r="C43">
            <v>346</v>
          </cell>
          <cell r="D43">
            <v>87620.423892100196</v>
          </cell>
          <cell r="E43">
            <v>6</v>
          </cell>
          <cell r="F43">
            <v>335.33333333333331</v>
          </cell>
          <cell r="G43">
            <v>66177.932405566607</v>
          </cell>
          <cell r="H43">
            <v>6</v>
          </cell>
          <cell r="I43">
            <v>270.33333333333331</v>
          </cell>
          <cell r="J43">
            <v>49499.075215782985</v>
          </cell>
          <cell r="K43">
            <v>14</v>
          </cell>
          <cell r="L43">
            <v>436.85714285714283</v>
          </cell>
          <cell r="M43">
            <v>65894.211903204705</v>
          </cell>
          <cell r="N43">
            <v>17</v>
          </cell>
          <cell r="O43">
            <v>380.05882352941177</v>
          </cell>
          <cell r="P43">
            <v>75451.478099365428</v>
          </cell>
        </row>
        <row r="44">
          <cell r="A44" t="str">
            <v>Omni Hotels</v>
          </cell>
          <cell r="B44">
            <v>2</v>
          </cell>
          <cell r="C44">
            <v>249</v>
          </cell>
          <cell r="D44">
            <v>79116.465863453821</v>
          </cell>
          <cell r="E44">
            <v>4</v>
          </cell>
          <cell r="F44">
            <v>402.25</v>
          </cell>
          <cell r="G44">
            <v>75584.835301429455</v>
          </cell>
          <cell r="H44">
            <v>3</v>
          </cell>
          <cell r="I44">
            <v>509</v>
          </cell>
          <cell r="J44">
            <v>36145.383104125736</v>
          </cell>
          <cell r="K44">
            <v>2</v>
          </cell>
          <cell r="L44">
            <v>799.5</v>
          </cell>
          <cell r="M44">
            <v>40306.44152595372</v>
          </cell>
          <cell r="N44">
            <v>3</v>
          </cell>
          <cell r="O44">
            <v>605</v>
          </cell>
          <cell r="P44">
            <v>42823.691460055095</v>
          </cell>
        </row>
        <row r="45">
          <cell r="A45" t="str">
            <v>Radisson</v>
          </cell>
          <cell r="B45">
            <v>4</v>
          </cell>
          <cell r="C45">
            <v>149.5</v>
          </cell>
          <cell r="D45">
            <v>26672.240802675584</v>
          </cell>
          <cell r="E45">
            <v>6</v>
          </cell>
          <cell r="F45">
            <v>339.5</v>
          </cell>
          <cell r="G45">
            <v>32404.311242022581</v>
          </cell>
          <cell r="H45">
            <v>7</v>
          </cell>
          <cell r="I45">
            <v>279.28571428571428</v>
          </cell>
          <cell r="J45">
            <v>30030.6905370844</v>
          </cell>
          <cell r="K45">
            <v>10</v>
          </cell>
          <cell r="L45">
            <v>349.8</v>
          </cell>
          <cell r="M45">
            <v>49303.887935963408</v>
          </cell>
          <cell r="N45">
            <v>17</v>
          </cell>
          <cell r="O45">
            <v>311.8235294117647</v>
          </cell>
          <cell r="P45">
            <v>52270.326353518205</v>
          </cell>
        </row>
        <row r="46">
          <cell r="A46" t="str">
            <v>Residence Inn</v>
          </cell>
          <cell r="E46">
            <v>2</v>
          </cell>
          <cell r="F46">
            <v>105</v>
          </cell>
          <cell r="G46">
            <v>51976.190476190473</v>
          </cell>
          <cell r="H46">
            <v>1</v>
          </cell>
          <cell r="I46">
            <v>128</v>
          </cell>
          <cell r="J46">
            <v>59929.6875</v>
          </cell>
          <cell r="K46">
            <v>16</v>
          </cell>
          <cell r="L46">
            <v>120.8125</v>
          </cell>
          <cell r="M46">
            <v>73859.389549922402</v>
          </cell>
          <cell r="N46">
            <v>17</v>
          </cell>
          <cell r="O46">
            <v>108.23529411764706</v>
          </cell>
          <cell r="P46">
            <v>74948.369565217392</v>
          </cell>
        </row>
        <row r="47">
          <cell r="A47" t="str">
            <v>Sheraton</v>
          </cell>
          <cell r="B47">
            <v>11</v>
          </cell>
          <cell r="C47">
            <v>236.18181818181819</v>
          </cell>
          <cell r="D47">
            <v>47731.562740569672</v>
          </cell>
          <cell r="E47">
            <v>17</v>
          </cell>
          <cell r="F47">
            <v>223.35294117647058</v>
          </cell>
          <cell r="G47">
            <v>34340.777982617859</v>
          </cell>
          <cell r="H47">
            <v>5</v>
          </cell>
          <cell r="I47">
            <v>160.80000000000001</v>
          </cell>
          <cell r="J47">
            <v>23513.580845771143</v>
          </cell>
          <cell r="K47">
            <v>15</v>
          </cell>
          <cell r="L47">
            <v>325.60000000000002</v>
          </cell>
          <cell r="M47">
            <v>47384.009009009009</v>
          </cell>
          <cell r="N47">
            <v>10</v>
          </cell>
          <cell r="O47">
            <v>333.5</v>
          </cell>
          <cell r="P47">
            <v>46416.409895052471</v>
          </cell>
        </row>
        <row r="48">
          <cell r="A48" t="str">
            <v>Other Hotels</v>
          </cell>
          <cell r="B48">
            <v>12</v>
          </cell>
          <cell r="C48">
            <v>194.33333333333334</v>
          </cell>
          <cell r="D48">
            <v>61595.505574614064</v>
          </cell>
          <cell r="E48">
            <v>17</v>
          </cell>
          <cell r="F48">
            <v>279.05882352941177</v>
          </cell>
          <cell r="G48">
            <v>60037.521079258011</v>
          </cell>
          <cell r="H48">
            <v>14</v>
          </cell>
          <cell r="I48">
            <v>217.21428571428572</v>
          </cell>
          <cell r="J48">
            <v>58989.584018414993</v>
          </cell>
          <cell r="K48">
            <v>13</v>
          </cell>
          <cell r="L48">
            <v>342.07692307692309</v>
          </cell>
          <cell r="M48">
            <v>74094.445693726113</v>
          </cell>
          <cell r="N48">
            <v>29</v>
          </cell>
          <cell r="O48">
            <v>389.17241379310343</v>
          </cell>
          <cell r="P48">
            <v>68422.192539429379</v>
          </cell>
        </row>
        <row r="49">
          <cell r="A49" t="str">
            <v>TOTAL, FIRST-CLASS (Ups)</v>
          </cell>
          <cell r="B49">
            <v>50</v>
          </cell>
          <cell r="C49">
            <v>245.7</v>
          </cell>
          <cell r="D49">
            <v>49990.909157509159</v>
          </cell>
          <cell r="E49">
            <v>68</v>
          </cell>
          <cell r="F49">
            <v>284.5735294117647</v>
          </cell>
          <cell r="G49">
            <v>49126.066663221536</v>
          </cell>
          <cell r="H49">
            <v>60</v>
          </cell>
          <cell r="I49">
            <v>283.48333333333335</v>
          </cell>
          <cell r="J49">
            <v>44306.175789288027</v>
          </cell>
          <cell r="K49">
            <v>91</v>
          </cell>
          <cell r="L49">
            <v>306.61538461538464</v>
          </cell>
          <cell r="M49">
            <v>57942.824887104864</v>
          </cell>
          <cell r="N49">
            <v>123</v>
          </cell>
          <cell r="O49">
            <v>306.91869918699189</v>
          </cell>
          <cell r="P49">
            <v>65174.434902386689</v>
          </cell>
        </row>
        <row r="50">
          <cell r="A50" t="str">
            <v>LUXURY</v>
          </cell>
        </row>
        <row r="51">
          <cell r="A51" t="str">
            <v>Other Hotels</v>
          </cell>
          <cell r="B51">
            <v>16</v>
          </cell>
          <cell r="C51">
            <v>266.875</v>
          </cell>
          <cell r="D51">
            <v>152950.62412177987</v>
          </cell>
          <cell r="E51">
            <v>9</v>
          </cell>
          <cell r="F51">
            <v>282.33333333333331</v>
          </cell>
          <cell r="G51">
            <v>161846.51711924438</v>
          </cell>
          <cell r="H51">
            <v>9</v>
          </cell>
          <cell r="I51">
            <v>431.66666666666669</v>
          </cell>
          <cell r="J51">
            <v>160893.17889317891</v>
          </cell>
          <cell r="K51">
            <v>18</v>
          </cell>
          <cell r="L51">
            <v>326.83333333333331</v>
          </cell>
          <cell r="M51">
            <v>144753.52711201768</v>
          </cell>
          <cell r="N51">
            <v>14</v>
          </cell>
          <cell r="O51">
            <v>303.78571428571428</v>
          </cell>
          <cell r="P51">
            <v>176910.41617681636</v>
          </cell>
        </row>
        <row r="52">
          <cell r="A52" t="str">
            <v>TOTAL, LUXURY</v>
          </cell>
          <cell r="B52">
            <v>16</v>
          </cell>
          <cell r="C52">
            <v>266.875</v>
          </cell>
          <cell r="D52">
            <v>152950.62412177987</v>
          </cell>
          <cell r="E52">
            <v>9</v>
          </cell>
          <cell r="F52">
            <v>282.33333333333331</v>
          </cell>
          <cell r="G52">
            <v>161846.51711924438</v>
          </cell>
          <cell r="H52">
            <v>9</v>
          </cell>
          <cell r="I52">
            <v>431.66666666666669</v>
          </cell>
          <cell r="J52">
            <v>160893.17889317891</v>
          </cell>
          <cell r="K52">
            <v>18</v>
          </cell>
          <cell r="L52">
            <v>326.83333333333331</v>
          </cell>
          <cell r="M52">
            <v>144753.52711201768</v>
          </cell>
          <cell r="N52">
            <v>14</v>
          </cell>
          <cell r="O52">
            <v>303.78571428571428</v>
          </cell>
          <cell r="P52">
            <v>176910.41617681636</v>
          </cell>
        </row>
        <row r="53">
          <cell r="A53" t="str">
            <v>GRAND TOTAL</v>
          </cell>
          <cell r="B53">
            <v>593</v>
          </cell>
          <cell r="C53">
            <v>117.44350758853288</v>
          </cell>
          <cell r="D53">
            <v>33568.330896559644</v>
          </cell>
          <cell r="E53">
            <v>561</v>
          </cell>
          <cell r="F53">
            <v>148.30124777183602</v>
          </cell>
          <cell r="G53">
            <v>32414.027008185392</v>
          </cell>
          <cell r="H53">
            <v>529</v>
          </cell>
          <cell r="I53">
            <v>148.65217391304347</v>
          </cell>
          <cell r="J53">
            <v>32688.659511425918</v>
          </cell>
          <cell r="K53">
            <v>570</v>
          </cell>
          <cell r="L53">
            <v>149.95789473684209</v>
          </cell>
          <cell r="M53">
            <v>45533.311900416491</v>
          </cell>
          <cell r="N53">
            <v>531</v>
          </cell>
          <cell r="O53">
            <v>166.00376647834275</v>
          </cell>
          <cell r="P53">
            <v>54255.443504106726</v>
          </cell>
        </row>
        <row r="54">
          <cell r="A54" t="str">
            <v>Sources: National Hotel Realty Advisors and Hospitality Valuation Services</v>
          </cell>
        </row>
      </sheetData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Category"/>
      <sheetName val="By Market Segment"/>
    </sheetNames>
    <sheetDataSet>
      <sheetData sheetId="0" refreshError="1">
        <row r="1">
          <cell r="A1" t="str">
            <v>Hotel Sales, By Category: 1991 - 1995</v>
          </cell>
        </row>
        <row r="3">
          <cell r="C3">
            <v>1991</v>
          </cell>
          <cell r="F3">
            <v>1992</v>
          </cell>
          <cell r="I3">
            <v>1993</v>
          </cell>
          <cell r="L3">
            <v>1994</v>
          </cell>
          <cell r="O3">
            <v>1995</v>
          </cell>
        </row>
        <row r="4">
          <cell r="B4" t="str">
            <v>Hotels Sold</v>
          </cell>
          <cell r="C4" t="str">
            <v>Avg. # of Rooms</v>
          </cell>
          <cell r="D4" t="str">
            <v>Avg. Selling Price per Room</v>
          </cell>
          <cell r="E4" t="str">
            <v>Hotels Sold</v>
          </cell>
          <cell r="F4" t="str">
            <v>Avg. # of Rooms</v>
          </cell>
          <cell r="G4" t="str">
            <v>Avg. Selling Price per Room</v>
          </cell>
          <cell r="H4" t="str">
            <v>Hotels Sold</v>
          </cell>
          <cell r="I4" t="str">
            <v>Avg. # of Rooms</v>
          </cell>
          <cell r="J4" t="str">
            <v>Avg. Selling Price per Room</v>
          </cell>
          <cell r="K4" t="str">
            <v>Hotels Sold</v>
          </cell>
          <cell r="L4" t="str">
            <v>Avg. # of Rooms</v>
          </cell>
          <cell r="M4" t="str">
            <v>Avg. Selling Price per Room</v>
          </cell>
          <cell r="N4" t="str">
            <v>Hotels Sold</v>
          </cell>
          <cell r="O4" t="str">
            <v>Avg. # of Rooms</v>
          </cell>
          <cell r="P4" t="str">
            <v>Avg. Selling Price per Room</v>
          </cell>
        </row>
        <row r="5">
          <cell r="A5" t="str">
            <v>BY PROPERTY TYPE</v>
          </cell>
        </row>
        <row r="6">
          <cell r="A6" t="str">
            <v xml:space="preserve">Budget </v>
          </cell>
          <cell r="B6">
            <v>93</v>
          </cell>
          <cell r="C6">
            <v>66.924731182795696</v>
          </cell>
          <cell r="D6">
            <v>11561.897689588688</v>
          </cell>
          <cell r="E6">
            <v>68</v>
          </cell>
          <cell r="F6">
            <v>66.720588235294116</v>
          </cell>
          <cell r="G6">
            <v>9591.7474101829412</v>
          </cell>
          <cell r="H6">
            <v>66</v>
          </cell>
          <cell r="I6">
            <v>70.818181818181813</v>
          </cell>
          <cell r="J6">
            <v>13559.060975609756</v>
          </cell>
          <cell r="K6">
            <v>65</v>
          </cell>
          <cell r="L6">
            <v>52.876923076923077</v>
          </cell>
          <cell r="M6">
            <v>11495.479778876928</v>
          </cell>
          <cell r="N6">
            <v>46</v>
          </cell>
          <cell r="O6">
            <v>57</v>
          </cell>
          <cell r="P6">
            <v>11803.714721586575</v>
          </cell>
        </row>
        <row r="7">
          <cell r="A7" t="str">
            <v>Econ, Ltd &amp; Full-Svc</v>
          </cell>
          <cell r="B7">
            <v>206</v>
          </cell>
          <cell r="C7">
            <v>114.27184466019418</v>
          </cell>
          <cell r="D7">
            <v>15149.749269753611</v>
          </cell>
          <cell r="E7">
            <v>185</v>
          </cell>
          <cell r="F7">
            <v>117.25405405405405</v>
          </cell>
          <cell r="G7">
            <v>16009.254195094965</v>
          </cell>
          <cell r="H7">
            <v>178</v>
          </cell>
          <cell r="I7">
            <v>128.3932584269663</v>
          </cell>
          <cell r="J7">
            <v>13856.455368863219</v>
          </cell>
          <cell r="K7">
            <v>140</v>
          </cell>
          <cell r="L7">
            <v>106.06428571428572</v>
          </cell>
          <cell r="M7">
            <v>16955.581992053336</v>
          </cell>
          <cell r="N7">
            <v>121</v>
          </cell>
          <cell r="O7">
            <v>108.10743801652893</v>
          </cell>
          <cell r="P7">
            <v>19540.321305710571</v>
          </cell>
        </row>
        <row r="8">
          <cell r="A8" t="str">
            <v>Mid-Mkt, Ltd &amp; Full-Svc</v>
          </cell>
          <cell r="B8">
            <v>228</v>
          </cell>
          <cell r="C8">
            <v>102.30263157894737</v>
          </cell>
          <cell r="D8">
            <v>27524.501776205791</v>
          </cell>
          <cell r="E8">
            <v>231</v>
          </cell>
          <cell r="F8">
            <v>151.84415584415584</v>
          </cell>
          <cell r="G8">
            <v>26914.950079826664</v>
          </cell>
          <cell r="H8">
            <v>216</v>
          </cell>
          <cell r="I8">
            <v>139.88425925925927</v>
          </cell>
          <cell r="J8">
            <v>26867.909713718353</v>
          </cell>
          <cell r="K8">
            <v>256</v>
          </cell>
          <cell r="L8">
            <v>130.48828125</v>
          </cell>
          <cell r="M8">
            <v>33899.603861697353</v>
          </cell>
          <cell r="N8">
            <v>227</v>
          </cell>
          <cell r="O8">
            <v>134.10132158590309</v>
          </cell>
          <cell r="P8">
            <v>42152.112578430409</v>
          </cell>
        </row>
        <row r="9">
          <cell r="A9" t="str">
            <v xml:space="preserve">Upscale (First Class) </v>
          </cell>
          <cell r="B9">
            <v>50</v>
          </cell>
          <cell r="C9">
            <v>245.7</v>
          </cell>
          <cell r="D9">
            <v>49990.909157509159</v>
          </cell>
          <cell r="E9">
            <v>68</v>
          </cell>
          <cell r="F9">
            <v>284.5735294117647</v>
          </cell>
          <cell r="G9">
            <v>49126.066663221536</v>
          </cell>
          <cell r="H9">
            <v>60</v>
          </cell>
          <cell r="I9">
            <v>283.48333333333335</v>
          </cell>
          <cell r="J9">
            <v>44306.175789288027</v>
          </cell>
          <cell r="K9">
            <v>91</v>
          </cell>
          <cell r="L9">
            <v>306.61538461538464</v>
          </cell>
          <cell r="M9">
            <v>57942.824887104864</v>
          </cell>
          <cell r="N9">
            <v>123</v>
          </cell>
          <cell r="O9">
            <v>306.91869918699189</v>
          </cell>
          <cell r="P9">
            <v>65174.434902386689</v>
          </cell>
        </row>
        <row r="10">
          <cell r="A10" t="str">
            <v xml:space="preserve">Luxury </v>
          </cell>
          <cell r="B10">
            <v>16</v>
          </cell>
          <cell r="C10">
            <v>266.875</v>
          </cell>
          <cell r="D10">
            <v>152950.62412177987</v>
          </cell>
          <cell r="E10">
            <v>9</v>
          </cell>
          <cell r="F10">
            <v>282.33333333333331</v>
          </cell>
          <cell r="G10">
            <v>161846.51711924438</v>
          </cell>
          <cell r="H10">
            <v>9</v>
          </cell>
          <cell r="I10">
            <v>431.66666666666669</v>
          </cell>
          <cell r="J10">
            <v>160893.17889317891</v>
          </cell>
          <cell r="K10">
            <v>18</v>
          </cell>
          <cell r="L10">
            <v>326.83333333333331</v>
          </cell>
          <cell r="M10">
            <v>144753.52711201768</v>
          </cell>
          <cell r="N10">
            <v>14</v>
          </cell>
          <cell r="O10">
            <v>303.78571428571428</v>
          </cell>
          <cell r="P10">
            <v>176910.41617681636</v>
          </cell>
        </row>
        <row r="11">
          <cell r="A11" t="str">
            <v>GRAND TOTAL</v>
          </cell>
          <cell r="B11">
            <v>593</v>
          </cell>
          <cell r="C11">
            <v>117.44350758853288</v>
          </cell>
          <cell r="D11">
            <v>33568.330896559644</v>
          </cell>
          <cell r="E11">
            <v>561</v>
          </cell>
          <cell r="F11">
            <v>148.30124777183602</v>
          </cell>
          <cell r="G11">
            <v>32414.027008185392</v>
          </cell>
          <cell r="H11">
            <v>529</v>
          </cell>
          <cell r="I11">
            <v>148.65217391304347</v>
          </cell>
          <cell r="J11">
            <v>32688.659511425918</v>
          </cell>
          <cell r="K11">
            <v>570</v>
          </cell>
          <cell r="L11">
            <v>149.95789473684209</v>
          </cell>
          <cell r="M11">
            <v>45533.311900416491</v>
          </cell>
          <cell r="N11">
            <v>531</v>
          </cell>
          <cell r="O11">
            <v>166.00376647834275</v>
          </cell>
          <cell r="P11">
            <v>54255.443504106726</v>
          </cell>
        </row>
        <row r="12">
          <cell r="A12" t="str">
            <v>BY LOCATION</v>
          </cell>
        </row>
        <row r="13">
          <cell r="A13" t="str">
            <v>Highway</v>
          </cell>
          <cell r="B13">
            <v>294</v>
          </cell>
          <cell r="C13">
            <v>91.523809523809518</v>
          </cell>
          <cell r="D13">
            <v>16487.747620038652</v>
          </cell>
          <cell r="E13">
            <v>266</v>
          </cell>
          <cell r="F13">
            <v>104.90225563909775</v>
          </cell>
          <cell r="G13">
            <v>16088.48881880734</v>
          </cell>
          <cell r="H13">
            <v>234</v>
          </cell>
          <cell r="I13">
            <v>111.31196581196581</v>
          </cell>
          <cell r="J13">
            <v>18306.245057012326</v>
          </cell>
          <cell r="K13">
            <v>245</v>
          </cell>
          <cell r="L13">
            <v>84.820408163265313</v>
          </cell>
          <cell r="M13">
            <v>23645.580241566815</v>
          </cell>
          <cell r="N13">
            <v>223</v>
          </cell>
          <cell r="O13">
            <v>101.49775784753363</v>
          </cell>
          <cell r="P13">
            <v>30565.454581602899</v>
          </cell>
        </row>
        <row r="14">
          <cell r="A14" t="str">
            <v>Suburban</v>
          </cell>
          <cell r="B14">
            <v>140</v>
          </cell>
          <cell r="C14">
            <v>137.30714285714285</v>
          </cell>
          <cell r="D14">
            <v>29077.971804609064</v>
          </cell>
          <cell r="E14">
            <v>118</v>
          </cell>
          <cell r="F14">
            <v>147.77118644067798</v>
          </cell>
          <cell r="G14">
            <v>27716.300338360958</v>
          </cell>
          <cell r="H14">
            <v>135</v>
          </cell>
          <cell r="I14">
            <v>151.32592592592593</v>
          </cell>
          <cell r="J14">
            <v>25803.871506192179</v>
          </cell>
          <cell r="K14">
            <v>155</v>
          </cell>
          <cell r="L14">
            <v>158.09032258064516</v>
          </cell>
          <cell r="M14">
            <v>37706.652464903687</v>
          </cell>
          <cell r="N14">
            <v>145</v>
          </cell>
          <cell r="O14">
            <v>181.26896551724138</v>
          </cell>
          <cell r="P14">
            <v>55822.419799117335</v>
          </cell>
        </row>
        <row r="15">
          <cell r="A15" t="str">
            <v>Airport</v>
          </cell>
          <cell r="B15">
            <v>29</v>
          </cell>
          <cell r="C15">
            <v>208.9655172413793</v>
          </cell>
          <cell r="D15">
            <v>31424.456600660065</v>
          </cell>
          <cell r="E15">
            <v>36</v>
          </cell>
          <cell r="F15">
            <v>235.63888888888889</v>
          </cell>
          <cell r="G15">
            <v>31815.438170458565</v>
          </cell>
          <cell r="H15">
            <v>43</v>
          </cell>
          <cell r="I15">
            <v>190.6046511627907</v>
          </cell>
          <cell r="J15">
            <v>26501.830161054171</v>
          </cell>
          <cell r="K15">
            <v>42</v>
          </cell>
          <cell r="L15">
            <v>203.73809523809524</v>
          </cell>
          <cell r="M15">
            <v>40765.456468388453</v>
          </cell>
          <cell r="N15">
            <v>45</v>
          </cell>
          <cell r="O15">
            <v>190.33333333333334</v>
          </cell>
          <cell r="P15">
            <v>53198.492119089315</v>
          </cell>
        </row>
        <row r="16">
          <cell r="A16" t="str">
            <v>Resort</v>
          </cell>
          <cell r="B16">
            <v>86</v>
          </cell>
          <cell r="C16">
            <v>108.63953488372093</v>
          </cell>
          <cell r="D16">
            <v>63771.047843305147</v>
          </cell>
          <cell r="E16">
            <v>98</v>
          </cell>
          <cell r="F16">
            <v>189.23469387755102</v>
          </cell>
          <cell r="G16">
            <v>51265.528767861957</v>
          </cell>
          <cell r="H16">
            <v>85</v>
          </cell>
          <cell r="I16">
            <v>171.89411764705883</v>
          </cell>
          <cell r="J16">
            <v>62635.907466976932</v>
          </cell>
          <cell r="K16">
            <v>84</v>
          </cell>
          <cell r="L16">
            <v>199.29761904761904</v>
          </cell>
          <cell r="M16">
            <v>66074.510423511136</v>
          </cell>
          <cell r="N16">
            <v>73</v>
          </cell>
          <cell r="O16">
            <v>209.60273972602741</v>
          </cell>
          <cell r="P16">
            <v>58099.357427619107</v>
          </cell>
        </row>
        <row r="17">
          <cell r="A17" t="str">
            <v>Urban</v>
          </cell>
          <cell r="B17">
            <v>44</v>
          </cell>
          <cell r="C17">
            <v>184.31818181818181</v>
          </cell>
          <cell r="D17">
            <v>67690.45191122072</v>
          </cell>
          <cell r="E17">
            <v>43</v>
          </cell>
          <cell r="F17">
            <v>251.81395348837211</v>
          </cell>
          <cell r="G17">
            <v>50232.535186553381</v>
          </cell>
          <cell r="H17">
            <v>32</v>
          </cell>
          <cell r="I17">
            <v>292.3125</v>
          </cell>
          <cell r="J17">
            <v>46417.128287363696</v>
          </cell>
          <cell r="K17">
            <v>44</v>
          </cell>
          <cell r="L17">
            <v>338.47727272727275</v>
          </cell>
          <cell r="M17">
            <v>68601.313570133614</v>
          </cell>
          <cell r="N17">
            <v>45</v>
          </cell>
          <cell r="O17">
            <v>341.42222222222222</v>
          </cell>
          <cell r="P17">
            <v>83235.51809424629</v>
          </cell>
        </row>
        <row r="18">
          <cell r="A18" t="str">
            <v>GRAND TOTAL</v>
          </cell>
          <cell r="B18">
            <v>593</v>
          </cell>
          <cell r="C18">
            <v>117.44350758853288</v>
          </cell>
          <cell r="D18">
            <v>33568.330896559644</v>
          </cell>
          <cell r="E18">
            <v>561</v>
          </cell>
          <cell r="F18">
            <v>148.30124777183602</v>
          </cell>
          <cell r="G18">
            <v>32414.027008185392</v>
          </cell>
          <cell r="H18">
            <v>529</v>
          </cell>
          <cell r="I18">
            <v>148.65217391304347</v>
          </cell>
          <cell r="J18">
            <v>32688.659511425918</v>
          </cell>
          <cell r="K18">
            <v>570</v>
          </cell>
          <cell r="L18">
            <v>149.95789473684209</v>
          </cell>
          <cell r="M18">
            <v>45533.311900416491</v>
          </cell>
          <cell r="N18">
            <v>531</v>
          </cell>
          <cell r="O18">
            <v>166.00376647834275</v>
          </cell>
          <cell r="P18">
            <v>54255.443504106726</v>
          </cell>
        </row>
        <row r="19">
          <cell r="A19" t="str">
            <v>BY REGION</v>
          </cell>
        </row>
        <row r="20">
          <cell r="A20" t="str">
            <v>New England/Mid-Atlantic</v>
          </cell>
          <cell r="B20">
            <v>59</v>
          </cell>
          <cell r="C20">
            <v>99.847457627118644</v>
          </cell>
          <cell r="D20">
            <v>42283.833135291119</v>
          </cell>
          <cell r="E20">
            <v>67</v>
          </cell>
          <cell r="F20">
            <v>115.13432835820896</v>
          </cell>
          <cell r="G20">
            <v>33069.488073632354</v>
          </cell>
          <cell r="H20">
            <v>69</v>
          </cell>
          <cell r="I20">
            <v>136.60869565217391</v>
          </cell>
          <cell r="J20">
            <v>40077.657542966263</v>
          </cell>
          <cell r="K20">
            <v>75</v>
          </cell>
          <cell r="L20">
            <v>180.13333333333333</v>
          </cell>
          <cell r="M20">
            <v>50160.359363434494</v>
          </cell>
          <cell r="N20">
            <v>73</v>
          </cell>
          <cell r="O20">
            <v>179.21917808219177</v>
          </cell>
          <cell r="P20">
            <v>79145.902086677364</v>
          </cell>
        </row>
        <row r="21">
          <cell r="A21" t="str">
            <v>South Atlantic</v>
          </cell>
          <cell r="B21">
            <v>131</v>
          </cell>
          <cell r="C21">
            <v>130.02290076335879</v>
          </cell>
          <cell r="D21">
            <v>39282.819350672224</v>
          </cell>
          <cell r="E21">
            <v>151</v>
          </cell>
          <cell r="F21">
            <v>144.2980132450331</v>
          </cell>
          <cell r="G21">
            <v>27776.33526091147</v>
          </cell>
          <cell r="H21">
            <v>110</v>
          </cell>
          <cell r="I21">
            <v>163.8909090909091</v>
          </cell>
          <cell r="J21">
            <v>29663.377801198138</v>
          </cell>
          <cell r="K21">
            <v>179</v>
          </cell>
          <cell r="L21">
            <v>154.63128491620111</v>
          </cell>
          <cell r="M21">
            <v>38347.180497850357</v>
          </cell>
          <cell r="N21">
            <v>147</v>
          </cell>
          <cell r="O21">
            <v>169.70068027210885</v>
          </cell>
          <cell r="P21">
            <v>46629.38098292311</v>
          </cell>
        </row>
        <row r="22">
          <cell r="A22" t="str">
            <v>North Central</v>
          </cell>
          <cell r="B22">
            <v>98</v>
          </cell>
          <cell r="C22">
            <v>108.24489795918367</v>
          </cell>
          <cell r="D22">
            <v>19059.690701357467</v>
          </cell>
          <cell r="E22">
            <v>89</v>
          </cell>
          <cell r="F22">
            <v>130.91011235955057</v>
          </cell>
          <cell r="G22">
            <v>20660.596515320573</v>
          </cell>
          <cell r="H22">
            <v>79</v>
          </cell>
          <cell r="I22">
            <v>116.01265822784811</v>
          </cell>
          <cell r="J22">
            <v>18883.958647026731</v>
          </cell>
          <cell r="K22">
            <v>112</v>
          </cell>
          <cell r="L22">
            <v>105.07142857142857</v>
          </cell>
          <cell r="M22">
            <v>35796.089479945615</v>
          </cell>
          <cell r="N22">
            <v>92</v>
          </cell>
          <cell r="O22">
            <v>132.90217391304347</v>
          </cell>
          <cell r="P22">
            <v>46822.464872822442</v>
          </cell>
        </row>
        <row r="23">
          <cell r="A23" t="str">
            <v>South Central</v>
          </cell>
          <cell r="B23">
            <v>139</v>
          </cell>
          <cell r="C23">
            <v>130.64748201438849</v>
          </cell>
          <cell r="D23">
            <v>22643.973733480176</v>
          </cell>
          <cell r="E23">
            <v>105</v>
          </cell>
          <cell r="F23">
            <v>148.25714285714287</v>
          </cell>
          <cell r="G23">
            <v>23982.869467463224</v>
          </cell>
          <cell r="H23">
            <v>109</v>
          </cell>
          <cell r="I23">
            <v>159.20183486238531</v>
          </cell>
          <cell r="J23">
            <v>18397.424018901631</v>
          </cell>
          <cell r="K23">
            <v>86</v>
          </cell>
          <cell r="L23">
            <v>139.38372093023256</v>
          </cell>
          <cell r="M23">
            <v>38873.109952448489</v>
          </cell>
          <cell r="N23">
            <v>90</v>
          </cell>
          <cell r="O23">
            <v>148.1888888888889</v>
          </cell>
          <cell r="P23">
            <v>48879.420259428654</v>
          </cell>
        </row>
        <row r="24">
          <cell r="A24" t="str">
            <v>Mountain / Pacific</v>
          </cell>
          <cell r="B24">
            <v>166</v>
          </cell>
          <cell r="C24">
            <v>108.14457831325301</v>
          </cell>
          <cell r="D24">
            <v>44910.581105169338</v>
          </cell>
          <cell r="E24">
            <v>149</v>
          </cell>
          <cell r="F24">
            <v>177.69127516778522</v>
          </cell>
          <cell r="G24">
            <v>46169.182127209548</v>
          </cell>
          <cell r="H24">
            <v>162</v>
          </cell>
          <cell r="I24">
            <v>152.25308641975309</v>
          </cell>
          <cell r="J24">
            <v>47260.197161970405</v>
          </cell>
          <cell r="K24">
            <v>118</v>
          </cell>
          <cell r="L24">
            <v>174</v>
          </cell>
          <cell r="M24">
            <v>61645.575394506137</v>
          </cell>
          <cell r="N24">
            <v>129</v>
          </cell>
          <cell r="O24">
            <v>190.34883720930233</v>
          </cell>
          <cell r="P24">
            <v>55362.384565261658</v>
          </cell>
        </row>
        <row r="25">
          <cell r="A25" t="str">
            <v>GRAND TOTAL</v>
          </cell>
          <cell r="B25">
            <v>593</v>
          </cell>
          <cell r="C25">
            <v>117.44350758853288</v>
          </cell>
          <cell r="D25">
            <v>33568.330896559644</v>
          </cell>
          <cell r="E25">
            <v>561</v>
          </cell>
          <cell r="F25">
            <v>148.30124777183602</v>
          </cell>
          <cell r="G25">
            <v>32414.027008185392</v>
          </cell>
          <cell r="H25">
            <v>529</v>
          </cell>
          <cell r="I25">
            <v>148.65217391304347</v>
          </cell>
          <cell r="J25">
            <v>32688.659511425918</v>
          </cell>
          <cell r="K25">
            <v>570</v>
          </cell>
          <cell r="L25">
            <v>149.95789473684209</v>
          </cell>
          <cell r="M25">
            <v>45533.311900416491</v>
          </cell>
          <cell r="N25">
            <v>531</v>
          </cell>
          <cell r="O25">
            <v>166.00376647834275</v>
          </cell>
          <cell r="P25">
            <v>54255.443504106726</v>
          </cell>
        </row>
        <row r="26">
          <cell r="A26" t="str">
            <v>BY PROPERTY SIZE</v>
          </cell>
        </row>
        <row r="27">
          <cell r="A27" t="str">
            <v>&lt;75 rooms</v>
          </cell>
          <cell r="B27">
            <v>234</v>
          </cell>
          <cell r="C27">
            <v>40.166666666666664</v>
          </cell>
          <cell r="D27">
            <v>26967.279706351736</v>
          </cell>
          <cell r="E27">
            <v>176</v>
          </cell>
          <cell r="F27">
            <v>42.034090909090907</v>
          </cell>
          <cell r="G27">
            <v>25237.104352527709</v>
          </cell>
          <cell r="H27">
            <v>151</v>
          </cell>
          <cell r="I27">
            <v>41.41721854304636</v>
          </cell>
          <cell r="J27">
            <v>29391.964023025263</v>
          </cell>
          <cell r="K27">
            <v>159</v>
          </cell>
          <cell r="L27">
            <v>42.955974842767297</v>
          </cell>
          <cell r="M27">
            <v>23268.089751098098</v>
          </cell>
          <cell r="N27">
            <v>120</v>
          </cell>
          <cell r="O27">
            <v>41.608333333333334</v>
          </cell>
          <cell r="P27">
            <v>23626.177848988584</v>
          </cell>
        </row>
        <row r="28">
          <cell r="A28" t="str">
            <v>75–150 rooms</v>
          </cell>
          <cell r="B28">
            <v>204</v>
          </cell>
          <cell r="C28">
            <v>111.49509803921569</v>
          </cell>
          <cell r="D28">
            <v>20299.214816443175</v>
          </cell>
          <cell r="E28">
            <v>196</v>
          </cell>
          <cell r="F28">
            <v>112.45918367346938</v>
          </cell>
          <cell r="G28">
            <v>20302.329960983578</v>
          </cell>
          <cell r="H28">
            <v>175</v>
          </cell>
          <cell r="I28">
            <v>113.05714285714286</v>
          </cell>
          <cell r="J28">
            <v>21525.620520596411</v>
          </cell>
          <cell r="K28">
            <v>237</v>
          </cell>
          <cell r="L28">
            <v>115.40084388185655</v>
          </cell>
          <cell r="M28">
            <v>33355.974442413164</v>
          </cell>
          <cell r="N28">
            <v>204</v>
          </cell>
          <cell r="O28">
            <v>113.73039215686275</v>
          </cell>
          <cell r="P28">
            <v>39259.830524546356</v>
          </cell>
        </row>
        <row r="29">
          <cell r="A29" t="str">
            <v>150–300 rooms</v>
          </cell>
          <cell r="B29">
            <v>120</v>
          </cell>
          <cell r="C29">
            <v>198.23333333333332</v>
          </cell>
          <cell r="D29">
            <v>28711.205776021525</v>
          </cell>
          <cell r="E29">
            <v>145</v>
          </cell>
          <cell r="F29">
            <v>206.13103448275862</v>
          </cell>
          <cell r="G29">
            <v>28953.280805647562</v>
          </cell>
          <cell r="H29">
            <v>161</v>
          </cell>
          <cell r="I29">
            <v>203.52173913043478</v>
          </cell>
          <cell r="J29">
            <v>24669.419660023803</v>
          </cell>
          <cell r="K29">
            <v>121</v>
          </cell>
          <cell r="L29">
            <v>209.6694214876033</v>
          </cell>
          <cell r="M29">
            <v>38379.1649191959</v>
          </cell>
          <cell r="N29">
            <v>146</v>
          </cell>
          <cell r="O29">
            <v>199.23972602739727</v>
          </cell>
          <cell r="P29">
            <v>51352.857540651108</v>
          </cell>
        </row>
        <row r="30">
          <cell r="A30" t="str">
            <v>300–500 rooms</v>
          </cell>
          <cell r="B30">
            <v>32</v>
          </cell>
          <cell r="C30">
            <v>355</v>
          </cell>
          <cell r="D30">
            <v>60014.26681338028</v>
          </cell>
          <cell r="E30">
            <v>31</v>
          </cell>
          <cell r="F30">
            <v>372.35483870967744</v>
          </cell>
          <cell r="G30">
            <v>52706.067746686305</v>
          </cell>
          <cell r="H30">
            <v>31</v>
          </cell>
          <cell r="I30">
            <v>379.83870967741933</v>
          </cell>
          <cell r="J30">
            <v>34436.815201698511</v>
          </cell>
          <cell r="K30">
            <v>34</v>
          </cell>
          <cell r="L30">
            <v>353.70588235294116</v>
          </cell>
          <cell r="M30">
            <v>56895.809080325962</v>
          </cell>
          <cell r="N30">
            <v>43</v>
          </cell>
          <cell r="O30">
            <v>372.18604651162792</v>
          </cell>
          <cell r="P30">
            <v>65923.791864533865</v>
          </cell>
        </row>
        <row r="31">
          <cell r="A31" t="str">
            <v>&gt;500 rooms</v>
          </cell>
          <cell r="B31">
            <v>3</v>
          </cell>
          <cell r="C31">
            <v>784</v>
          </cell>
          <cell r="D31">
            <v>109658.80102040817</v>
          </cell>
          <cell r="E31">
            <v>13</v>
          </cell>
          <cell r="F31">
            <v>948.07692307692309</v>
          </cell>
          <cell r="G31">
            <v>47770.466531440165</v>
          </cell>
          <cell r="H31">
            <v>11</v>
          </cell>
          <cell r="I31">
            <v>732.36363636363637</v>
          </cell>
          <cell r="J31">
            <v>92725.918570009933</v>
          </cell>
          <cell r="K31">
            <v>19</v>
          </cell>
          <cell r="L31">
            <v>731.57894736842104</v>
          </cell>
          <cell r="M31">
            <v>83661.151079136689</v>
          </cell>
          <cell r="N31">
            <v>18</v>
          </cell>
          <cell r="O31">
            <v>825.61111111111109</v>
          </cell>
          <cell r="P31">
            <v>81073.168831168834</v>
          </cell>
        </row>
        <row r="32">
          <cell r="A32" t="str">
            <v>GRAND TOTAL</v>
          </cell>
          <cell r="B32">
            <v>593</v>
          </cell>
          <cell r="C32">
            <v>117.44350758853288</v>
          </cell>
          <cell r="D32">
            <v>33568.330896559644</v>
          </cell>
          <cell r="E32">
            <v>561</v>
          </cell>
          <cell r="F32">
            <v>148.30124777183602</v>
          </cell>
          <cell r="G32">
            <v>32414.027008185392</v>
          </cell>
          <cell r="H32">
            <v>529</v>
          </cell>
          <cell r="I32">
            <v>148.65217391304347</v>
          </cell>
          <cell r="J32">
            <v>32688.659511425918</v>
          </cell>
          <cell r="K32">
            <v>570</v>
          </cell>
          <cell r="L32">
            <v>149.95789473684209</v>
          </cell>
          <cell r="M32">
            <v>45533.311900416491</v>
          </cell>
          <cell r="N32">
            <v>531</v>
          </cell>
          <cell r="O32">
            <v>166.00376647834275</v>
          </cell>
          <cell r="P32">
            <v>54255.443504106726</v>
          </cell>
        </row>
        <row r="33">
          <cell r="A33" t="str">
            <v>BY SIZE OF TRANSACTION</v>
          </cell>
        </row>
        <row r="34">
          <cell r="A34" t="str">
            <v>&lt;$1 million</v>
          </cell>
          <cell r="B34">
            <v>181</v>
          </cell>
          <cell r="C34">
            <v>52.447513812154696</v>
          </cell>
          <cell r="D34">
            <v>10944.479823027496</v>
          </cell>
          <cell r="E34">
            <v>150</v>
          </cell>
          <cell r="F34">
            <v>56.96</v>
          </cell>
          <cell r="G34">
            <v>10257.266853932584</v>
          </cell>
          <cell r="H34">
            <v>123</v>
          </cell>
          <cell r="I34">
            <v>59.869918699186989</v>
          </cell>
          <cell r="J34">
            <v>9942.7825909831608</v>
          </cell>
          <cell r="K34">
            <v>135</v>
          </cell>
          <cell r="L34">
            <v>51.229629629629628</v>
          </cell>
          <cell r="M34">
            <v>10909.996674378253</v>
          </cell>
          <cell r="N34">
            <v>93</v>
          </cell>
          <cell r="O34">
            <v>45.365591397849464</v>
          </cell>
          <cell r="P34">
            <v>12996.96729082721</v>
          </cell>
        </row>
        <row r="35">
          <cell r="A35" t="str">
            <v>$1–2.5 million</v>
          </cell>
          <cell r="B35">
            <v>218</v>
          </cell>
          <cell r="C35">
            <v>98.738532110091739</v>
          </cell>
          <cell r="D35">
            <v>15782.65468060395</v>
          </cell>
          <cell r="E35">
            <v>194</v>
          </cell>
          <cell r="F35">
            <v>110.78350515463917</v>
          </cell>
          <cell r="G35">
            <v>14590.96659222036</v>
          </cell>
          <cell r="H35">
            <v>182</v>
          </cell>
          <cell r="I35">
            <v>114.18131868131869</v>
          </cell>
          <cell r="J35">
            <v>14362.83104759155</v>
          </cell>
          <cell r="K35">
            <v>117</v>
          </cell>
          <cell r="L35">
            <v>104.97435897435898</v>
          </cell>
          <cell r="M35">
            <v>14938.558133854422</v>
          </cell>
          <cell r="N35">
            <v>100</v>
          </cell>
          <cell r="O35">
            <v>97.01</v>
          </cell>
          <cell r="P35">
            <v>17239.299453664571</v>
          </cell>
        </row>
        <row r="36">
          <cell r="A36" t="str">
            <v>$2.5–5 million</v>
          </cell>
          <cell r="B36">
            <v>101</v>
          </cell>
          <cell r="C36">
            <v>153.98019801980197</v>
          </cell>
          <cell r="D36">
            <v>21884.413194444445</v>
          </cell>
          <cell r="E36">
            <v>108</v>
          </cell>
          <cell r="F36">
            <v>154.81481481481481</v>
          </cell>
          <cell r="G36">
            <v>21391.41447368421</v>
          </cell>
          <cell r="H36">
            <v>103</v>
          </cell>
          <cell r="I36">
            <v>165.873786407767</v>
          </cell>
          <cell r="J36">
            <v>19693.76142815335</v>
          </cell>
          <cell r="K36">
            <v>135</v>
          </cell>
          <cell r="L36">
            <v>137.66666666666666</v>
          </cell>
          <cell r="M36">
            <v>26899.465644336829</v>
          </cell>
          <cell r="N36">
            <v>91</v>
          </cell>
          <cell r="O36">
            <v>134.46153846153845</v>
          </cell>
          <cell r="P36">
            <v>25581.121036286368</v>
          </cell>
        </row>
        <row r="37">
          <cell r="A37" t="str">
            <v>$5–10 million</v>
          </cell>
          <cell r="B37">
            <v>47</v>
          </cell>
          <cell r="C37">
            <v>187.25531914893617</v>
          </cell>
          <cell r="D37">
            <v>37025.544483581412</v>
          </cell>
          <cell r="E37">
            <v>47</v>
          </cell>
          <cell r="F37">
            <v>213.55319148936169</v>
          </cell>
          <cell r="G37">
            <v>31832.441267310951</v>
          </cell>
          <cell r="H37">
            <v>75</v>
          </cell>
          <cell r="I37">
            <v>199.21333333333334</v>
          </cell>
          <cell r="J37">
            <v>35116.139281172611</v>
          </cell>
          <cell r="K37">
            <v>86</v>
          </cell>
          <cell r="L37">
            <v>146.86046511627907</v>
          </cell>
          <cell r="M37">
            <v>45427.400475059381</v>
          </cell>
          <cell r="N37">
            <v>120</v>
          </cell>
          <cell r="O37">
            <v>149.78333333333333</v>
          </cell>
          <cell r="P37">
            <v>49994.371481028153</v>
          </cell>
        </row>
        <row r="38">
          <cell r="A38" t="str">
            <v>$10–20 million</v>
          </cell>
          <cell r="B38">
            <v>25</v>
          </cell>
          <cell r="C38">
            <v>231.96</v>
          </cell>
          <cell r="D38">
            <v>54712.444559406795</v>
          </cell>
          <cell r="E38">
            <v>38</v>
          </cell>
          <cell r="F38">
            <v>302.78947368421052</v>
          </cell>
          <cell r="G38">
            <v>46137.319659308188</v>
          </cell>
          <cell r="H38">
            <v>30</v>
          </cell>
          <cell r="I38">
            <v>314.66666666666669</v>
          </cell>
          <cell r="J38">
            <v>42240.182627118644</v>
          </cell>
          <cell r="K38">
            <v>56</v>
          </cell>
          <cell r="L38">
            <v>263.375</v>
          </cell>
          <cell r="M38">
            <v>48589.356769950507</v>
          </cell>
          <cell r="N38">
            <v>78</v>
          </cell>
          <cell r="O38">
            <v>246.38461538461539</v>
          </cell>
          <cell r="P38">
            <v>55636.376834217917</v>
          </cell>
        </row>
        <row r="39">
          <cell r="A39" t="str">
            <v>&gt;$20 million</v>
          </cell>
          <cell r="B39">
            <v>21</v>
          </cell>
          <cell r="C39">
            <v>403.52380952380952</v>
          </cell>
          <cell r="D39">
            <v>107473.3975690347</v>
          </cell>
          <cell r="E39">
            <v>24</v>
          </cell>
          <cell r="F39">
            <v>620.75</v>
          </cell>
          <cell r="G39">
            <v>72996.375352396295</v>
          </cell>
          <cell r="H39">
            <v>16</v>
          </cell>
          <cell r="I39">
            <v>564.125</v>
          </cell>
          <cell r="J39">
            <v>104028.36250830934</v>
          </cell>
          <cell r="K39">
            <v>41</v>
          </cell>
          <cell r="L39">
            <v>495.46341463414632</v>
          </cell>
          <cell r="M39">
            <v>90713.665452397356</v>
          </cell>
          <cell r="N39">
            <v>49</v>
          </cell>
          <cell r="O39">
            <v>506.12244897959181</v>
          </cell>
          <cell r="P39">
            <v>91919.631653225806</v>
          </cell>
        </row>
        <row r="40">
          <cell r="A40" t="str">
            <v>GRAND TOTAL</v>
          </cell>
          <cell r="B40">
            <v>593</v>
          </cell>
          <cell r="C40">
            <v>117.44350758853288</v>
          </cell>
          <cell r="D40">
            <v>33568.330896559644</v>
          </cell>
          <cell r="E40">
            <v>561</v>
          </cell>
          <cell r="F40">
            <v>148.30124777183602</v>
          </cell>
          <cell r="G40">
            <v>32414.027008185392</v>
          </cell>
          <cell r="H40">
            <v>529</v>
          </cell>
          <cell r="I40">
            <v>148.65217391304347</v>
          </cell>
          <cell r="J40">
            <v>32688.659511425918</v>
          </cell>
          <cell r="K40">
            <v>570</v>
          </cell>
          <cell r="L40">
            <v>149.95789473684209</v>
          </cell>
          <cell r="M40">
            <v>45533.311900416491</v>
          </cell>
          <cell r="N40">
            <v>531</v>
          </cell>
          <cell r="O40">
            <v>166.00376647834275</v>
          </cell>
          <cell r="P40">
            <v>54255.443504106726</v>
          </cell>
        </row>
        <row r="41">
          <cell r="A41" t="str">
            <v>Source: National Hotel Realty Advisors, Hotel &amp; Motel Brokers of America and Hospitality Valuation Services</v>
          </cell>
        </row>
      </sheetData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PIVOTS"/>
      <sheetName val="Starwood Mkt Share"/>
    </sheetNames>
    <sheetDataSet>
      <sheetData sheetId="0" refreshError="1">
        <row r="8">
          <cell r="A8" t="str">
            <v>Anaheim, CA</v>
          </cell>
          <cell r="B8">
            <v>2</v>
          </cell>
          <cell r="C8">
            <v>324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Atlanta, GA</v>
          </cell>
          <cell r="B9">
            <v>1</v>
          </cell>
          <cell r="C9">
            <v>400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 t="str">
            <v>Boston, MA</v>
          </cell>
          <cell r="B10">
            <v>2</v>
          </cell>
          <cell r="C10">
            <v>328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 t="str">
            <v>Chicago, IL</v>
          </cell>
          <cell r="B11">
            <v>3</v>
          </cell>
          <cell r="C11">
            <v>746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 t="str">
            <v>Dallas, TX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 t="str">
            <v>Denver, CO</v>
          </cell>
          <cell r="B13">
            <v>5</v>
          </cell>
          <cell r="C13">
            <v>1069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 t="str">
            <v>Detroit, MI</v>
          </cell>
          <cell r="B14">
            <v>1</v>
          </cell>
          <cell r="C14">
            <v>177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 t="str">
            <v>Houston, TX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 t="str">
            <v>Los Angeles, CA</v>
          </cell>
          <cell r="B16">
            <v>4</v>
          </cell>
          <cell r="C16">
            <v>1214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 t="str">
            <v>Miami, FL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Minneapolis, MN</v>
          </cell>
          <cell r="B18">
            <v>1</v>
          </cell>
          <cell r="C18">
            <v>550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 t="str">
            <v>Nashville, TN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 t="str">
            <v>New Orleans, LA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322</v>
          </cell>
          <cell r="H20">
            <v>1</v>
          </cell>
          <cell r="I20">
            <v>322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</v>
          </cell>
          <cell r="Q20">
            <v>322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 t="str">
            <v>New York, NY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 t="str">
            <v>Norfolk, VA</v>
          </cell>
          <cell r="B22">
            <v>1</v>
          </cell>
          <cell r="C22">
            <v>200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 t="str">
            <v>Oahu Island, HI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 t="str">
            <v>Orlando, FL</v>
          </cell>
          <cell r="B24">
            <v>2</v>
          </cell>
          <cell r="C24">
            <v>571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 t="str">
            <v>Philadelphia, PA</v>
          </cell>
          <cell r="B25">
            <v>1</v>
          </cell>
          <cell r="C25">
            <v>213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 t="str">
            <v>Phoenix, AZ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 t="str">
            <v>Saint Louis, MO</v>
          </cell>
          <cell r="B27">
            <v>1</v>
          </cell>
          <cell r="C27">
            <v>188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 t="str">
            <v>San Diego, CA</v>
          </cell>
          <cell r="B28">
            <v>2</v>
          </cell>
          <cell r="C28">
            <v>434</v>
          </cell>
          <cell r="D28">
            <v>1</v>
          </cell>
          <cell r="E28">
            <v>101</v>
          </cell>
          <cell r="F28">
            <v>0</v>
          </cell>
          <cell r="G28">
            <v>0</v>
          </cell>
          <cell r="H28">
            <v>1</v>
          </cell>
          <cell r="I28">
            <v>101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101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 t="str">
            <v>San Francisco, CA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 t="str">
            <v>Seattle, WA</v>
          </cell>
          <cell r="B30">
            <v>0</v>
          </cell>
          <cell r="C30">
            <v>0</v>
          </cell>
          <cell r="D30">
            <v>1</v>
          </cell>
          <cell r="E30">
            <v>150</v>
          </cell>
          <cell r="F30">
            <v>0</v>
          </cell>
          <cell r="G30">
            <v>0</v>
          </cell>
          <cell r="H30">
            <v>1</v>
          </cell>
          <cell r="I30">
            <v>150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</v>
          </cell>
          <cell r="O30">
            <v>150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 t="str">
            <v>Tampa, FL</v>
          </cell>
          <cell r="B31">
            <v>1</v>
          </cell>
          <cell r="C31">
            <v>99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 t="str">
            <v>Washington, DC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47">
          <cell r="A47" t="str">
            <v>Anaheim, CA</v>
          </cell>
          <cell r="B47">
            <v>1</v>
          </cell>
          <cell r="C47">
            <v>491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1</v>
          </cell>
          <cell r="K47">
            <v>300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1</v>
          </cell>
          <cell r="S47">
            <v>300</v>
          </cell>
          <cell r="T47">
            <v>0</v>
          </cell>
          <cell r="U47">
            <v>0</v>
          </cell>
        </row>
        <row r="48">
          <cell r="A48" t="str">
            <v>Atlanta, GA</v>
          </cell>
          <cell r="B48">
            <v>5</v>
          </cell>
          <cell r="C48">
            <v>2237</v>
          </cell>
          <cell r="D48">
            <v>0</v>
          </cell>
          <cell r="E48">
            <v>0</v>
          </cell>
          <cell r="F48">
            <v>1</v>
          </cell>
          <cell r="G48">
            <v>244</v>
          </cell>
          <cell r="H48">
            <v>1</v>
          </cell>
          <cell r="I48">
            <v>244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</v>
          </cell>
          <cell r="Q48">
            <v>244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A49" t="str">
            <v>Boston, MA</v>
          </cell>
          <cell r="B49">
            <v>8</v>
          </cell>
          <cell r="C49">
            <v>3019</v>
          </cell>
          <cell r="D49">
            <v>0</v>
          </cell>
          <cell r="E49">
            <v>0</v>
          </cell>
          <cell r="F49">
            <v>1</v>
          </cell>
          <cell r="G49">
            <v>1120</v>
          </cell>
          <cell r="H49">
            <v>1</v>
          </cell>
          <cell r="I49">
            <v>1120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1</v>
          </cell>
          <cell r="S49">
            <v>1120</v>
          </cell>
          <cell r="T49">
            <v>0</v>
          </cell>
          <cell r="U49">
            <v>0</v>
          </cell>
        </row>
        <row r="50">
          <cell r="A50" t="str">
            <v>Chicago, IL</v>
          </cell>
          <cell r="B50">
            <v>5</v>
          </cell>
          <cell r="C50">
            <v>2552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A51" t="str">
            <v>Dallas, TX</v>
          </cell>
          <cell r="B51">
            <v>5</v>
          </cell>
          <cell r="C51">
            <v>1441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</row>
        <row r="52">
          <cell r="A52" t="str">
            <v>Denver, CO</v>
          </cell>
          <cell r="B52">
            <v>1</v>
          </cell>
          <cell r="C52">
            <v>245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3">
          <cell r="A53" t="str">
            <v>Detroit, MI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</row>
        <row r="54">
          <cell r="A54" t="str">
            <v>Houston, TX</v>
          </cell>
          <cell r="B54">
            <v>6</v>
          </cell>
          <cell r="C54">
            <v>2263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A55" t="str">
            <v>Los Angeles, CA</v>
          </cell>
          <cell r="B55">
            <v>8</v>
          </cell>
          <cell r="C55">
            <v>2857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A56" t="str">
            <v>Miami, FL</v>
          </cell>
          <cell r="B56">
            <v>2</v>
          </cell>
          <cell r="C56">
            <v>1263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A57" t="str">
            <v>Minneapolis, MN</v>
          </cell>
          <cell r="B57">
            <v>1</v>
          </cell>
          <cell r="C57">
            <v>254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A58" t="str">
            <v>Nashville, TN</v>
          </cell>
          <cell r="B58">
            <v>1</v>
          </cell>
          <cell r="C58">
            <v>412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A59" t="str">
            <v>New Orleans, LA</v>
          </cell>
          <cell r="B59">
            <v>1</v>
          </cell>
          <cell r="C59">
            <v>1100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</row>
        <row r="60">
          <cell r="A60" t="str">
            <v>New York, NY</v>
          </cell>
          <cell r="B60">
            <v>5</v>
          </cell>
          <cell r="C60">
            <v>2902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</row>
        <row r="61">
          <cell r="A61" t="str">
            <v>Norfolk, VA</v>
          </cell>
          <cell r="B61">
            <v>1</v>
          </cell>
          <cell r="C61">
            <v>203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A62" t="str">
            <v>Oahu Island, HI</v>
          </cell>
          <cell r="B62">
            <v>3</v>
          </cell>
          <cell r="C62">
            <v>3640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A63" t="str">
            <v>Orlando, FL</v>
          </cell>
          <cell r="B63">
            <v>6</v>
          </cell>
          <cell r="C63">
            <v>3084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</row>
        <row r="64">
          <cell r="A64" t="str">
            <v>Philadelphia, PA</v>
          </cell>
          <cell r="B64">
            <v>6</v>
          </cell>
          <cell r="C64">
            <v>1519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</row>
        <row r="65">
          <cell r="A65" t="str">
            <v>Phoenix, AZ</v>
          </cell>
          <cell r="B65">
            <v>5</v>
          </cell>
          <cell r="C65">
            <v>1355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A66" t="str">
            <v>Saint Louis, MO</v>
          </cell>
          <cell r="B66">
            <v>1</v>
          </cell>
          <cell r="C66">
            <v>212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A67" t="str">
            <v>San Diego, CA</v>
          </cell>
          <cell r="B67">
            <v>2</v>
          </cell>
          <cell r="C67">
            <v>1439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A68" t="str">
            <v>San Francisco, CA</v>
          </cell>
          <cell r="B68">
            <v>3</v>
          </cell>
          <cell r="C68">
            <v>1481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A69" t="str">
            <v>Seattle, WA</v>
          </cell>
          <cell r="B69">
            <v>1</v>
          </cell>
          <cell r="C69">
            <v>840</v>
          </cell>
          <cell r="D69">
            <v>1</v>
          </cell>
          <cell r="E69">
            <v>292</v>
          </cell>
          <cell r="F69">
            <v>0</v>
          </cell>
          <cell r="G69">
            <v>0</v>
          </cell>
          <cell r="H69">
            <v>1</v>
          </cell>
          <cell r="I69">
            <v>292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1</v>
          </cell>
          <cell r="O69">
            <v>292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A70" t="str">
            <v>Tampa, FL</v>
          </cell>
          <cell r="B70">
            <v>3</v>
          </cell>
          <cell r="C70">
            <v>1104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Washington, DC</v>
          </cell>
          <cell r="B71">
            <v>7</v>
          </cell>
          <cell r="C71">
            <v>2019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81">
          <cell r="A81" t="str">
            <v>Anaheim, CA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A82" t="str">
            <v>Atlanta, GA</v>
          </cell>
          <cell r="B82">
            <v>1</v>
          </cell>
          <cell r="C82">
            <v>276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</row>
        <row r="83">
          <cell r="A83" t="str">
            <v>Boston, MA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A84" t="str">
            <v>Chicago, IL</v>
          </cell>
          <cell r="B84">
            <v>2</v>
          </cell>
          <cell r="C84">
            <v>968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A85" t="str">
            <v>Dallas, TX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</row>
        <row r="86">
          <cell r="A86" t="str">
            <v>Denver, CO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A87" t="str">
            <v>Detroit, MI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</row>
        <row r="88">
          <cell r="A88" t="str">
            <v>Houston, TX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A89" t="str">
            <v>Los Angeles, CA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</row>
        <row r="90">
          <cell r="A90" t="str">
            <v>Miami, FL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A91" t="str">
            <v>Minneapolis, MN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</row>
        <row r="92">
          <cell r="A92" t="str">
            <v>Nashville, TN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</row>
        <row r="93">
          <cell r="A93" t="str">
            <v>New Orleans, LA</v>
          </cell>
          <cell r="B93">
            <v>1</v>
          </cell>
          <cell r="C93">
            <v>100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</row>
        <row r="94">
          <cell r="A94" t="str">
            <v>New York, NY</v>
          </cell>
          <cell r="B94">
            <v>3</v>
          </cell>
          <cell r="C94">
            <v>983</v>
          </cell>
          <cell r="D94">
            <v>1</v>
          </cell>
          <cell r="E94">
            <v>270</v>
          </cell>
          <cell r="F94">
            <v>0</v>
          </cell>
          <cell r="G94">
            <v>0</v>
          </cell>
          <cell r="H94">
            <v>1</v>
          </cell>
          <cell r="I94">
            <v>270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1</v>
          </cell>
          <cell r="O94">
            <v>270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</row>
        <row r="95">
          <cell r="A95" t="str">
            <v>Norfolk, VA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</row>
        <row r="96">
          <cell r="A96" t="str">
            <v>Oahu Island, HI</v>
          </cell>
          <cell r="B96">
            <v>1</v>
          </cell>
          <cell r="C96">
            <v>48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</row>
        <row r="97">
          <cell r="A97" t="str">
            <v>Orlando, FL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A98" t="str">
            <v>Philadelphia, PA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1</v>
          </cell>
          <cell r="G98">
            <v>185</v>
          </cell>
          <cell r="H98">
            <v>1</v>
          </cell>
          <cell r="I98">
            <v>185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1</v>
          </cell>
          <cell r="Q98">
            <v>185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A99" t="str">
            <v>Phoenix, AZ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</row>
        <row r="100">
          <cell r="A100" t="str">
            <v>Saint Louis, MO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1</v>
          </cell>
          <cell r="G100">
            <v>263</v>
          </cell>
          <cell r="H100">
            <v>1</v>
          </cell>
          <cell r="I100">
            <v>263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1</v>
          </cell>
          <cell r="Q100">
            <v>263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</row>
        <row r="101">
          <cell r="A101" t="str">
            <v>San Diego, CA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</row>
        <row r="102">
          <cell r="A102" t="str">
            <v>San Francisco, CA</v>
          </cell>
          <cell r="B102">
            <v>1</v>
          </cell>
          <cell r="C102">
            <v>423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</row>
        <row r="103">
          <cell r="A103" t="str">
            <v>Seattle, WA</v>
          </cell>
          <cell r="B103">
            <v>1</v>
          </cell>
          <cell r="C103">
            <v>426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</row>
        <row r="104">
          <cell r="A104" t="str">
            <v>Tampa, FL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</row>
        <row r="105">
          <cell r="A105" t="str">
            <v>Washington, DC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</row>
        <row r="114">
          <cell r="A114" t="str">
            <v>Anaheim, CA</v>
          </cell>
          <cell r="B114">
            <v>1</v>
          </cell>
          <cell r="C114">
            <v>387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A115" t="str">
            <v>Atlanta, GA</v>
          </cell>
          <cell r="B115">
            <v>3</v>
          </cell>
          <cell r="C115">
            <v>1939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</row>
        <row r="116">
          <cell r="A116" t="str">
            <v>Boston, MA</v>
          </cell>
          <cell r="B116">
            <v>2</v>
          </cell>
          <cell r="C116">
            <v>1147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</row>
        <row r="117">
          <cell r="A117" t="str">
            <v>Chicago, IL</v>
          </cell>
          <cell r="B117">
            <v>3</v>
          </cell>
          <cell r="C117">
            <v>1688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</row>
        <row r="118">
          <cell r="A118" t="str">
            <v>Dallas, TX</v>
          </cell>
          <cell r="B118">
            <v>3</v>
          </cell>
          <cell r="C118">
            <v>1269</v>
          </cell>
          <cell r="D118">
            <v>1</v>
          </cell>
          <cell r="E118">
            <v>321</v>
          </cell>
          <cell r="F118">
            <v>0</v>
          </cell>
          <cell r="G118">
            <v>0</v>
          </cell>
          <cell r="H118">
            <v>1</v>
          </cell>
          <cell r="I118">
            <v>321</v>
          </cell>
          <cell r="J118">
            <v>0</v>
          </cell>
          <cell r="K118">
            <v>0</v>
          </cell>
          <cell r="L118">
            <v>1</v>
          </cell>
          <cell r="M118">
            <v>321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</row>
        <row r="119">
          <cell r="A119" t="str">
            <v>Denver, CO</v>
          </cell>
          <cell r="B119">
            <v>2</v>
          </cell>
          <cell r="C119">
            <v>789</v>
          </cell>
          <cell r="D119">
            <v>0</v>
          </cell>
          <cell r="E119">
            <v>0</v>
          </cell>
          <cell r="F119">
            <v>1</v>
          </cell>
          <cell r="G119">
            <v>526</v>
          </cell>
          <cell r="H119">
            <v>1</v>
          </cell>
          <cell r="I119">
            <v>526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1</v>
          </cell>
          <cell r="S119">
            <v>526</v>
          </cell>
          <cell r="T119">
            <v>0</v>
          </cell>
          <cell r="U119">
            <v>0</v>
          </cell>
        </row>
        <row r="120">
          <cell r="A120" t="str">
            <v>Detroit, MI</v>
          </cell>
          <cell r="B120">
            <v>1</v>
          </cell>
          <cell r="C120">
            <v>386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</row>
        <row r="121">
          <cell r="A121" t="str">
            <v>Houston, TX</v>
          </cell>
          <cell r="B121">
            <v>2</v>
          </cell>
          <cell r="C121">
            <v>891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A122" t="str">
            <v>Los Angeles, CA</v>
          </cell>
          <cell r="B122">
            <v>4</v>
          </cell>
          <cell r="C122">
            <v>3613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1</v>
          </cell>
          <cell r="K122">
            <v>250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1</v>
          </cell>
          <cell r="S122">
            <v>250</v>
          </cell>
          <cell r="T122">
            <v>0</v>
          </cell>
          <cell r="U122">
            <v>0</v>
          </cell>
        </row>
        <row r="123">
          <cell r="A123" t="str">
            <v>Miami, FL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</row>
        <row r="124">
          <cell r="A124" t="str">
            <v>Minneapolis, MN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</row>
        <row r="125">
          <cell r="A125" t="str">
            <v>Nashville, TN</v>
          </cell>
          <cell r="B125">
            <v>1</v>
          </cell>
          <cell r="C125">
            <v>120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</row>
        <row r="126">
          <cell r="A126" t="str">
            <v>New Orleans, LA</v>
          </cell>
          <cell r="B126">
            <v>1</v>
          </cell>
          <cell r="C126">
            <v>437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</row>
        <row r="127">
          <cell r="A127" t="str">
            <v>New York, NY</v>
          </cell>
          <cell r="B127">
            <v>1</v>
          </cell>
          <cell r="C127">
            <v>597</v>
          </cell>
          <cell r="D127">
            <v>1</v>
          </cell>
          <cell r="E127">
            <v>860</v>
          </cell>
          <cell r="F127">
            <v>0</v>
          </cell>
          <cell r="G127">
            <v>0</v>
          </cell>
          <cell r="H127">
            <v>1</v>
          </cell>
          <cell r="I127">
            <v>860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1</v>
          </cell>
          <cell r="Q127">
            <v>860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</row>
        <row r="128">
          <cell r="A128" t="str">
            <v>Norfolk, VA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</row>
        <row r="129">
          <cell r="A129" t="str">
            <v>Oahu Island, HI</v>
          </cell>
          <cell r="B129">
            <v>1</v>
          </cell>
          <cell r="C129">
            <v>521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Orlando, FL</v>
          </cell>
          <cell r="B130">
            <v>0</v>
          </cell>
          <cell r="C130">
            <v>0</v>
          </cell>
          <cell r="D130">
            <v>1</v>
          </cell>
          <cell r="E130">
            <v>250</v>
          </cell>
          <cell r="F130">
            <v>0</v>
          </cell>
          <cell r="G130">
            <v>0</v>
          </cell>
          <cell r="H130">
            <v>1</v>
          </cell>
          <cell r="I130">
            <v>250</v>
          </cell>
          <cell r="J130">
            <v>1</v>
          </cell>
          <cell r="K130">
            <v>1200</v>
          </cell>
          <cell r="L130">
            <v>0</v>
          </cell>
          <cell r="M130">
            <v>0</v>
          </cell>
          <cell r="N130">
            <v>1</v>
          </cell>
          <cell r="O130">
            <v>250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1</v>
          </cell>
          <cell r="U130">
            <v>1200</v>
          </cell>
        </row>
        <row r="131">
          <cell r="A131" t="str">
            <v>Philadelphia, PA</v>
          </cell>
          <cell r="B131">
            <v>1</v>
          </cell>
          <cell r="C131">
            <v>251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</row>
        <row r="132">
          <cell r="A132" t="str">
            <v>Phoenix, AZ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1</v>
          </cell>
          <cell r="G132">
            <v>750</v>
          </cell>
          <cell r="H132">
            <v>1</v>
          </cell>
          <cell r="I132">
            <v>750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1</v>
          </cell>
          <cell r="Q132">
            <v>750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A133" t="str">
            <v>Saint Louis, MO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1</v>
          </cell>
          <cell r="G133">
            <v>500</v>
          </cell>
          <cell r="H133">
            <v>1</v>
          </cell>
          <cell r="I133">
            <v>500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1</v>
          </cell>
          <cell r="S133">
            <v>500</v>
          </cell>
          <cell r="T133">
            <v>0</v>
          </cell>
          <cell r="U133">
            <v>0</v>
          </cell>
        </row>
        <row r="134">
          <cell r="A134" t="str">
            <v>San Diego, CA</v>
          </cell>
          <cell r="B134">
            <v>2</v>
          </cell>
          <cell r="C134">
            <v>796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A135" t="str">
            <v>San Francisco, CA</v>
          </cell>
          <cell r="B135">
            <v>2</v>
          </cell>
          <cell r="C135">
            <v>1577</v>
          </cell>
          <cell r="D135">
            <v>0</v>
          </cell>
          <cell r="E135">
            <v>0</v>
          </cell>
          <cell r="F135">
            <v>1</v>
          </cell>
          <cell r="G135">
            <v>304</v>
          </cell>
          <cell r="H135">
            <v>1</v>
          </cell>
          <cell r="I135">
            <v>304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</v>
          </cell>
          <cell r="Q135">
            <v>304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A136" t="str">
            <v>Seattle, WA</v>
          </cell>
          <cell r="B136">
            <v>1</v>
          </cell>
          <cell r="C136">
            <v>865</v>
          </cell>
          <cell r="D136">
            <v>1</v>
          </cell>
          <cell r="E136">
            <v>224</v>
          </cell>
          <cell r="F136">
            <v>0</v>
          </cell>
          <cell r="G136">
            <v>0</v>
          </cell>
          <cell r="H136">
            <v>1</v>
          </cell>
          <cell r="I136">
            <v>224</v>
          </cell>
          <cell r="J136">
            <v>0</v>
          </cell>
          <cell r="K136">
            <v>0</v>
          </cell>
          <cell r="L136">
            <v>1</v>
          </cell>
          <cell r="M136">
            <v>224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A137" t="str">
            <v>Tampa, FL</v>
          </cell>
          <cell r="B137">
            <v>2</v>
          </cell>
          <cell r="C137">
            <v>1110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A138" t="str">
            <v>Washington, DC</v>
          </cell>
          <cell r="B138">
            <v>1</v>
          </cell>
          <cell r="C138">
            <v>400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324">
          <cell r="A324" t="str">
            <v>Anaheim, CA</v>
          </cell>
          <cell r="B324">
            <v>53831</v>
          </cell>
        </row>
        <row r="325">
          <cell r="A325" t="str">
            <v>Atlanta, GA</v>
          </cell>
          <cell r="B325">
            <v>94497</v>
          </cell>
        </row>
        <row r="326">
          <cell r="A326" t="str">
            <v>Boston, MA</v>
          </cell>
          <cell r="B326">
            <v>53644</v>
          </cell>
        </row>
        <row r="327">
          <cell r="A327" t="str">
            <v>Chicago, IL</v>
          </cell>
          <cell r="B327">
            <v>92640</v>
          </cell>
        </row>
        <row r="328">
          <cell r="A328" t="str">
            <v>Dallas, TX</v>
          </cell>
          <cell r="B328">
            <v>70580</v>
          </cell>
        </row>
        <row r="329">
          <cell r="A329" t="str">
            <v>Denver, CO</v>
          </cell>
          <cell r="B329">
            <v>39111</v>
          </cell>
        </row>
        <row r="330">
          <cell r="A330" t="str">
            <v>Detroit, MI</v>
          </cell>
          <cell r="B330">
            <v>40889</v>
          </cell>
        </row>
        <row r="331">
          <cell r="A331" t="str">
            <v>Houston, TX</v>
          </cell>
          <cell r="B331">
            <v>58228</v>
          </cell>
        </row>
        <row r="332">
          <cell r="A332" t="str">
            <v>Los Angeles, CA</v>
          </cell>
          <cell r="B332">
            <v>89769</v>
          </cell>
        </row>
        <row r="333">
          <cell r="A333" t="str">
            <v>Miami, FL</v>
          </cell>
          <cell r="B333">
            <v>50359</v>
          </cell>
        </row>
        <row r="334">
          <cell r="A334" t="str">
            <v>Minneapolis, MN</v>
          </cell>
          <cell r="B334">
            <v>36371</v>
          </cell>
        </row>
        <row r="335">
          <cell r="A335" t="str">
            <v>Nashville, TN</v>
          </cell>
          <cell r="B335">
            <v>34357</v>
          </cell>
        </row>
        <row r="336">
          <cell r="A336" t="str">
            <v>New Orleans, LA</v>
          </cell>
          <cell r="B336">
            <v>34671</v>
          </cell>
        </row>
        <row r="337">
          <cell r="A337" t="str">
            <v>New York, NY</v>
          </cell>
          <cell r="B337">
            <v>80860</v>
          </cell>
        </row>
        <row r="338">
          <cell r="A338" t="str">
            <v>Norfolk, VA</v>
          </cell>
          <cell r="B338">
            <v>35922</v>
          </cell>
        </row>
        <row r="339">
          <cell r="A339" t="str">
            <v>Oahu Island, HI</v>
          </cell>
          <cell r="B339">
            <v>37174</v>
          </cell>
        </row>
        <row r="340">
          <cell r="A340" t="str">
            <v>Orlando, FL</v>
          </cell>
          <cell r="B340">
            <v>131794</v>
          </cell>
        </row>
        <row r="341">
          <cell r="A341" t="str">
            <v>Philadelphia, PA</v>
          </cell>
          <cell r="B341">
            <v>42668</v>
          </cell>
        </row>
        <row r="342">
          <cell r="A342" t="str">
            <v>Phoenix, AZ</v>
          </cell>
          <cell r="B342">
            <v>56967</v>
          </cell>
        </row>
        <row r="343">
          <cell r="A343" t="str">
            <v>Saint Louis, MO</v>
          </cell>
          <cell r="B343">
            <v>34819</v>
          </cell>
        </row>
        <row r="344">
          <cell r="A344" t="str">
            <v>San Diego, CA</v>
          </cell>
          <cell r="B344">
            <v>58270</v>
          </cell>
        </row>
        <row r="345">
          <cell r="A345" t="str">
            <v>San Francisco, CA</v>
          </cell>
          <cell r="B345">
            <v>54992</v>
          </cell>
        </row>
        <row r="346">
          <cell r="A346" t="str">
            <v>Seattle, WA</v>
          </cell>
          <cell r="B346">
            <v>39369</v>
          </cell>
        </row>
        <row r="347">
          <cell r="A347" t="str">
            <v>Tampa, FL</v>
          </cell>
          <cell r="B347">
            <v>43484</v>
          </cell>
        </row>
        <row r="348">
          <cell r="A348" t="str">
            <v>Washington, DC</v>
          </cell>
          <cell r="B348">
            <v>87884</v>
          </cell>
        </row>
      </sheetData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NSHT"/>
      <sheetName val="RAINEPS.XLS "/>
      <sheetName val="RAINSUM.XLS"/>
      <sheetName val="RAINCFBS.XLS"/>
      <sheetName val="Comps - Monthly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orma"/>
      <sheetName val="Sheet1"/>
      <sheetName val="Sheet2"/>
      <sheetName val="Sheet3"/>
      <sheetName val="Sheet4"/>
      <sheetName val="Sheet5"/>
      <sheetName val="Sheet6"/>
      <sheetName val="EBITDA"/>
      <sheetName val="Book1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VALU"/>
      <sheetName val="OFFVALU (2)"/>
      <sheetName val="Sheet1"/>
      <sheetName val="Sheet2"/>
      <sheetName val="Sheet3"/>
      <sheetName val="Sheet4"/>
      <sheetName val="Sheet5"/>
    </sheetNames>
    <sheetDataSet>
      <sheetData sheetId="0" refreshError="1">
        <row r="3">
          <cell r="B3" t="str">
            <v>Valuation Comparisons</v>
          </cell>
        </row>
        <row r="5">
          <cell r="B5" t="str">
            <v>Capitalization Table</v>
          </cell>
        </row>
        <row r="6">
          <cell r="B6" t="str">
            <v>($ in millions, except per-share data)</v>
          </cell>
        </row>
        <row r="7">
          <cell r="F7" t="str">
            <v>Closing</v>
          </cell>
        </row>
        <row r="8">
          <cell r="F8" t="str">
            <v>Price</v>
          </cell>
          <cell r="J8" t="str">
            <v>Equity</v>
          </cell>
          <cell r="M8" t="str">
            <v>Net</v>
          </cell>
        </row>
        <row r="9">
          <cell r="B9" t="str">
            <v>Company</v>
          </cell>
          <cell r="F9" t="str">
            <v>1/15/98</v>
          </cell>
          <cell r="H9" t="str">
            <v>Shares</v>
          </cell>
          <cell r="J9" t="str">
            <v>Mkt.Cap.</v>
          </cell>
          <cell r="M9" t="str">
            <v>Debt</v>
          </cell>
          <cell r="O9" t="str">
            <v>TEV*</v>
          </cell>
        </row>
        <row r="10">
          <cell r="B10" t="str">
            <v xml:space="preserve">Arbor Drugs </v>
          </cell>
          <cell r="D10" t="str">
            <v>ARBR</v>
          </cell>
          <cell r="F10">
            <v>18.6875</v>
          </cell>
          <cell r="H10">
            <v>59.860875000000007</v>
          </cell>
          <cell r="J10">
            <v>1118.6501015625001</v>
          </cell>
          <cell r="M10">
            <v>16.300999999999998</v>
          </cell>
          <cell r="O10">
            <v>1134.9511015625001</v>
          </cell>
        </row>
        <row r="11">
          <cell r="B11" t="str">
            <v>CVS</v>
          </cell>
          <cell r="D11" t="str">
            <v>CVS</v>
          </cell>
          <cell r="F11">
            <v>64.5</v>
          </cell>
          <cell r="H11">
            <v>328.88</v>
          </cell>
          <cell r="J11">
            <v>21212.76</v>
          </cell>
          <cell r="M11">
            <v>25955.399999999998</v>
          </cell>
          <cell r="O11">
            <v>47168.159999999996</v>
          </cell>
        </row>
        <row r="12">
          <cell r="B12" t="str">
            <v xml:space="preserve">Rite Aid </v>
          </cell>
          <cell r="D12" t="str">
            <v>RAD</v>
          </cell>
          <cell r="F12">
            <v>60.3125</v>
          </cell>
          <cell r="H12">
            <v>271.63400000000001</v>
          </cell>
          <cell r="J12">
            <v>16382.925625000002</v>
          </cell>
          <cell r="M12">
            <v>2598.9340000000002</v>
          </cell>
          <cell r="O12">
            <v>18981.859625000001</v>
          </cell>
        </row>
        <row r="13">
          <cell r="B13" t="str">
            <v xml:space="preserve">Walgreen   </v>
          </cell>
          <cell r="D13" t="str">
            <v>WAG</v>
          </cell>
          <cell r="F13">
            <v>31.5</v>
          </cell>
          <cell r="H13">
            <v>498.33499999999998</v>
          </cell>
          <cell r="J13">
            <v>15697.5525</v>
          </cell>
          <cell r="M13">
            <v>4207.0619999999999</v>
          </cell>
          <cell r="O13">
            <v>19904.6145</v>
          </cell>
        </row>
        <row r="15">
          <cell r="B15" t="str">
            <v>Duane Reade</v>
          </cell>
          <cell r="D15" t="str">
            <v>DRD</v>
          </cell>
          <cell r="F15">
            <v>15</v>
          </cell>
          <cell r="H15">
            <v>18</v>
          </cell>
          <cell r="J15">
            <v>270</v>
          </cell>
          <cell r="M15">
            <v>215</v>
          </cell>
          <cell r="O15">
            <v>485</v>
          </cell>
        </row>
        <row r="17">
          <cell r="E17" t="str">
            <v xml:space="preserve"> </v>
          </cell>
        </row>
        <row r="19">
          <cell r="B19" t="str">
            <v>Peer Group Summary Valuation Data</v>
          </cell>
        </row>
        <row r="20">
          <cell r="B20" t="str">
            <v>($ in millions, except per-share data)</v>
          </cell>
        </row>
        <row r="22">
          <cell r="F22" t="str">
            <v>EPS</v>
          </cell>
          <cell r="M22" t="str">
            <v>EBITDA</v>
          </cell>
        </row>
        <row r="23">
          <cell r="B23" t="str">
            <v>Company</v>
          </cell>
          <cell r="F23" t="str">
            <v>1997E</v>
          </cell>
          <cell r="H23" t="str">
            <v>1998E</v>
          </cell>
          <cell r="J23" t="str">
            <v>1999E</v>
          </cell>
          <cell r="M23" t="str">
            <v>1997E</v>
          </cell>
          <cell r="O23" t="str">
            <v>1998E</v>
          </cell>
        </row>
        <row r="24">
          <cell r="B24" t="str">
            <v>Arbor Drugs</v>
          </cell>
          <cell r="D24" t="str">
            <v>Calandarized</v>
          </cell>
          <cell r="F24">
            <v>0.63932114427646614</v>
          </cell>
          <cell r="H24">
            <v>0.74188272808971267</v>
          </cell>
          <cell r="J24">
            <v>0.85316513730316934</v>
          </cell>
          <cell r="M24">
            <v>75.173999999999992</v>
          </cell>
          <cell r="O24">
            <v>86.600956755775741</v>
          </cell>
        </row>
        <row r="25">
          <cell r="D25" t="str">
            <v>Reported FY</v>
          </cell>
          <cell r="F25">
            <v>0.57516700181880154</v>
          </cell>
          <cell r="G25" t="str">
            <v>A</v>
          </cell>
          <cell r="H25">
            <v>0.68933969921207983</v>
          </cell>
          <cell r="J25">
            <v>0.79274065409389172</v>
          </cell>
        </row>
        <row r="26">
          <cell r="B26" t="str">
            <v xml:space="preserve">CVS </v>
          </cell>
          <cell r="F26">
            <v>5.4855874483093654E-2</v>
          </cell>
          <cell r="H26">
            <v>0.14622040072859721</v>
          </cell>
          <cell r="J26">
            <v>0.51111854510066157</v>
          </cell>
          <cell r="M26">
            <v>112.29999999999984</v>
          </cell>
          <cell r="O26">
            <v>173.02699999999993</v>
          </cell>
        </row>
        <row r="27">
          <cell r="B27" t="str">
            <v xml:space="preserve">Rite Aid   </v>
          </cell>
          <cell r="F27">
            <v>1.2625180539263805</v>
          </cell>
          <cell r="H27">
            <v>3</v>
          </cell>
          <cell r="J27">
            <v>3.47</v>
          </cell>
          <cell r="M27">
            <v>984.9140000000001</v>
          </cell>
          <cell r="O27">
            <v>1169.8119548851651</v>
          </cell>
        </row>
        <row r="28">
          <cell r="B28" t="str">
            <v xml:space="preserve">Walgreen   </v>
          </cell>
          <cell r="D28" t="str">
            <v>Calandarized</v>
          </cell>
          <cell r="F28">
            <v>0.93433974100295469</v>
          </cell>
          <cell r="H28">
            <v>1.1184748851209949</v>
          </cell>
          <cell r="J28">
            <v>1.3285712277738075</v>
          </cell>
          <cell r="M28">
            <v>962.68299999999999</v>
          </cell>
          <cell r="O28">
            <v>1167.3668791844957</v>
          </cell>
        </row>
        <row r="29">
          <cell r="D29" t="str">
            <v>Reported FY</v>
          </cell>
          <cell r="F29">
            <v>0.87583854234601521</v>
          </cell>
          <cell r="G29" t="str">
            <v>A</v>
          </cell>
          <cell r="H29">
            <v>1.022714508223024</v>
          </cell>
          <cell r="J29">
            <v>1.2247391966776886</v>
          </cell>
        </row>
        <row r="31">
          <cell r="B31" t="str">
            <v>Duane Reade</v>
          </cell>
          <cell r="D31" t="str">
            <v>Fully Taxed</v>
          </cell>
          <cell r="H31">
            <v>0.5</v>
          </cell>
          <cell r="I31">
            <v>67</v>
          </cell>
          <cell r="J31">
            <v>0.87</v>
          </cell>
          <cell r="K31">
            <v>68</v>
          </cell>
          <cell r="M31">
            <v>43.25600000000005</v>
          </cell>
          <cell r="N31">
            <v>72</v>
          </cell>
          <cell r="O31">
            <v>72.635399259237502</v>
          </cell>
        </row>
        <row r="32">
          <cell r="D32" t="str">
            <v>Reported FY</v>
          </cell>
          <cell r="F32">
            <v>-0.19565003444542367</v>
          </cell>
          <cell r="G32">
            <v>69</v>
          </cell>
          <cell r="H32">
            <v>1.05</v>
          </cell>
          <cell r="I32">
            <v>70</v>
          </cell>
          <cell r="J32">
            <v>1.45</v>
          </cell>
          <cell r="K32">
            <v>71</v>
          </cell>
        </row>
        <row r="35">
          <cell r="B35" t="str">
            <v>Peer Group Valuation Multiples</v>
          </cell>
        </row>
        <row r="38">
          <cell r="F38" t="str">
            <v>P/E</v>
          </cell>
          <cell r="O38" t="str">
            <v>TEV/EBITDA</v>
          </cell>
        </row>
        <row r="39">
          <cell r="B39" t="str">
            <v>Company</v>
          </cell>
          <cell r="F39" t="str">
            <v>1997E</v>
          </cell>
          <cell r="H39" t="str">
            <v>1998E</v>
          </cell>
          <cell r="J39" t="str">
            <v>1999E</v>
          </cell>
          <cell r="M39" t="str">
            <v>1997E</v>
          </cell>
          <cell r="O39" t="str">
            <v>1998E</v>
          </cell>
        </row>
        <row r="40">
          <cell r="B40" t="str">
            <v>Arbor Drugs</v>
          </cell>
          <cell r="C40">
            <v>18.6875</v>
          </cell>
          <cell r="D40" t="str">
            <v>Calandarized</v>
          </cell>
          <cell r="F40">
            <v>29.230223600924472</v>
          </cell>
          <cell r="H40">
            <v>25.18929110011603</v>
          </cell>
          <cell r="J40">
            <v>21.903731391405248</v>
          </cell>
          <cell r="M40" t="e">
            <v>#REF!</v>
          </cell>
          <cell r="O40" t="e">
            <v>#REF!</v>
          </cell>
        </row>
        <row r="41">
          <cell r="D41" t="str">
            <v>Reported FY</v>
          </cell>
          <cell r="F41">
            <v>32.490563507478896</v>
          </cell>
          <cell r="H41">
            <v>27.109275762530352</v>
          </cell>
          <cell r="J41">
            <v>23.573283271765529</v>
          </cell>
        </row>
        <row r="42">
          <cell r="B42" t="str">
            <v xml:space="preserve">CVS </v>
          </cell>
          <cell r="C42">
            <v>64.5</v>
          </cell>
          <cell r="F42">
            <v>1175.8084363394594</v>
          </cell>
          <cell r="H42">
            <v>441.11491747119351</v>
          </cell>
          <cell r="J42">
            <v>126.19381671486236</v>
          </cell>
          <cell r="M42">
            <v>18.039655155465116</v>
          </cell>
          <cell r="O42">
            <v>15.707770980151274</v>
          </cell>
        </row>
        <row r="43">
          <cell r="B43" t="str">
            <v xml:space="preserve">Rite Aid   </v>
          </cell>
          <cell r="C43">
            <v>60.3125</v>
          </cell>
          <cell r="F43">
            <v>47.771594087253284</v>
          </cell>
          <cell r="H43">
            <v>20.104166666666668</v>
          </cell>
          <cell r="J43">
            <v>17.381123919308358</v>
          </cell>
          <cell r="M43">
            <v>13.302371577619972</v>
          </cell>
          <cell r="O43">
            <v>11.906798303636174</v>
          </cell>
        </row>
        <row r="44">
          <cell r="B44" t="str">
            <v xml:space="preserve">Walgreen   </v>
          </cell>
          <cell r="C44">
            <v>31.5</v>
          </cell>
          <cell r="D44" t="str">
            <v>Calandarized</v>
          </cell>
          <cell r="F44">
            <v>33.71364677926119</v>
          </cell>
          <cell r="H44">
            <v>28.163350307675774</v>
          </cell>
          <cell r="J44">
            <v>23.709681002788471</v>
          </cell>
          <cell r="M44">
            <v>25.095136587017741</v>
          </cell>
          <cell r="O44">
            <v>20.826885512405848</v>
          </cell>
        </row>
        <row r="45">
          <cell r="D45" t="str">
            <v>Reported FY</v>
          </cell>
          <cell r="F45">
            <v>35.965533002948597</v>
          </cell>
          <cell r="H45">
            <v>30.800384414934666</v>
          </cell>
          <cell r="J45">
            <v>25.719761468767437</v>
          </cell>
        </row>
        <row r="47">
          <cell r="D47" t="str">
            <v>Mean - Calandarized</v>
          </cell>
          <cell r="F47">
            <v>321.6309752017246</v>
          </cell>
          <cell r="H47">
            <v>128.64293138641298</v>
          </cell>
          <cell r="J47">
            <v>47.297088257091112</v>
          </cell>
          <cell r="M47" t="e">
            <v>#REF!</v>
          </cell>
          <cell r="O47" t="e">
            <v>#REF!</v>
          </cell>
        </row>
        <row r="48">
          <cell r="D48" t="str">
            <v>Mean - Reported FY</v>
          </cell>
          <cell r="F48">
            <v>323.00903173428509</v>
          </cell>
          <cell r="H48">
            <v>129.7821860788313</v>
          </cell>
          <cell r="J48">
            <v>48.216996343675923</v>
          </cell>
        </row>
        <row r="50">
          <cell r="B50" t="str">
            <v>Duane Reade</v>
          </cell>
          <cell r="C50">
            <v>15</v>
          </cell>
          <cell r="D50" t="str">
            <v>Fully Taxed</v>
          </cell>
          <cell r="H50">
            <v>30</v>
          </cell>
          <cell r="I50">
            <v>75</v>
          </cell>
          <cell r="J50">
            <v>17.241379310344829</v>
          </cell>
          <cell r="K50">
            <v>76</v>
          </cell>
          <cell r="M50">
            <v>15.751564811817994</v>
          </cell>
          <cell r="N50">
            <v>83</v>
          </cell>
          <cell r="O50">
            <v>12.306047693216513</v>
          </cell>
        </row>
        <row r="51">
          <cell r="D51" t="str">
            <v>Reported FY</v>
          </cell>
          <cell r="H51">
            <v>14.285714285714285</v>
          </cell>
          <cell r="I51">
            <v>77</v>
          </cell>
          <cell r="J51">
            <v>10.344827586206897</v>
          </cell>
          <cell r="K51">
            <v>78</v>
          </cell>
        </row>
        <row r="53">
          <cell r="B53" t="str">
            <v>Discount to Mean</v>
          </cell>
          <cell r="D53" t="str">
            <v>Fully Taxed</v>
          </cell>
          <cell r="H53">
            <v>-0.76679635890846509</v>
          </cell>
          <cell r="I53">
            <v>79</v>
          </cell>
          <cell r="J53">
            <v>-0.63546636916364763</v>
          </cell>
          <cell r="K53">
            <v>80</v>
          </cell>
          <cell r="M53" t="e">
            <v>#REF!</v>
          </cell>
          <cell r="N53">
            <v>86</v>
          </cell>
          <cell r="O53" t="e">
            <v>#REF!</v>
          </cell>
        </row>
        <row r="54">
          <cell r="D54" t="str">
            <v>Reported FY</v>
          </cell>
          <cell r="H54">
            <v>-0.88895064709926908</v>
          </cell>
          <cell r="I54">
            <v>81</v>
          </cell>
          <cell r="J54">
            <v>-0.78127982149818864</v>
          </cell>
          <cell r="K54">
            <v>82</v>
          </cell>
        </row>
        <row r="57">
          <cell r="B57" t="str">
            <v>*Total Enterprise Value = Equity market capitalization + Long Term Debt</v>
          </cell>
        </row>
        <row r="58">
          <cell r="B58" t="str">
            <v>For purposes of comparison, earnings figures for ARBR &amp; WAG have been "calendarized" to approximate calendar quarters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brand census"/>
      <sheetName val="chain census"/>
      <sheetName val="brand lookup"/>
      <sheetName val="msa lookup"/>
      <sheetName val="mkt-state-company lookups"/>
      <sheetName val="brand pivots"/>
      <sheetName val="category pivots"/>
      <sheetName val="company pivots"/>
      <sheetName val="attrition "/>
      <sheetName val="Est Open pivots"/>
      <sheetName val="MKT pivots"/>
      <sheetName val="mkt census pivot"/>
      <sheetName val="MSA pivots"/>
      <sheetName val="old open pivots"/>
      <sheetName val="qtr pivots"/>
      <sheetName val="region pivots"/>
      <sheetName val="State Pivots"/>
      <sheetName val="summary pivots"/>
      <sheetName val="Pivots"/>
      <sheetName val="Est Opens - no EP"/>
    </sheetNames>
    <sheetDataSet>
      <sheetData sheetId="0" refreshError="1"/>
      <sheetData sheetId="1" refreshError="1"/>
      <sheetData sheetId="2" refreshError="1">
        <row r="15">
          <cell r="C15">
            <v>40928</v>
          </cell>
          <cell r="D15">
            <v>4146901</v>
          </cell>
        </row>
      </sheetData>
      <sheetData sheetId="3" refreshError="1">
        <row r="7">
          <cell r="BG7" t="str">
            <v>AmeriHost Inn</v>
          </cell>
          <cell r="BH7">
            <v>22</v>
          </cell>
          <cell r="BI7">
            <v>1360</v>
          </cell>
          <cell r="BJ7">
            <v>10</v>
          </cell>
          <cell r="BK7">
            <v>639</v>
          </cell>
          <cell r="BL7">
            <v>6</v>
          </cell>
          <cell r="BM7">
            <v>383</v>
          </cell>
          <cell r="BN7">
            <v>5</v>
          </cell>
          <cell r="BO7">
            <v>316</v>
          </cell>
          <cell r="BP7">
            <v>3</v>
          </cell>
          <cell r="BQ7">
            <v>188</v>
          </cell>
          <cell r="BT7">
            <v>46</v>
          </cell>
          <cell r="BU7">
            <v>2886</v>
          </cell>
        </row>
        <row r="8">
          <cell r="BG8" t="str">
            <v>AmeriSuites</v>
          </cell>
          <cell r="BH8">
            <v>32</v>
          </cell>
          <cell r="BI8">
            <v>4206</v>
          </cell>
          <cell r="BJ8">
            <v>20</v>
          </cell>
          <cell r="BK8">
            <v>2721</v>
          </cell>
          <cell r="BL8">
            <v>13</v>
          </cell>
          <cell r="BM8">
            <v>1655</v>
          </cell>
          <cell r="BN8">
            <v>9</v>
          </cell>
          <cell r="BO8">
            <v>1112</v>
          </cell>
          <cell r="BP8">
            <v>6</v>
          </cell>
          <cell r="BQ8">
            <v>782</v>
          </cell>
          <cell r="BT8">
            <v>80</v>
          </cell>
          <cell r="BU8">
            <v>10476</v>
          </cell>
        </row>
        <row r="9">
          <cell r="BG9" t="str">
            <v>Best Inn</v>
          </cell>
          <cell r="BH9">
            <v>3</v>
          </cell>
          <cell r="BI9">
            <v>222</v>
          </cell>
          <cell r="BJ9">
            <v>2</v>
          </cell>
          <cell r="BK9">
            <v>206</v>
          </cell>
          <cell r="BL9">
            <v>8</v>
          </cell>
          <cell r="BM9">
            <v>616</v>
          </cell>
          <cell r="BN9">
            <v>2</v>
          </cell>
          <cell r="BO9">
            <v>87</v>
          </cell>
          <cell r="BP9">
            <v>0</v>
          </cell>
          <cell r="BQ9">
            <v>0</v>
          </cell>
          <cell r="BT9">
            <v>15</v>
          </cell>
          <cell r="BU9">
            <v>1131</v>
          </cell>
        </row>
        <row r="10">
          <cell r="BG10" t="str">
            <v>Clarion</v>
          </cell>
          <cell r="BH10">
            <v>3</v>
          </cell>
          <cell r="BI10">
            <v>363</v>
          </cell>
          <cell r="BJ10">
            <v>4</v>
          </cell>
          <cell r="BK10">
            <v>436</v>
          </cell>
          <cell r="BL10">
            <v>2</v>
          </cell>
          <cell r="BM10">
            <v>163</v>
          </cell>
          <cell r="BN10">
            <v>0</v>
          </cell>
          <cell r="BO10">
            <v>0</v>
          </cell>
          <cell r="BP10">
            <v>6</v>
          </cell>
          <cell r="BQ10">
            <v>526</v>
          </cell>
          <cell r="BT10">
            <v>15</v>
          </cell>
          <cell r="BU10">
            <v>1488</v>
          </cell>
        </row>
        <row r="11">
          <cell r="BG11" t="str">
            <v>Club Hotel by Doubletree</v>
          </cell>
          <cell r="BH11">
            <v>1</v>
          </cell>
          <cell r="BI11">
            <v>200</v>
          </cell>
          <cell r="BJ11">
            <v>4</v>
          </cell>
          <cell r="BK11">
            <v>841</v>
          </cell>
          <cell r="BL11">
            <v>3</v>
          </cell>
          <cell r="BM11">
            <v>603</v>
          </cell>
          <cell r="BN11">
            <v>1</v>
          </cell>
          <cell r="BO11">
            <v>268</v>
          </cell>
          <cell r="BP11">
            <v>1</v>
          </cell>
          <cell r="BQ11">
            <v>110</v>
          </cell>
          <cell r="BT11">
            <v>10</v>
          </cell>
          <cell r="BU11">
            <v>2022</v>
          </cell>
        </row>
        <row r="12">
          <cell r="BG12" t="str">
            <v>Comfort Inn</v>
          </cell>
          <cell r="BH12">
            <v>68</v>
          </cell>
          <cell r="BI12">
            <v>4100</v>
          </cell>
          <cell r="BJ12">
            <v>37</v>
          </cell>
          <cell r="BK12">
            <v>2271</v>
          </cell>
          <cell r="BL12">
            <v>49</v>
          </cell>
          <cell r="BM12">
            <v>3092</v>
          </cell>
          <cell r="BN12">
            <v>59</v>
          </cell>
          <cell r="BO12">
            <v>4112</v>
          </cell>
          <cell r="BP12">
            <v>30</v>
          </cell>
          <cell r="BQ12">
            <v>1943</v>
          </cell>
          <cell r="BT12">
            <v>243</v>
          </cell>
          <cell r="BU12">
            <v>15518</v>
          </cell>
        </row>
        <row r="13">
          <cell r="BG13" t="str">
            <v>Comfort Suites</v>
          </cell>
          <cell r="BH13">
            <v>41</v>
          </cell>
          <cell r="BI13">
            <v>3278</v>
          </cell>
          <cell r="BJ13">
            <v>32</v>
          </cell>
          <cell r="BK13">
            <v>2445</v>
          </cell>
          <cell r="BL13">
            <v>37</v>
          </cell>
          <cell r="BM13">
            <v>3005</v>
          </cell>
          <cell r="BN13">
            <v>52</v>
          </cell>
          <cell r="BO13">
            <v>3661</v>
          </cell>
          <cell r="BP13">
            <v>33</v>
          </cell>
          <cell r="BQ13">
            <v>2659</v>
          </cell>
          <cell r="BT13">
            <v>195</v>
          </cell>
          <cell r="BU13">
            <v>15048</v>
          </cell>
        </row>
        <row r="14">
          <cell r="BG14" t="str">
            <v>Courtyard by Marriott</v>
          </cell>
          <cell r="BH14">
            <v>48</v>
          </cell>
          <cell r="BI14">
            <v>5550</v>
          </cell>
          <cell r="BJ14">
            <v>42</v>
          </cell>
          <cell r="BK14">
            <v>5396</v>
          </cell>
          <cell r="BL14">
            <v>49</v>
          </cell>
          <cell r="BM14">
            <v>7229</v>
          </cell>
          <cell r="BN14">
            <v>41</v>
          </cell>
          <cell r="BO14">
            <v>5765</v>
          </cell>
          <cell r="BP14">
            <v>28</v>
          </cell>
          <cell r="BQ14">
            <v>4375</v>
          </cell>
          <cell r="BT14">
            <v>208</v>
          </cell>
          <cell r="BU14">
            <v>28315</v>
          </cell>
        </row>
        <row r="15">
          <cell r="BG15" t="str">
            <v>Crossland Economy Studios</v>
          </cell>
          <cell r="BH15">
            <v>6</v>
          </cell>
          <cell r="BI15">
            <v>719</v>
          </cell>
          <cell r="BJ15">
            <v>28</v>
          </cell>
          <cell r="BK15">
            <v>3586</v>
          </cell>
          <cell r="BL15">
            <v>5</v>
          </cell>
          <cell r="BM15">
            <v>663</v>
          </cell>
          <cell r="BN15">
            <v>1</v>
          </cell>
          <cell r="BO15">
            <v>133</v>
          </cell>
          <cell r="BP15">
            <v>0</v>
          </cell>
          <cell r="BQ15">
            <v>0</v>
          </cell>
          <cell r="BT15">
            <v>40</v>
          </cell>
          <cell r="BU15">
            <v>5101</v>
          </cell>
        </row>
        <row r="16">
          <cell r="BG16" t="str">
            <v>Crowne Plaza</v>
          </cell>
          <cell r="BH16">
            <v>1</v>
          </cell>
          <cell r="BI16">
            <v>288</v>
          </cell>
          <cell r="BJ16">
            <v>3</v>
          </cell>
          <cell r="BK16">
            <v>583</v>
          </cell>
          <cell r="BL16">
            <v>1</v>
          </cell>
          <cell r="BM16">
            <v>140</v>
          </cell>
          <cell r="BN16">
            <v>1</v>
          </cell>
          <cell r="BO16">
            <v>384</v>
          </cell>
          <cell r="BP16">
            <v>3</v>
          </cell>
          <cell r="BQ16">
            <v>703</v>
          </cell>
          <cell r="BT16">
            <v>9</v>
          </cell>
          <cell r="BU16">
            <v>2098</v>
          </cell>
        </row>
        <row r="17">
          <cell r="BG17" t="str">
            <v>Days Inn</v>
          </cell>
          <cell r="BH17">
            <v>43</v>
          </cell>
          <cell r="BI17">
            <v>2314</v>
          </cell>
          <cell r="BJ17">
            <v>29</v>
          </cell>
          <cell r="BK17">
            <v>1629</v>
          </cell>
          <cell r="BL17">
            <v>29</v>
          </cell>
          <cell r="BM17">
            <v>1446</v>
          </cell>
          <cell r="BN17">
            <v>22</v>
          </cell>
          <cell r="BO17">
            <v>1139</v>
          </cell>
          <cell r="BP17">
            <v>13</v>
          </cell>
          <cell r="BQ17">
            <v>606</v>
          </cell>
          <cell r="BT17">
            <v>136</v>
          </cell>
          <cell r="BU17">
            <v>7134</v>
          </cell>
        </row>
        <row r="18">
          <cell r="BG18" t="str">
            <v>Doubletree Guest Suites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2</v>
          </cell>
          <cell r="BO18">
            <v>470</v>
          </cell>
          <cell r="BP18">
            <v>0</v>
          </cell>
          <cell r="BQ18">
            <v>0</v>
          </cell>
          <cell r="BT18">
            <v>2</v>
          </cell>
          <cell r="BU18">
            <v>470</v>
          </cell>
        </row>
        <row r="19">
          <cell r="BG19" t="str">
            <v>Doubletree Hotel</v>
          </cell>
          <cell r="BH19">
            <v>1</v>
          </cell>
          <cell r="BI19">
            <v>388</v>
          </cell>
          <cell r="BJ19">
            <v>1</v>
          </cell>
          <cell r="BK19">
            <v>225</v>
          </cell>
          <cell r="BL19">
            <v>1</v>
          </cell>
          <cell r="BM19">
            <v>252</v>
          </cell>
          <cell r="BN19">
            <v>2</v>
          </cell>
          <cell r="BO19">
            <v>308</v>
          </cell>
          <cell r="BP19">
            <v>2</v>
          </cell>
          <cell r="BQ19">
            <v>549</v>
          </cell>
          <cell r="BT19">
            <v>7</v>
          </cell>
          <cell r="BU19">
            <v>1722</v>
          </cell>
        </row>
        <row r="20">
          <cell r="BG20" t="str">
            <v>Econo Lodge</v>
          </cell>
          <cell r="BH20">
            <v>11</v>
          </cell>
          <cell r="BI20">
            <v>546</v>
          </cell>
          <cell r="BJ20">
            <v>4</v>
          </cell>
          <cell r="BK20">
            <v>213</v>
          </cell>
          <cell r="BL20">
            <v>6</v>
          </cell>
          <cell r="BM20">
            <v>256</v>
          </cell>
          <cell r="BN20">
            <v>10</v>
          </cell>
          <cell r="BO20">
            <v>508</v>
          </cell>
          <cell r="BP20">
            <v>3</v>
          </cell>
          <cell r="BQ20">
            <v>155</v>
          </cell>
          <cell r="BT20">
            <v>34</v>
          </cell>
          <cell r="BU20">
            <v>1678</v>
          </cell>
        </row>
        <row r="21">
          <cell r="BG21" t="str">
            <v>Embassy Suites</v>
          </cell>
          <cell r="BH21">
            <v>5</v>
          </cell>
          <cell r="BI21">
            <v>1305</v>
          </cell>
          <cell r="BJ21">
            <v>7</v>
          </cell>
          <cell r="BK21">
            <v>1546</v>
          </cell>
          <cell r="BL21">
            <v>6</v>
          </cell>
          <cell r="BM21">
            <v>1429</v>
          </cell>
          <cell r="BN21">
            <v>7</v>
          </cell>
          <cell r="BO21">
            <v>1756</v>
          </cell>
          <cell r="BP21">
            <v>7</v>
          </cell>
          <cell r="BQ21">
            <v>1862</v>
          </cell>
          <cell r="BT21">
            <v>32</v>
          </cell>
          <cell r="BU21">
            <v>7898</v>
          </cell>
        </row>
        <row r="22">
          <cell r="BG22" t="str">
            <v>Extended Stay America</v>
          </cell>
          <cell r="BH22">
            <v>72</v>
          </cell>
          <cell r="BI22">
            <v>8316</v>
          </cell>
          <cell r="BJ22">
            <v>66</v>
          </cell>
          <cell r="BK22">
            <v>7117</v>
          </cell>
          <cell r="BL22">
            <v>40</v>
          </cell>
          <cell r="BM22">
            <v>4406</v>
          </cell>
          <cell r="BN22">
            <v>27</v>
          </cell>
          <cell r="BO22">
            <v>3045</v>
          </cell>
          <cell r="BP22">
            <v>34</v>
          </cell>
          <cell r="BQ22">
            <v>3639</v>
          </cell>
          <cell r="BT22">
            <v>239</v>
          </cell>
          <cell r="BU22">
            <v>26523</v>
          </cell>
        </row>
        <row r="23">
          <cell r="BG23" t="str">
            <v>Fairfield Inn</v>
          </cell>
          <cell r="BH23">
            <v>53</v>
          </cell>
          <cell r="BI23">
            <v>4773</v>
          </cell>
          <cell r="BJ23">
            <v>33</v>
          </cell>
          <cell r="BK23">
            <v>2959</v>
          </cell>
          <cell r="BL23">
            <v>35</v>
          </cell>
          <cell r="BM23">
            <v>2928</v>
          </cell>
          <cell r="BN23">
            <v>20</v>
          </cell>
          <cell r="BO23">
            <v>1899</v>
          </cell>
          <cell r="BP23">
            <v>21</v>
          </cell>
          <cell r="BQ23">
            <v>2064</v>
          </cell>
          <cell r="BT23">
            <v>162</v>
          </cell>
          <cell r="BU23">
            <v>14623</v>
          </cell>
        </row>
        <row r="24">
          <cell r="BG24" t="str">
            <v>Four Points Hotel</v>
          </cell>
          <cell r="BH24">
            <v>0</v>
          </cell>
          <cell r="BI24">
            <v>0</v>
          </cell>
          <cell r="BJ24">
            <v>3</v>
          </cell>
          <cell r="BK24">
            <v>324</v>
          </cell>
          <cell r="BL24">
            <v>1</v>
          </cell>
          <cell r="BM24">
            <v>74</v>
          </cell>
          <cell r="BN24">
            <v>1</v>
          </cell>
          <cell r="BO24">
            <v>265</v>
          </cell>
          <cell r="BP24">
            <v>2</v>
          </cell>
          <cell r="BQ24">
            <v>268</v>
          </cell>
          <cell r="BT24">
            <v>7</v>
          </cell>
          <cell r="BU24">
            <v>931</v>
          </cell>
        </row>
        <row r="25">
          <cell r="BG25" t="str">
            <v>Four Seasons</v>
          </cell>
          <cell r="BH25">
            <v>1</v>
          </cell>
          <cell r="BI25">
            <v>571</v>
          </cell>
          <cell r="BJ25">
            <v>0</v>
          </cell>
          <cell r="BK25">
            <v>0</v>
          </cell>
          <cell r="BL25">
            <v>2</v>
          </cell>
          <cell r="BM25">
            <v>634</v>
          </cell>
          <cell r="BN25">
            <v>0</v>
          </cell>
          <cell r="BO25">
            <v>0</v>
          </cell>
          <cell r="BP25">
            <v>1</v>
          </cell>
          <cell r="BQ25">
            <v>277</v>
          </cell>
          <cell r="BT25">
            <v>4</v>
          </cell>
          <cell r="BU25">
            <v>1482</v>
          </cell>
        </row>
        <row r="26">
          <cell r="BG26" t="str">
            <v>Friendship Inn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T26">
            <v>0</v>
          </cell>
          <cell r="BU26">
            <v>0</v>
          </cell>
        </row>
        <row r="27">
          <cell r="BG27" t="str">
            <v>Hampton Inn</v>
          </cell>
          <cell r="BH27">
            <v>103</v>
          </cell>
          <cell r="BI27">
            <v>9291</v>
          </cell>
          <cell r="BJ27">
            <v>91</v>
          </cell>
          <cell r="BK27">
            <v>8134</v>
          </cell>
          <cell r="BL27">
            <v>94</v>
          </cell>
          <cell r="BM27">
            <v>8873</v>
          </cell>
          <cell r="BN27">
            <v>67</v>
          </cell>
          <cell r="BO27">
            <v>5787</v>
          </cell>
          <cell r="BP27">
            <v>65</v>
          </cell>
          <cell r="BQ27">
            <v>5509</v>
          </cell>
          <cell r="BT27">
            <v>420</v>
          </cell>
          <cell r="BU27">
            <v>37594</v>
          </cell>
        </row>
        <row r="28">
          <cell r="BG28" t="str">
            <v>Hampton Inn &amp; Suites</v>
          </cell>
          <cell r="BH28">
            <v>10</v>
          </cell>
          <cell r="BI28">
            <v>1024</v>
          </cell>
          <cell r="BJ28">
            <v>15</v>
          </cell>
          <cell r="BK28">
            <v>1798</v>
          </cell>
          <cell r="BL28">
            <v>13</v>
          </cell>
          <cell r="BM28">
            <v>1485</v>
          </cell>
          <cell r="BN28">
            <v>25</v>
          </cell>
          <cell r="BO28">
            <v>2942</v>
          </cell>
          <cell r="BP28">
            <v>14</v>
          </cell>
          <cell r="BQ28">
            <v>1330</v>
          </cell>
          <cell r="BT28">
            <v>77</v>
          </cell>
          <cell r="BU28">
            <v>8579</v>
          </cell>
        </row>
        <row r="29">
          <cell r="BG29" t="str">
            <v>Hawthorn Suites</v>
          </cell>
          <cell r="BH29">
            <v>2</v>
          </cell>
          <cell r="BI29">
            <v>344</v>
          </cell>
          <cell r="BJ29">
            <v>6</v>
          </cell>
          <cell r="BK29">
            <v>741</v>
          </cell>
          <cell r="BL29">
            <v>13</v>
          </cell>
          <cell r="BM29">
            <v>1622</v>
          </cell>
          <cell r="BN29">
            <v>23</v>
          </cell>
          <cell r="BO29">
            <v>1781</v>
          </cell>
          <cell r="BP29">
            <v>8</v>
          </cell>
          <cell r="BQ29">
            <v>691</v>
          </cell>
          <cell r="BT29">
            <v>52</v>
          </cell>
          <cell r="BU29">
            <v>5179</v>
          </cell>
        </row>
        <row r="30">
          <cell r="BG30" t="str">
            <v>Hawthorn Suites LTD.</v>
          </cell>
          <cell r="BH30">
            <v>1</v>
          </cell>
          <cell r="BI30">
            <v>96</v>
          </cell>
          <cell r="BJ30">
            <v>9</v>
          </cell>
          <cell r="BK30">
            <v>775</v>
          </cell>
          <cell r="BL30">
            <v>17</v>
          </cell>
          <cell r="BM30">
            <v>1400</v>
          </cell>
          <cell r="BN30">
            <v>16</v>
          </cell>
          <cell r="BO30">
            <v>1289</v>
          </cell>
          <cell r="BP30">
            <v>9</v>
          </cell>
          <cell r="BQ30">
            <v>614</v>
          </cell>
          <cell r="BT30">
            <v>52</v>
          </cell>
          <cell r="BU30">
            <v>4174</v>
          </cell>
        </row>
        <row r="31">
          <cell r="BG31" t="str">
            <v>Hilton Garden Inn</v>
          </cell>
          <cell r="BH31">
            <v>5</v>
          </cell>
          <cell r="BI31">
            <v>581</v>
          </cell>
          <cell r="BJ31">
            <v>8</v>
          </cell>
          <cell r="BK31">
            <v>1168</v>
          </cell>
          <cell r="BL31">
            <v>43</v>
          </cell>
          <cell r="BM31">
            <v>6055</v>
          </cell>
          <cell r="BN31">
            <v>28</v>
          </cell>
          <cell r="BO31">
            <v>4099</v>
          </cell>
          <cell r="BP31">
            <v>33</v>
          </cell>
          <cell r="BQ31">
            <v>4315</v>
          </cell>
          <cell r="BT31">
            <v>117</v>
          </cell>
          <cell r="BU31">
            <v>16218</v>
          </cell>
        </row>
        <row r="32">
          <cell r="BG32" t="str">
            <v>Hilton Hotel</v>
          </cell>
          <cell r="BH32">
            <v>1</v>
          </cell>
          <cell r="BI32">
            <v>137</v>
          </cell>
          <cell r="BJ32">
            <v>1</v>
          </cell>
          <cell r="BK32">
            <v>300</v>
          </cell>
          <cell r="BL32">
            <v>4</v>
          </cell>
          <cell r="BM32">
            <v>1040</v>
          </cell>
          <cell r="BN32">
            <v>10</v>
          </cell>
          <cell r="BO32">
            <v>2607</v>
          </cell>
          <cell r="BP32">
            <v>6</v>
          </cell>
          <cell r="BQ32">
            <v>1504</v>
          </cell>
          <cell r="BT32">
            <v>22</v>
          </cell>
          <cell r="BU32">
            <v>5588</v>
          </cell>
        </row>
        <row r="33">
          <cell r="BG33" t="str">
            <v>Holiday Inn</v>
          </cell>
          <cell r="BH33">
            <v>4</v>
          </cell>
          <cell r="BI33">
            <v>653</v>
          </cell>
          <cell r="BJ33">
            <v>7</v>
          </cell>
          <cell r="BK33">
            <v>1199</v>
          </cell>
          <cell r="BL33">
            <v>9</v>
          </cell>
          <cell r="BM33">
            <v>1661</v>
          </cell>
          <cell r="BN33">
            <v>4</v>
          </cell>
          <cell r="BO33">
            <v>540</v>
          </cell>
          <cell r="BP33">
            <v>7</v>
          </cell>
          <cell r="BQ33">
            <v>1087</v>
          </cell>
          <cell r="BT33">
            <v>31</v>
          </cell>
          <cell r="BU33">
            <v>5140</v>
          </cell>
        </row>
        <row r="34">
          <cell r="BG34" t="str">
            <v>Holiday Inn Express</v>
          </cell>
          <cell r="BH34">
            <v>126</v>
          </cell>
          <cell r="BI34">
            <v>8295</v>
          </cell>
          <cell r="BJ34">
            <v>131</v>
          </cell>
          <cell r="BK34">
            <v>9419</v>
          </cell>
          <cell r="BL34">
            <v>118</v>
          </cell>
          <cell r="BM34">
            <v>8627</v>
          </cell>
          <cell r="BN34">
            <v>118</v>
          </cell>
          <cell r="BO34">
            <v>8585</v>
          </cell>
          <cell r="BP34">
            <v>118</v>
          </cell>
          <cell r="BQ34">
            <v>9008</v>
          </cell>
          <cell r="BT34">
            <v>611</v>
          </cell>
          <cell r="BU34">
            <v>43934</v>
          </cell>
        </row>
        <row r="35">
          <cell r="BG35" t="str">
            <v>Holiday Inn Select</v>
          </cell>
          <cell r="BH35">
            <v>0</v>
          </cell>
          <cell r="BI35">
            <v>0</v>
          </cell>
          <cell r="BJ35">
            <v>1</v>
          </cell>
          <cell r="BK35">
            <v>300</v>
          </cell>
          <cell r="BL35">
            <v>0</v>
          </cell>
          <cell r="BM35">
            <v>0</v>
          </cell>
          <cell r="BN35">
            <v>3</v>
          </cell>
          <cell r="BO35">
            <v>543</v>
          </cell>
          <cell r="BP35">
            <v>0</v>
          </cell>
          <cell r="BQ35">
            <v>0</v>
          </cell>
          <cell r="BT35">
            <v>4</v>
          </cell>
          <cell r="BU35">
            <v>843</v>
          </cell>
        </row>
        <row r="36">
          <cell r="BG36" t="str">
            <v>Homewood Suites by Hilton</v>
          </cell>
          <cell r="BH36">
            <v>12</v>
          </cell>
          <cell r="BI36">
            <v>1060</v>
          </cell>
          <cell r="BJ36">
            <v>24</v>
          </cell>
          <cell r="BK36">
            <v>2707</v>
          </cell>
          <cell r="BL36">
            <v>12</v>
          </cell>
          <cell r="BM36">
            <v>1591</v>
          </cell>
          <cell r="BN36">
            <v>8</v>
          </cell>
          <cell r="BO36">
            <v>990</v>
          </cell>
          <cell r="BP36">
            <v>11</v>
          </cell>
          <cell r="BQ36">
            <v>1129</v>
          </cell>
          <cell r="BT36">
            <v>67</v>
          </cell>
          <cell r="BU36">
            <v>7477</v>
          </cell>
        </row>
        <row r="37">
          <cell r="BG37" t="str">
            <v>Howard Johnson</v>
          </cell>
          <cell r="BH37">
            <v>1</v>
          </cell>
          <cell r="BI37">
            <v>170</v>
          </cell>
          <cell r="BJ37">
            <v>4</v>
          </cell>
          <cell r="BK37">
            <v>338</v>
          </cell>
          <cell r="BL37">
            <v>1</v>
          </cell>
          <cell r="BM37">
            <v>82</v>
          </cell>
          <cell r="BN37">
            <v>1</v>
          </cell>
          <cell r="BO37">
            <v>150</v>
          </cell>
          <cell r="BP37">
            <v>1</v>
          </cell>
          <cell r="BQ37">
            <v>34</v>
          </cell>
          <cell r="BT37">
            <v>8</v>
          </cell>
          <cell r="BU37">
            <v>774</v>
          </cell>
        </row>
        <row r="38">
          <cell r="BG38" t="str">
            <v>Howard Johnson Express Inn</v>
          </cell>
          <cell r="BH38">
            <v>5</v>
          </cell>
          <cell r="BI38">
            <v>268</v>
          </cell>
          <cell r="BJ38">
            <v>4</v>
          </cell>
          <cell r="BK38">
            <v>215</v>
          </cell>
          <cell r="BL38">
            <v>8</v>
          </cell>
          <cell r="BM38">
            <v>435</v>
          </cell>
          <cell r="BN38">
            <v>9</v>
          </cell>
          <cell r="BO38">
            <v>592</v>
          </cell>
          <cell r="BP38">
            <v>5</v>
          </cell>
          <cell r="BQ38">
            <v>272</v>
          </cell>
          <cell r="BT38">
            <v>31</v>
          </cell>
          <cell r="BU38">
            <v>1782</v>
          </cell>
        </row>
        <row r="39">
          <cell r="BG39" t="str">
            <v>Inter-Continental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1</v>
          </cell>
          <cell r="BM39">
            <v>291</v>
          </cell>
          <cell r="BN39">
            <v>2</v>
          </cell>
          <cell r="BO39">
            <v>339</v>
          </cell>
          <cell r="BP39">
            <v>0</v>
          </cell>
          <cell r="BQ39">
            <v>0</v>
          </cell>
          <cell r="BT39">
            <v>3</v>
          </cell>
          <cell r="BU39">
            <v>630</v>
          </cell>
        </row>
        <row r="40">
          <cell r="BG40" t="str">
            <v>Knights Inn</v>
          </cell>
          <cell r="BH40">
            <v>7</v>
          </cell>
          <cell r="BI40">
            <v>395</v>
          </cell>
          <cell r="BJ40">
            <v>1</v>
          </cell>
          <cell r="BK40">
            <v>40</v>
          </cell>
          <cell r="BL40">
            <v>0</v>
          </cell>
          <cell r="BM40">
            <v>0</v>
          </cell>
          <cell r="BN40">
            <v>1</v>
          </cell>
          <cell r="BO40">
            <v>44</v>
          </cell>
          <cell r="BP40">
            <v>0</v>
          </cell>
          <cell r="BQ40">
            <v>0</v>
          </cell>
          <cell r="BT40">
            <v>9</v>
          </cell>
          <cell r="BU40">
            <v>479</v>
          </cell>
        </row>
        <row r="41">
          <cell r="BG41" t="str">
            <v>MainStay Suites</v>
          </cell>
          <cell r="BH41">
            <v>3</v>
          </cell>
          <cell r="BI41">
            <v>279</v>
          </cell>
          <cell r="BJ41">
            <v>15</v>
          </cell>
          <cell r="BK41">
            <v>1415</v>
          </cell>
          <cell r="BL41">
            <v>10</v>
          </cell>
          <cell r="BM41">
            <v>862</v>
          </cell>
          <cell r="BN41">
            <v>5</v>
          </cell>
          <cell r="BO41">
            <v>429</v>
          </cell>
          <cell r="BP41">
            <v>5</v>
          </cell>
          <cell r="BQ41">
            <v>323</v>
          </cell>
          <cell r="BT41">
            <v>38</v>
          </cell>
          <cell r="BU41">
            <v>3308</v>
          </cell>
        </row>
        <row r="42">
          <cell r="BG42" t="str">
            <v>Marriott Hotel</v>
          </cell>
          <cell r="BH42">
            <v>2</v>
          </cell>
          <cell r="BI42">
            <v>433</v>
          </cell>
          <cell r="BJ42">
            <v>8</v>
          </cell>
          <cell r="BK42">
            <v>2258</v>
          </cell>
          <cell r="BL42">
            <v>9</v>
          </cell>
          <cell r="BM42">
            <v>2502</v>
          </cell>
          <cell r="BN42">
            <v>12</v>
          </cell>
          <cell r="BO42">
            <v>4249</v>
          </cell>
          <cell r="BP42">
            <v>10</v>
          </cell>
          <cell r="BQ42">
            <v>3529</v>
          </cell>
          <cell r="BT42">
            <v>41</v>
          </cell>
          <cell r="BU42">
            <v>12971</v>
          </cell>
        </row>
        <row r="43">
          <cell r="BG43" t="str">
            <v>Microtel Inn</v>
          </cell>
          <cell r="BH43">
            <v>37</v>
          </cell>
          <cell r="BI43">
            <v>2636</v>
          </cell>
          <cell r="BJ43">
            <v>59</v>
          </cell>
          <cell r="BK43">
            <v>4186</v>
          </cell>
          <cell r="BL43">
            <v>54</v>
          </cell>
          <cell r="BM43">
            <v>3849</v>
          </cell>
          <cell r="BN43">
            <v>46</v>
          </cell>
          <cell r="BO43">
            <v>3325</v>
          </cell>
          <cell r="BP43">
            <v>41</v>
          </cell>
          <cell r="BQ43">
            <v>2674</v>
          </cell>
          <cell r="BT43">
            <v>237</v>
          </cell>
          <cell r="BU43">
            <v>16670</v>
          </cell>
        </row>
        <row r="44">
          <cell r="BG44" t="str">
            <v>Quality Inn</v>
          </cell>
          <cell r="BH44">
            <v>12</v>
          </cell>
          <cell r="BI44">
            <v>848</v>
          </cell>
          <cell r="BJ44">
            <v>6</v>
          </cell>
          <cell r="BK44">
            <v>391</v>
          </cell>
          <cell r="BL44">
            <v>13</v>
          </cell>
          <cell r="BM44">
            <v>941</v>
          </cell>
          <cell r="BN44">
            <v>9</v>
          </cell>
          <cell r="BO44">
            <v>569</v>
          </cell>
          <cell r="BP44">
            <v>5</v>
          </cell>
          <cell r="BQ44">
            <v>373</v>
          </cell>
          <cell r="BT44">
            <v>45</v>
          </cell>
          <cell r="BU44">
            <v>3122</v>
          </cell>
        </row>
        <row r="45">
          <cell r="BG45" t="str">
            <v>Quality Suites</v>
          </cell>
          <cell r="BH45">
            <v>0</v>
          </cell>
          <cell r="BI45">
            <v>0</v>
          </cell>
          <cell r="BJ45">
            <v>8</v>
          </cell>
          <cell r="BK45">
            <v>641</v>
          </cell>
          <cell r="BL45">
            <v>2</v>
          </cell>
          <cell r="BM45">
            <v>172</v>
          </cell>
          <cell r="BN45">
            <v>3</v>
          </cell>
          <cell r="BO45">
            <v>271</v>
          </cell>
          <cell r="BP45">
            <v>4</v>
          </cell>
          <cell r="BQ45">
            <v>330</v>
          </cell>
          <cell r="BT45">
            <v>17</v>
          </cell>
          <cell r="BU45">
            <v>1414</v>
          </cell>
        </row>
        <row r="46">
          <cell r="BG46" t="str">
            <v>Ramada Inn</v>
          </cell>
          <cell r="BH46">
            <v>9</v>
          </cell>
          <cell r="BI46">
            <v>691</v>
          </cell>
          <cell r="BJ46">
            <v>7</v>
          </cell>
          <cell r="BK46">
            <v>401</v>
          </cell>
          <cell r="BL46">
            <v>2</v>
          </cell>
          <cell r="BM46">
            <v>183</v>
          </cell>
          <cell r="BN46">
            <v>3</v>
          </cell>
          <cell r="BO46">
            <v>165</v>
          </cell>
          <cell r="BP46">
            <v>3</v>
          </cell>
          <cell r="BQ46">
            <v>478</v>
          </cell>
          <cell r="BT46">
            <v>24</v>
          </cell>
          <cell r="BU46">
            <v>1918</v>
          </cell>
        </row>
        <row r="47">
          <cell r="BG47" t="str">
            <v>Ramada Limited</v>
          </cell>
          <cell r="BH47">
            <v>30</v>
          </cell>
          <cell r="BI47">
            <v>1837</v>
          </cell>
          <cell r="BJ47">
            <v>21</v>
          </cell>
          <cell r="BK47">
            <v>1274</v>
          </cell>
          <cell r="BL47">
            <v>16</v>
          </cell>
          <cell r="BM47">
            <v>910</v>
          </cell>
          <cell r="BN47">
            <v>9</v>
          </cell>
          <cell r="BO47">
            <v>499</v>
          </cell>
          <cell r="BP47">
            <v>8</v>
          </cell>
          <cell r="BQ47">
            <v>458</v>
          </cell>
          <cell r="BT47">
            <v>84</v>
          </cell>
          <cell r="BU47">
            <v>4978</v>
          </cell>
        </row>
        <row r="48">
          <cell r="BG48" t="str">
            <v>Renaissance Hotel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1</v>
          </cell>
          <cell r="BM48">
            <v>275</v>
          </cell>
          <cell r="BN48">
            <v>2</v>
          </cell>
          <cell r="BO48">
            <v>474</v>
          </cell>
          <cell r="BP48">
            <v>8</v>
          </cell>
          <cell r="BQ48">
            <v>1988</v>
          </cell>
          <cell r="BT48">
            <v>11</v>
          </cell>
          <cell r="BU48">
            <v>2737</v>
          </cell>
        </row>
        <row r="49">
          <cell r="BG49" t="str">
            <v>Residence Inn</v>
          </cell>
          <cell r="BH49">
            <v>32</v>
          </cell>
          <cell r="BI49">
            <v>3460</v>
          </cell>
          <cell r="BJ49">
            <v>35</v>
          </cell>
          <cell r="BK49">
            <v>4003</v>
          </cell>
          <cell r="BL49">
            <v>34</v>
          </cell>
          <cell r="BM49">
            <v>4137</v>
          </cell>
          <cell r="BN49">
            <v>34</v>
          </cell>
          <cell r="BO49">
            <v>3647</v>
          </cell>
          <cell r="BP49">
            <v>35</v>
          </cell>
          <cell r="BQ49">
            <v>4283</v>
          </cell>
          <cell r="BT49">
            <v>170</v>
          </cell>
          <cell r="BU49">
            <v>19530</v>
          </cell>
        </row>
        <row r="50">
          <cell r="BG50" t="str">
            <v>Ritz-Carlton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3</v>
          </cell>
          <cell r="BO50">
            <v>1083</v>
          </cell>
          <cell r="BP50">
            <v>4</v>
          </cell>
          <cell r="BQ50">
            <v>1213</v>
          </cell>
          <cell r="BT50">
            <v>7</v>
          </cell>
          <cell r="BU50">
            <v>2296</v>
          </cell>
        </row>
        <row r="51">
          <cell r="BG51" t="str">
            <v>Rodeway Inn</v>
          </cell>
          <cell r="BH51">
            <v>7</v>
          </cell>
          <cell r="BI51">
            <v>303</v>
          </cell>
          <cell r="BJ51">
            <v>7</v>
          </cell>
          <cell r="BK51">
            <v>348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T51">
            <v>14</v>
          </cell>
          <cell r="BU51">
            <v>651</v>
          </cell>
        </row>
        <row r="52">
          <cell r="BG52" t="str">
            <v>Sheraton Hotel</v>
          </cell>
          <cell r="BH52">
            <v>1</v>
          </cell>
          <cell r="BI52">
            <v>502</v>
          </cell>
          <cell r="BJ52">
            <v>3</v>
          </cell>
          <cell r="BK52">
            <v>472</v>
          </cell>
          <cell r="BL52">
            <v>1</v>
          </cell>
          <cell r="BM52">
            <v>193</v>
          </cell>
          <cell r="BN52">
            <v>1</v>
          </cell>
          <cell r="BO52">
            <v>286</v>
          </cell>
          <cell r="BP52">
            <v>4</v>
          </cell>
          <cell r="BQ52">
            <v>1195</v>
          </cell>
          <cell r="BT52">
            <v>10</v>
          </cell>
          <cell r="BU52">
            <v>2648</v>
          </cell>
        </row>
        <row r="53">
          <cell r="BG53" t="str">
            <v>Sheraton Inn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T53">
            <v>0</v>
          </cell>
          <cell r="BU53">
            <v>0</v>
          </cell>
        </row>
        <row r="54">
          <cell r="BG54" t="str">
            <v>Sleep Inn</v>
          </cell>
          <cell r="BH54">
            <v>40</v>
          </cell>
          <cell r="BI54">
            <v>3074</v>
          </cell>
          <cell r="BJ54">
            <v>34</v>
          </cell>
          <cell r="BK54">
            <v>2835</v>
          </cell>
          <cell r="BL54">
            <v>33</v>
          </cell>
          <cell r="BM54">
            <v>2575</v>
          </cell>
          <cell r="BN54">
            <v>36</v>
          </cell>
          <cell r="BO54">
            <v>2816</v>
          </cell>
          <cell r="BP54">
            <v>24</v>
          </cell>
          <cell r="BQ54">
            <v>1799</v>
          </cell>
          <cell r="BT54">
            <v>167</v>
          </cell>
          <cell r="BU54">
            <v>13099</v>
          </cell>
        </row>
        <row r="55">
          <cell r="BG55" t="str">
            <v>SpringHill Suites</v>
          </cell>
          <cell r="BH55">
            <v>3</v>
          </cell>
          <cell r="BI55">
            <v>336</v>
          </cell>
          <cell r="BJ55">
            <v>15</v>
          </cell>
          <cell r="BK55">
            <v>1481</v>
          </cell>
          <cell r="BL55">
            <v>15</v>
          </cell>
          <cell r="BM55">
            <v>1631</v>
          </cell>
          <cell r="BN55">
            <v>27</v>
          </cell>
          <cell r="BO55">
            <v>3183</v>
          </cell>
          <cell r="BP55">
            <v>23</v>
          </cell>
          <cell r="BQ55">
            <v>2940</v>
          </cell>
          <cell r="BT55">
            <v>83</v>
          </cell>
          <cell r="BU55">
            <v>9571</v>
          </cell>
        </row>
        <row r="56">
          <cell r="BG56" t="str">
            <v>St. Regis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1</v>
          </cell>
          <cell r="BQ56">
            <v>400</v>
          </cell>
          <cell r="BT56">
            <v>1</v>
          </cell>
          <cell r="BU56">
            <v>400</v>
          </cell>
        </row>
        <row r="57">
          <cell r="BG57" t="str">
            <v>Staybridge Suites</v>
          </cell>
          <cell r="BH57">
            <v>0</v>
          </cell>
          <cell r="BI57">
            <v>0</v>
          </cell>
          <cell r="BJ57">
            <v>1</v>
          </cell>
          <cell r="BK57">
            <v>118</v>
          </cell>
          <cell r="BL57">
            <v>10</v>
          </cell>
          <cell r="BM57">
            <v>1156</v>
          </cell>
          <cell r="BN57">
            <v>12</v>
          </cell>
          <cell r="BO57">
            <v>1439</v>
          </cell>
          <cell r="BP57">
            <v>16</v>
          </cell>
          <cell r="BQ57">
            <v>1748</v>
          </cell>
          <cell r="BT57">
            <v>39</v>
          </cell>
          <cell r="BU57">
            <v>4461</v>
          </cell>
        </row>
        <row r="58">
          <cell r="BG58" t="str">
            <v>StudioPlus Hotel</v>
          </cell>
          <cell r="BH58">
            <v>31</v>
          </cell>
          <cell r="BI58">
            <v>2555</v>
          </cell>
          <cell r="BJ58">
            <v>25</v>
          </cell>
          <cell r="BK58">
            <v>2019</v>
          </cell>
          <cell r="BL58">
            <v>15</v>
          </cell>
          <cell r="BM58">
            <v>1317</v>
          </cell>
          <cell r="BN58">
            <v>1</v>
          </cell>
          <cell r="BO58">
            <v>86</v>
          </cell>
          <cell r="BP58">
            <v>2</v>
          </cell>
          <cell r="BQ58">
            <v>184</v>
          </cell>
          <cell r="BT58">
            <v>74</v>
          </cell>
          <cell r="BU58">
            <v>6161</v>
          </cell>
        </row>
        <row r="59">
          <cell r="BG59" t="str">
            <v>Summerfield Suites by Wyndham</v>
          </cell>
          <cell r="BH59">
            <v>4</v>
          </cell>
          <cell r="BI59">
            <v>556</v>
          </cell>
          <cell r="BJ59">
            <v>4</v>
          </cell>
          <cell r="BK59">
            <v>545</v>
          </cell>
          <cell r="BL59">
            <v>1</v>
          </cell>
          <cell r="BM59">
            <v>157</v>
          </cell>
          <cell r="BN59">
            <v>2</v>
          </cell>
          <cell r="BO59">
            <v>291</v>
          </cell>
          <cell r="BP59">
            <v>0</v>
          </cell>
          <cell r="BQ59">
            <v>0</v>
          </cell>
          <cell r="BT59">
            <v>11</v>
          </cell>
          <cell r="BU59">
            <v>1549</v>
          </cell>
        </row>
        <row r="60">
          <cell r="BG60" t="str">
            <v>Sunspree Resorts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T60">
            <v>0</v>
          </cell>
          <cell r="BU60">
            <v>0</v>
          </cell>
        </row>
        <row r="61">
          <cell r="BG61" t="str">
            <v>Super 8</v>
          </cell>
          <cell r="BH61">
            <v>68</v>
          </cell>
          <cell r="BI61">
            <v>3587</v>
          </cell>
          <cell r="BJ61">
            <v>65</v>
          </cell>
          <cell r="BK61">
            <v>3538</v>
          </cell>
          <cell r="BL61">
            <v>71</v>
          </cell>
          <cell r="BM61">
            <v>3633</v>
          </cell>
          <cell r="BN61">
            <v>49</v>
          </cell>
          <cell r="BO61">
            <v>2485</v>
          </cell>
          <cell r="BP61">
            <v>41</v>
          </cell>
          <cell r="BQ61">
            <v>1981</v>
          </cell>
          <cell r="BT61">
            <v>294</v>
          </cell>
          <cell r="BU61">
            <v>15224</v>
          </cell>
        </row>
        <row r="62">
          <cell r="BG62" t="str">
            <v>ThriftLodge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T62">
            <v>0</v>
          </cell>
          <cell r="BU62">
            <v>0</v>
          </cell>
        </row>
        <row r="63">
          <cell r="BG63" t="str">
            <v>TownePlace Suites</v>
          </cell>
          <cell r="BH63">
            <v>2</v>
          </cell>
          <cell r="BI63">
            <v>184</v>
          </cell>
          <cell r="BJ63">
            <v>15</v>
          </cell>
          <cell r="BK63">
            <v>1514</v>
          </cell>
          <cell r="BL63">
            <v>45</v>
          </cell>
          <cell r="BM63">
            <v>4508</v>
          </cell>
          <cell r="BN63">
            <v>22</v>
          </cell>
          <cell r="BO63">
            <v>2468</v>
          </cell>
          <cell r="BP63">
            <v>12</v>
          </cell>
          <cell r="BQ63">
            <v>1311</v>
          </cell>
          <cell r="BT63">
            <v>96</v>
          </cell>
          <cell r="BU63">
            <v>9985</v>
          </cell>
        </row>
        <row r="64">
          <cell r="BG64" t="str">
            <v>Travelodge</v>
          </cell>
          <cell r="BH64">
            <v>16</v>
          </cell>
          <cell r="BI64">
            <v>853</v>
          </cell>
          <cell r="BJ64">
            <v>5</v>
          </cell>
          <cell r="BK64">
            <v>451</v>
          </cell>
          <cell r="BL64">
            <v>10</v>
          </cell>
          <cell r="BM64">
            <v>606</v>
          </cell>
          <cell r="BN64">
            <v>7</v>
          </cell>
          <cell r="BO64">
            <v>467</v>
          </cell>
          <cell r="BP64">
            <v>5</v>
          </cell>
          <cell r="BQ64">
            <v>348</v>
          </cell>
          <cell r="BT64">
            <v>43</v>
          </cell>
          <cell r="BU64">
            <v>2725</v>
          </cell>
        </row>
        <row r="65">
          <cell r="BG65" t="str">
            <v>Villager Lodge</v>
          </cell>
          <cell r="BH65">
            <v>3</v>
          </cell>
          <cell r="BI65">
            <v>169</v>
          </cell>
          <cell r="BJ65">
            <v>0</v>
          </cell>
          <cell r="BK65">
            <v>0</v>
          </cell>
          <cell r="BL65">
            <v>1</v>
          </cell>
          <cell r="BM65">
            <v>68</v>
          </cell>
          <cell r="BN65">
            <v>3</v>
          </cell>
          <cell r="BO65">
            <v>179</v>
          </cell>
          <cell r="BP65">
            <v>1</v>
          </cell>
          <cell r="BQ65">
            <v>150</v>
          </cell>
          <cell r="BT65">
            <v>8</v>
          </cell>
          <cell r="BU65">
            <v>566</v>
          </cell>
        </row>
        <row r="66">
          <cell r="BG66" t="str">
            <v>W Hotel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3</v>
          </cell>
          <cell r="BM66">
            <v>979</v>
          </cell>
          <cell r="BN66">
            <v>2</v>
          </cell>
          <cell r="BO66">
            <v>444</v>
          </cell>
          <cell r="BP66">
            <v>1</v>
          </cell>
          <cell r="BQ66">
            <v>509</v>
          </cell>
          <cell r="BT66">
            <v>6</v>
          </cell>
          <cell r="BU66">
            <v>1932</v>
          </cell>
        </row>
        <row r="67">
          <cell r="BG67" t="str">
            <v>Wellesley Inn &amp; Suites</v>
          </cell>
          <cell r="BH67">
            <v>4</v>
          </cell>
          <cell r="BI67">
            <v>533</v>
          </cell>
          <cell r="BJ67">
            <v>13</v>
          </cell>
          <cell r="BK67">
            <v>1545</v>
          </cell>
          <cell r="BL67">
            <v>6</v>
          </cell>
          <cell r="BM67">
            <v>714</v>
          </cell>
          <cell r="BN67">
            <v>0</v>
          </cell>
          <cell r="BO67">
            <v>0</v>
          </cell>
          <cell r="BP67">
            <v>1</v>
          </cell>
          <cell r="BQ67">
            <v>65</v>
          </cell>
          <cell r="BT67">
            <v>24</v>
          </cell>
          <cell r="BU67">
            <v>2857</v>
          </cell>
        </row>
        <row r="68">
          <cell r="BG68" t="str">
            <v>Westin Hotel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4</v>
          </cell>
          <cell r="BM68">
            <v>1590</v>
          </cell>
          <cell r="BN68">
            <v>4</v>
          </cell>
          <cell r="BO68">
            <v>1055</v>
          </cell>
          <cell r="BP68">
            <v>3</v>
          </cell>
          <cell r="BQ68">
            <v>793</v>
          </cell>
          <cell r="BT68">
            <v>11</v>
          </cell>
          <cell r="BU68">
            <v>3438</v>
          </cell>
        </row>
        <row r="69">
          <cell r="BG69" t="str">
            <v>Wingate Inn</v>
          </cell>
          <cell r="BH69">
            <v>17</v>
          </cell>
          <cell r="BI69">
            <v>1576</v>
          </cell>
          <cell r="BJ69">
            <v>29</v>
          </cell>
          <cell r="BK69">
            <v>2724</v>
          </cell>
          <cell r="BL69">
            <v>22</v>
          </cell>
          <cell r="BM69">
            <v>2022</v>
          </cell>
          <cell r="BN69">
            <v>22</v>
          </cell>
          <cell r="BO69">
            <v>2052</v>
          </cell>
          <cell r="BP69">
            <v>16</v>
          </cell>
          <cell r="BQ69">
            <v>1480</v>
          </cell>
          <cell r="BT69">
            <v>106</v>
          </cell>
          <cell r="BU69">
            <v>9854</v>
          </cell>
        </row>
        <row r="70">
          <cell r="BG70" t="str">
            <v>Wyndham Garden</v>
          </cell>
          <cell r="BH70">
            <v>1</v>
          </cell>
          <cell r="BI70">
            <v>141</v>
          </cell>
          <cell r="BJ70">
            <v>3</v>
          </cell>
          <cell r="BK70">
            <v>459</v>
          </cell>
          <cell r="BL70">
            <v>2</v>
          </cell>
          <cell r="BM70">
            <v>390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T70">
            <v>6</v>
          </cell>
          <cell r="BU70">
            <v>990</v>
          </cell>
        </row>
        <row r="71">
          <cell r="BG71" t="str">
            <v>Wyndham Historic Hotel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2</v>
          </cell>
          <cell r="BM71">
            <v>780</v>
          </cell>
          <cell r="BN71">
            <v>1</v>
          </cell>
          <cell r="BO71">
            <v>93</v>
          </cell>
          <cell r="BP71">
            <v>0</v>
          </cell>
          <cell r="BQ71">
            <v>0</v>
          </cell>
          <cell r="BT71">
            <v>3</v>
          </cell>
          <cell r="BU71">
            <v>873</v>
          </cell>
        </row>
        <row r="72">
          <cell r="BG72" t="str">
            <v>Wyndham Hotel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2</v>
          </cell>
          <cell r="BQ72">
            <v>576</v>
          </cell>
          <cell r="BT72">
            <v>2</v>
          </cell>
          <cell r="BU72">
            <v>576</v>
          </cell>
        </row>
        <row r="73">
          <cell r="BG73" t="str">
            <v>Wyndham Luxury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T73">
            <v>0</v>
          </cell>
          <cell r="BU73">
            <v>0</v>
          </cell>
        </row>
      </sheetData>
      <sheetData sheetId="4" refreshError="1"/>
      <sheetData sheetId="5" refreshError="1">
        <row r="11">
          <cell r="B11" t="str">
            <v>Anaheim, CA</v>
          </cell>
          <cell r="C11">
            <v>367</v>
          </cell>
          <cell r="D11">
            <v>49672</v>
          </cell>
          <cell r="E11">
            <v>15</v>
          </cell>
          <cell r="F11">
            <v>3448</v>
          </cell>
          <cell r="G11">
            <v>10</v>
          </cell>
          <cell r="H11">
            <v>2139</v>
          </cell>
          <cell r="I11">
            <v>5</v>
          </cell>
          <cell r="J11">
            <v>919</v>
          </cell>
          <cell r="K11">
            <v>15</v>
          </cell>
          <cell r="L11">
            <v>3058</v>
          </cell>
          <cell r="M11">
            <v>5</v>
          </cell>
          <cell r="N11">
            <v>1960</v>
          </cell>
          <cell r="O11">
            <v>20</v>
          </cell>
          <cell r="P11">
            <v>5018</v>
          </cell>
          <cell r="Q11">
            <v>367</v>
          </cell>
          <cell r="R11">
            <v>49672</v>
          </cell>
          <cell r="S11">
            <v>5</v>
          </cell>
          <cell r="T11">
            <v>970</v>
          </cell>
          <cell r="U11">
            <v>2</v>
          </cell>
          <cell r="V11">
            <v>245</v>
          </cell>
          <cell r="W11">
            <v>7</v>
          </cell>
          <cell r="X11">
            <v>1215</v>
          </cell>
          <cell r="Y11">
            <v>3</v>
          </cell>
          <cell r="Z11">
            <v>924</v>
          </cell>
          <cell r="AA11">
            <v>10</v>
          </cell>
          <cell r="AB11">
            <v>2879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10</v>
          </cell>
          <cell r="AL11">
            <v>2879</v>
          </cell>
          <cell r="AM11">
            <v>4</v>
          </cell>
          <cell r="AN11">
            <v>793</v>
          </cell>
          <cell r="AO11">
            <v>0</v>
          </cell>
          <cell r="AP11">
            <v>0</v>
          </cell>
        </row>
        <row r="12">
          <cell r="B12" t="str">
            <v>Atlanta, GA</v>
          </cell>
          <cell r="C12">
            <v>650</v>
          </cell>
          <cell r="D12">
            <v>85888</v>
          </cell>
          <cell r="E12">
            <v>26</v>
          </cell>
          <cell r="F12">
            <v>2543</v>
          </cell>
          <cell r="G12">
            <v>16</v>
          </cell>
          <cell r="H12">
            <v>1368</v>
          </cell>
          <cell r="I12">
            <v>16</v>
          </cell>
          <cell r="J12">
            <v>2559</v>
          </cell>
          <cell r="K12">
            <v>32</v>
          </cell>
          <cell r="L12">
            <v>3927</v>
          </cell>
          <cell r="M12">
            <v>18</v>
          </cell>
          <cell r="N12">
            <v>3236</v>
          </cell>
          <cell r="O12">
            <v>50</v>
          </cell>
          <cell r="P12">
            <v>7163</v>
          </cell>
          <cell r="Q12">
            <v>650</v>
          </cell>
          <cell r="R12">
            <v>85888</v>
          </cell>
          <cell r="S12">
            <v>10</v>
          </cell>
          <cell r="T12">
            <v>805</v>
          </cell>
          <cell r="U12">
            <v>6</v>
          </cell>
          <cell r="V12">
            <v>488</v>
          </cell>
          <cell r="W12">
            <v>16</v>
          </cell>
          <cell r="X12">
            <v>1293</v>
          </cell>
          <cell r="Y12">
            <v>10</v>
          </cell>
          <cell r="Z12">
            <v>1334</v>
          </cell>
          <cell r="AA12">
            <v>23</v>
          </cell>
          <cell r="AB12">
            <v>4111</v>
          </cell>
          <cell r="AC12">
            <v>1</v>
          </cell>
          <cell r="AD12">
            <v>425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24</v>
          </cell>
          <cell r="AL12">
            <v>4536</v>
          </cell>
          <cell r="AM12">
            <v>5</v>
          </cell>
          <cell r="AN12">
            <v>635</v>
          </cell>
          <cell r="AO12">
            <v>1</v>
          </cell>
          <cell r="AP12">
            <v>425</v>
          </cell>
        </row>
        <row r="13">
          <cell r="B13" t="str">
            <v>Boston, MA</v>
          </cell>
          <cell r="C13">
            <v>282</v>
          </cell>
          <cell r="D13">
            <v>44213</v>
          </cell>
          <cell r="E13">
            <v>16</v>
          </cell>
          <cell r="F13">
            <v>2375</v>
          </cell>
          <cell r="G13">
            <v>17</v>
          </cell>
          <cell r="H13">
            <v>2392</v>
          </cell>
          <cell r="I13">
            <v>16</v>
          </cell>
          <cell r="J13">
            <v>3715</v>
          </cell>
          <cell r="K13">
            <v>33</v>
          </cell>
          <cell r="L13">
            <v>6107</v>
          </cell>
          <cell r="M13">
            <v>9</v>
          </cell>
          <cell r="N13">
            <v>1353</v>
          </cell>
          <cell r="O13">
            <v>42</v>
          </cell>
          <cell r="P13">
            <v>7460</v>
          </cell>
          <cell r="Q13">
            <v>282</v>
          </cell>
          <cell r="R13">
            <v>44213</v>
          </cell>
          <cell r="S13">
            <v>3</v>
          </cell>
          <cell r="T13">
            <v>337</v>
          </cell>
          <cell r="U13">
            <v>12</v>
          </cell>
          <cell r="V13">
            <v>1419</v>
          </cell>
          <cell r="W13">
            <v>15</v>
          </cell>
          <cell r="X13">
            <v>1756</v>
          </cell>
          <cell r="Y13">
            <v>7</v>
          </cell>
          <cell r="Z13">
            <v>1159</v>
          </cell>
          <cell r="AA13">
            <v>19</v>
          </cell>
          <cell r="AB13">
            <v>3895</v>
          </cell>
          <cell r="AC13">
            <v>0</v>
          </cell>
          <cell r="AD13">
            <v>0</v>
          </cell>
          <cell r="AE13">
            <v>1</v>
          </cell>
          <cell r="AF13">
            <v>650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20</v>
          </cell>
          <cell r="AL13">
            <v>4545</v>
          </cell>
          <cell r="AM13">
            <v>1</v>
          </cell>
          <cell r="AN13">
            <v>65</v>
          </cell>
          <cell r="AO13">
            <v>1</v>
          </cell>
          <cell r="AP13">
            <v>650</v>
          </cell>
        </row>
        <row r="14">
          <cell r="B14" t="str">
            <v>Chicago, IL</v>
          </cell>
          <cell r="C14">
            <v>487</v>
          </cell>
          <cell r="D14">
            <v>83796</v>
          </cell>
          <cell r="E14">
            <v>17</v>
          </cell>
          <cell r="F14">
            <v>2727</v>
          </cell>
          <cell r="G14">
            <v>15</v>
          </cell>
          <cell r="H14">
            <v>2310</v>
          </cell>
          <cell r="I14">
            <v>15</v>
          </cell>
          <cell r="J14">
            <v>2303</v>
          </cell>
          <cell r="K14">
            <v>30</v>
          </cell>
          <cell r="L14">
            <v>4613</v>
          </cell>
          <cell r="M14">
            <v>12</v>
          </cell>
          <cell r="N14">
            <v>2186</v>
          </cell>
          <cell r="O14">
            <v>42</v>
          </cell>
          <cell r="P14">
            <v>6799</v>
          </cell>
          <cell r="Q14">
            <v>487</v>
          </cell>
          <cell r="R14">
            <v>83796</v>
          </cell>
          <cell r="S14">
            <v>6</v>
          </cell>
          <cell r="T14">
            <v>1000</v>
          </cell>
          <cell r="U14">
            <v>10</v>
          </cell>
          <cell r="V14">
            <v>1365</v>
          </cell>
          <cell r="W14">
            <v>15</v>
          </cell>
          <cell r="X14">
            <v>2215</v>
          </cell>
          <cell r="Y14">
            <v>9</v>
          </cell>
          <cell r="Z14">
            <v>1091</v>
          </cell>
          <cell r="AA14">
            <v>17</v>
          </cell>
          <cell r="AB14">
            <v>3243</v>
          </cell>
          <cell r="AC14">
            <v>1</v>
          </cell>
          <cell r="AD14">
            <v>250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18</v>
          </cell>
          <cell r="AL14">
            <v>3493</v>
          </cell>
          <cell r="AM14">
            <v>2</v>
          </cell>
          <cell r="AN14">
            <v>259</v>
          </cell>
          <cell r="AO14">
            <v>1</v>
          </cell>
          <cell r="AP14">
            <v>250</v>
          </cell>
        </row>
        <row r="15">
          <cell r="B15" t="str">
            <v>Dallas, TX</v>
          </cell>
          <cell r="C15">
            <v>447</v>
          </cell>
          <cell r="D15">
            <v>63653</v>
          </cell>
          <cell r="E15">
            <v>17</v>
          </cell>
          <cell r="F15">
            <v>2154</v>
          </cell>
          <cell r="G15">
            <v>9</v>
          </cell>
          <cell r="H15">
            <v>1470</v>
          </cell>
          <cell r="I15">
            <v>11</v>
          </cell>
          <cell r="J15">
            <v>1209</v>
          </cell>
          <cell r="K15">
            <v>20</v>
          </cell>
          <cell r="L15">
            <v>2679</v>
          </cell>
          <cell r="M15">
            <v>9</v>
          </cell>
          <cell r="N15">
            <v>1886</v>
          </cell>
          <cell r="O15">
            <v>29</v>
          </cell>
          <cell r="P15">
            <v>4565</v>
          </cell>
          <cell r="Q15">
            <v>447</v>
          </cell>
          <cell r="R15">
            <v>63653</v>
          </cell>
          <cell r="S15">
            <v>5</v>
          </cell>
          <cell r="T15">
            <v>611</v>
          </cell>
          <cell r="U15">
            <v>5</v>
          </cell>
          <cell r="V15">
            <v>739</v>
          </cell>
          <cell r="W15">
            <v>9</v>
          </cell>
          <cell r="X15">
            <v>1245</v>
          </cell>
          <cell r="Y15">
            <v>9</v>
          </cell>
          <cell r="Z15">
            <v>834</v>
          </cell>
          <cell r="AA15">
            <v>10</v>
          </cell>
          <cell r="AB15">
            <v>2186</v>
          </cell>
          <cell r="AC15">
            <v>1</v>
          </cell>
          <cell r="AD15">
            <v>300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11</v>
          </cell>
          <cell r="AL15">
            <v>2486</v>
          </cell>
          <cell r="AM15">
            <v>3</v>
          </cell>
          <cell r="AN15">
            <v>282</v>
          </cell>
          <cell r="AO15">
            <v>1</v>
          </cell>
          <cell r="AP15">
            <v>300</v>
          </cell>
        </row>
        <row r="16">
          <cell r="B16" t="str">
            <v>Denver, CO</v>
          </cell>
          <cell r="C16">
            <v>232</v>
          </cell>
          <cell r="D16">
            <v>34922</v>
          </cell>
          <cell r="E16">
            <v>5</v>
          </cell>
          <cell r="F16">
            <v>393</v>
          </cell>
          <cell r="G16">
            <v>5</v>
          </cell>
          <cell r="H16">
            <v>936</v>
          </cell>
          <cell r="I16">
            <v>12</v>
          </cell>
          <cell r="J16">
            <v>2996</v>
          </cell>
          <cell r="K16">
            <v>17</v>
          </cell>
          <cell r="L16">
            <v>3932</v>
          </cell>
          <cell r="M16">
            <v>5</v>
          </cell>
          <cell r="N16">
            <v>505</v>
          </cell>
          <cell r="O16">
            <v>22</v>
          </cell>
          <cell r="P16">
            <v>4437</v>
          </cell>
          <cell r="Q16">
            <v>232</v>
          </cell>
          <cell r="R16">
            <v>34922</v>
          </cell>
          <cell r="S16">
            <v>1</v>
          </cell>
          <cell r="T16">
            <v>88</v>
          </cell>
          <cell r="U16">
            <v>3</v>
          </cell>
          <cell r="V16">
            <v>480</v>
          </cell>
          <cell r="W16">
            <v>3</v>
          </cell>
          <cell r="X16">
            <v>484</v>
          </cell>
          <cell r="Y16">
            <v>10</v>
          </cell>
          <cell r="Z16">
            <v>1343</v>
          </cell>
          <cell r="AA16">
            <v>7</v>
          </cell>
          <cell r="AB16">
            <v>1389</v>
          </cell>
          <cell r="AC16">
            <v>1</v>
          </cell>
          <cell r="AD16">
            <v>121</v>
          </cell>
          <cell r="AE16">
            <v>1</v>
          </cell>
          <cell r="AF16">
            <v>1100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9</v>
          </cell>
          <cell r="AL16">
            <v>2610</v>
          </cell>
          <cell r="AM16">
            <v>1</v>
          </cell>
          <cell r="AN16">
            <v>65</v>
          </cell>
          <cell r="AO16">
            <v>2</v>
          </cell>
          <cell r="AP16">
            <v>1221</v>
          </cell>
        </row>
        <row r="17">
          <cell r="B17" t="str">
            <v>Detroit, MI</v>
          </cell>
          <cell r="C17">
            <v>299</v>
          </cell>
          <cell r="D17">
            <v>36579</v>
          </cell>
          <cell r="E17">
            <v>13</v>
          </cell>
          <cell r="F17">
            <v>1201</v>
          </cell>
          <cell r="G17">
            <v>14</v>
          </cell>
          <cell r="H17">
            <v>1523</v>
          </cell>
          <cell r="I17">
            <v>14</v>
          </cell>
          <cell r="J17">
            <v>1392</v>
          </cell>
          <cell r="K17">
            <v>28</v>
          </cell>
          <cell r="L17">
            <v>2915</v>
          </cell>
          <cell r="M17">
            <v>9</v>
          </cell>
          <cell r="N17">
            <v>952</v>
          </cell>
          <cell r="O17">
            <v>37</v>
          </cell>
          <cell r="P17">
            <v>3867</v>
          </cell>
          <cell r="Q17">
            <v>299</v>
          </cell>
          <cell r="R17">
            <v>36579</v>
          </cell>
          <cell r="S17">
            <v>10</v>
          </cell>
          <cell r="T17">
            <v>839</v>
          </cell>
          <cell r="U17">
            <v>4</v>
          </cell>
          <cell r="V17">
            <v>372</v>
          </cell>
          <cell r="W17">
            <v>13</v>
          </cell>
          <cell r="X17">
            <v>1111</v>
          </cell>
          <cell r="Y17">
            <v>11</v>
          </cell>
          <cell r="Z17">
            <v>1288</v>
          </cell>
          <cell r="AA17">
            <v>13</v>
          </cell>
          <cell r="AB17">
            <v>1468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13</v>
          </cell>
          <cell r="AL17">
            <v>1468</v>
          </cell>
          <cell r="AM17">
            <v>3</v>
          </cell>
          <cell r="AN17">
            <v>329</v>
          </cell>
          <cell r="AO17">
            <v>0</v>
          </cell>
          <cell r="AP17">
            <v>0</v>
          </cell>
        </row>
        <row r="18">
          <cell r="B18" t="str">
            <v>Houston, TX</v>
          </cell>
          <cell r="C18">
            <v>396</v>
          </cell>
          <cell r="D18">
            <v>51316</v>
          </cell>
          <cell r="E18">
            <v>26</v>
          </cell>
          <cell r="F18">
            <v>1992</v>
          </cell>
          <cell r="G18">
            <v>19</v>
          </cell>
          <cell r="H18">
            <v>3505</v>
          </cell>
          <cell r="I18">
            <v>14</v>
          </cell>
          <cell r="J18">
            <v>1245</v>
          </cell>
          <cell r="K18">
            <v>33</v>
          </cell>
          <cell r="L18">
            <v>4750</v>
          </cell>
          <cell r="M18">
            <v>11</v>
          </cell>
          <cell r="N18">
            <v>1214</v>
          </cell>
          <cell r="O18">
            <v>44</v>
          </cell>
          <cell r="P18">
            <v>5964</v>
          </cell>
          <cell r="Q18">
            <v>396</v>
          </cell>
          <cell r="R18">
            <v>51316</v>
          </cell>
          <cell r="S18">
            <v>10</v>
          </cell>
          <cell r="T18">
            <v>898</v>
          </cell>
          <cell r="U18">
            <v>8</v>
          </cell>
          <cell r="V18">
            <v>903</v>
          </cell>
          <cell r="W18">
            <v>17</v>
          </cell>
          <cell r="X18">
            <v>1705</v>
          </cell>
          <cell r="Y18">
            <v>14</v>
          </cell>
          <cell r="Z18">
            <v>1545</v>
          </cell>
          <cell r="AA18">
            <v>12</v>
          </cell>
          <cell r="AB18">
            <v>2554</v>
          </cell>
          <cell r="AC18">
            <v>1</v>
          </cell>
          <cell r="AD18">
            <v>160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13</v>
          </cell>
          <cell r="AL18">
            <v>2714</v>
          </cell>
          <cell r="AM18">
            <v>2</v>
          </cell>
          <cell r="AN18">
            <v>117</v>
          </cell>
          <cell r="AO18">
            <v>1</v>
          </cell>
          <cell r="AP18">
            <v>160</v>
          </cell>
        </row>
        <row r="19">
          <cell r="B19" t="str">
            <v>Las Vegas, NV</v>
          </cell>
          <cell r="C19">
            <v>310</v>
          </cell>
          <cell r="D19">
            <v>129043</v>
          </cell>
          <cell r="E19">
            <v>6</v>
          </cell>
          <cell r="F19">
            <v>1962</v>
          </cell>
          <cell r="G19">
            <v>2</v>
          </cell>
          <cell r="H19">
            <v>1369</v>
          </cell>
          <cell r="I19">
            <v>7</v>
          </cell>
          <cell r="J19">
            <v>3316</v>
          </cell>
          <cell r="K19">
            <v>9</v>
          </cell>
          <cell r="L19">
            <v>4685</v>
          </cell>
          <cell r="M19">
            <v>6</v>
          </cell>
          <cell r="N19">
            <v>910</v>
          </cell>
          <cell r="O19">
            <v>15</v>
          </cell>
          <cell r="P19">
            <v>5595</v>
          </cell>
          <cell r="Q19">
            <v>310</v>
          </cell>
          <cell r="R19">
            <v>129043</v>
          </cell>
          <cell r="S19">
            <v>1</v>
          </cell>
          <cell r="T19">
            <v>1019</v>
          </cell>
          <cell r="U19">
            <v>2</v>
          </cell>
          <cell r="V19">
            <v>500</v>
          </cell>
          <cell r="W19">
            <v>3</v>
          </cell>
          <cell r="X19">
            <v>1519</v>
          </cell>
          <cell r="Y19">
            <v>4</v>
          </cell>
          <cell r="Z19">
            <v>551</v>
          </cell>
          <cell r="AA19">
            <v>7</v>
          </cell>
          <cell r="AB19">
            <v>3325</v>
          </cell>
          <cell r="AC19">
            <v>1</v>
          </cell>
          <cell r="AD19">
            <v>200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8</v>
          </cell>
          <cell r="AL19">
            <v>3525</v>
          </cell>
          <cell r="AM19">
            <v>3</v>
          </cell>
          <cell r="AN19">
            <v>759</v>
          </cell>
          <cell r="AO19">
            <v>1</v>
          </cell>
          <cell r="AP19">
            <v>200</v>
          </cell>
        </row>
        <row r="20">
          <cell r="B20" t="str">
            <v>Los Angeles, CA</v>
          </cell>
          <cell r="C20">
            <v>705</v>
          </cell>
          <cell r="D20">
            <v>84566</v>
          </cell>
          <cell r="E20">
            <v>10</v>
          </cell>
          <cell r="F20">
            <v>1244</v>
          </cell>
          <cell r="G20">
            <v>7</v>
          </cell>
          <cell r="H20">
            <v>897</v>
          </cell>
          <cell r="I20">
            <v>14</v>
          </cell>
          <cell r="J20">
            <v>2279</v>
          </cell>
          <cell r="K20">
            <v>21</v>
          </cell>
          <cell r="L20">
            <v>3176</v>
          </cell>
          <cell r="M20">
            <v>4</v>
          </cell>
          <cell r="N20">
            <v>1141</v>
          </cell>
          <cell r="O20">
            <v>25</v>
          </cell>
          <cell r="P20">
            <v>4317</v>
          </cell>
          <cell r="Q20">
            <v>705</v>
          </cell>
          <cell r="R20">
            <v>84566</v>
          </cell>
          <cell r="S20">
            <v>5</v>
          </cell>
          <cell r="T20">
            <v>637</v>
          </cell>
          <cell r="U20">
            <v>5</v>
          </cell>
          <cell r="V20">
            <v>536</v>
          </cell>
          <cell r="W20">
            <v>8</v>
          </cell>
          <cell r="X20">
            <v>1018</v>
          </cell>
          <cell r="Y20">
            <v>7</v>
          </cell>
          <cell r="Z20">
            <v>764</v>
          </cell>
          <cell r="AA20">
            <v>9</v>
          </cell>
          <cell r="AB20">
            <v>2085</v>
          </cell>
          <cell r="AC20">
            <v>1</v>
          </cell>
          <cell r="AD20">
            <v>450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10</v>
          </cell>
          <cell r="AL20">
            <v>2535</v>
          </cell>
          <cell r="AM20">
            <v>3</v>
          </cell>
          <cell r="AN20">
            <v>481</v>
          </cell>
          <cell r="AO20">
            <v>1</v>
          </cell>
          <cell r="AP20">
            <v>450</v>
          </cell>
        </row>
        <row r="21">
          <cell r="B21" t="str">
            <v>Miami, FL</v>
          </cell>
          <cell r="C21">
            <v>287</v>
          </cell>
          <cell r="D21">
            <v>44487</v>
          </cell>
          <cell r="E21">
            <v>7</v>
          </cell>
          <cell r="F21">
            <v>1461</v>
          </cell>
          <cell r="G21">
            <v>14</v>
          </cell>
          <cell r="H21">
            <v>2432</v>
          </cell>
          <cell r="I21">
            <v>13</v>
          </cell>
          <cell r="J21">
            <v>1555</v>
          </cell>
          <cell r="K21">
            <v>27</v>
          </cell>
          <cell r="L21">
            <v>3987</v>
          </cell>
          <cell r="M21">
            <v>4</v>
          </cell>
          <cell r="N21">
            <v>533</v>
          </cell>
          <cell r="O21">
            <v>31</v>
          </cell>
          <cell r="P21">
            <v>4520</v>
          </cell>
          <cell r="Q21">
            <v>287</v>
          </cell>
          <cell r="R21">
            <v>44487</v>
          </cell>
          <cell r="S21">
            <v>6</v>
          </cell>
          <cell r="T21">
            <v>1096</v>
          </cell>
          <cell r="U21">
            <v>7</v>
          </cell>
          <cell r="V21">
            <v>1180</v>
          </cell>
          <cell r="W21">
            <v>12</v>
          </cell>
          <cell r="X21">
            <v>2158</v>
          </cell>
          <cell r="Y21">
            <v>9</v>
          </cell>
          <cell r="Z21">
            <v>1021</v>
          </cell>
          <cell r="AA21">
            <v>10</v>
          </cell>
          <cell r="AB21">
            <v>1341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10</v>
          </cell>
          <cell r="AL21">
            <v>1341</v>
          </cell>
          <cell r="AM21">
            <v>1</v>
          </cell>
          <cell r="AN21">
            <v>96</v>
          </cell>
          <cell r="AO21">
            <v>0</v>
          </cell>
          <cell r="AP21">
            <v>0</v>
          </cell>
        </row>
        <row r="22">
          <cell r="B22" t="str">
            <v>Minneapolis, MN</v>
          </cell>
          <cell r="C22">
            <v>253</v>
          </cell>
          <cell r="D22">
            <v>32550</v>
          </cell>
          <cell r="E22">
            <v>9</v>
          </cell>
          <cell r="F22">
            <v>1052</v>
          </cell>
          <cell r="G22">
            <v>8</v>
          </cell>
          <cell r="H22">
            <v>956</v>
          </cell>
          <cell r="I22">
            <v>6</v>
          </cell>
          <cell r="J22">
            <v>922</v>
          </cell>
          <cell r="K22">
            <v>14</v>
          </cell>
          <cell r="L22">
            <v>1878</v>
          </cell>
          <cell r="M22">
            <v>6</v>
          </cell>
          <cell r="N22">
            <v>525</v>
          </cell>
          <cell r="O22">
            <v>20</v>
          </cell>
          <cell r="P22">
            <v>2403</v>
          </cell>
          <cell r="Q22">
            <v>253</v>
          </cell>
          <cell r="R22">
            <v>32550</v>
          </cell>
          <cell r="S22">
            <v>4</v>
          </cell>
          <cell r="T22">
            <v>421</v>
          </cell>
          <cell r="U22">
            <v>4</v>
          </cell>
          <cell r="V22">
            <v>535</v>
          </cell>
          <cell r="W22">
            <v>8</v>
          </cell>
          <cell r="X22">
            <v>956</v>
          </cell>
          <cell r="Y22">
            <v>4</v>
          </cell>
          <cell r="Z22">
            <v>397</v>
          </cell>
          <cell r="AA22">
            <v>8</v>
          </cell>
          <cell r="AB22">
            <v>1050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8</v>
          </cell>
          <cell r="AL22">
            <v>1050</v>
          </cell>
          <cell r="AM22">
            <v>1</v>
          </cell>
          <cell r="AN22">
            <v>120</v>
          </cell>
          <cell r="AO22">
            <v>0</v>
          </cell>
          <cell r="AP22">
            <v>0</v>
          </cell>
        </row>
        <row r="23">
          <cell r="B23" t="str">
            <v>Nashville, TN</v>
          </cell>
          <cell r="C23">
            <v>270</v>
          </cell>
          <cell r="D23">
            <v>32963</v>
          </cell>
          <cell r="E23">
            <v>10</v>
          </cell>
          <cell r="F23">
            <v>1394</v>
          </cell>
          <cell r="G23">
            <v>2</v>
          </cell>
          <cell r="H23">
            <v>169</v>
          </cell>
          <cell r="I23">
            <v>2</v>
          </cell>
          <cell r="J23">
            <v>165</v>
          </cell>
          <cell r="K23">
            <v>4</v>
          </cell>
          <cell r="L23">
            <v>334</v>
          </cell>
          <cell r="M23">
            <v>2</v>
          </cell>
          <cell r="N23">
            <v>159</v>
          </cell>
          <cell r="O23">
            <v>6</v>
          </cell>
          <cell r="P23">
            <v>493</v>
          </cell>
          <cell r="Q23">
            <v>270</v>
          </cell>
          <cell r="R23">
            <v>32963</v>
          </cell>
          <cell r="S23">
            <v>0</v>
          </cell>
          <cell r="T23">
            <v>0</v>
          </cell>
          <cell r="U23">
            <v>4</v>
          </cell>
          <cell r="V23">
            <v>334</v>
          </cell>
          <cell r="W23">
            <v>3</v>
          </cell>
          <cell r="X23">
            <v>275</v>
          </cell>
          <cell r="Y23">
            <v>1</v>
          </cell>
          <cell r="Z23">
            <v>59</v>
          </cell>
          <cell r="AA23">
            <v>2</v>
          </cell>
          <cell r="AB23">
            <v>159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2</v>
          </cell>
          <cell r="AL23">
            <v>159</v>
          </cell>
          <cell r="AM23">
            <v>4</v>
          </cell>
          <cell r="AN23">
            <v>592</v>
          </cell>
          <cell r="AO23">
            <v>0</v>
          </cell>
          <cell r="AP23">
            <v>0</v>
          </cell>
        </row>
        <row r="24">
          <cell r="B24" t="str">
            <v>New Orleans, LA</v>
          </cell>
          <cell r="C24">
            <v>195</v>
          </cell>
          <cell r="D24">
            <v>34209</v>
          </cell>
          <cell r="E24">
            <v>17</v>
          </cell>
          <cell r="F24">
            <v>2110</v>
          </cell>
          <cell r="G24">
            <v>10</v>
          </cell>
          <cell r="H24">
            <v>1796</v>
          </cell>
          <cell r="I24">
            <v>9</v>
          </cell>
          <cell r="J24">
            <v>2045</v>
          </cell>
          <cell r="K24">
            <v>19</v>
          </cell>
          <cell r="L24">
            <v>3841</v>
          </cell>
          <cell r="M24">
            <v>10</v>
          </cell>
          <cell r="N24">
            <v>1655</v>
          </cell>
          <cell r="O24">
            <v>29</v>
          </cell>
          <cell r="P24">
            <v>5496</v>
          </cell>
          <cell r="Q24">
            <v>195</v>
          </cell>
          <cell r="R24">
            <v>34209</v>
          </cell>
          <cell r="S24">
            <v>7</v>
          </cell>
          <cell r="T24">
            <v>957</v>
          </cell>
          <cell r="U24">
            <v>5</v>
          </cell>
          <cell r="V24">
            <v>999</v>
          </cell>
          <cell r="W24">
            <v>10</v>
          </cell>
          <cell r="X24">
            <v>1796</v>
          </cell>
          <cell r="Y24">
            <v>4</v>
          </cell>
          <cell r="Z24">
            <v>407</v>
          </cell>
          <cell r="AA24">
            <v>15</v>
          </cell>
          <cell r="AB24">
            <v>3293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15</v>
          </cell>
          <cell r="AL24">
            <v>3293</v>
          </cell>
          <cell r="AM24">
            <v>4</v>
          </cell>
          <cell r="AN24">
            <v>561</v>
          </cell>
          <cell r="AO24">
            <v>0</v>
          </cell>
          <cell r="AP24">
            <v>0</v>
          </cell>
        </row>
        <row r="25">
          <cell r="B25" t="str">
            <v>New York, NY</v>
          </cell>
          <cell r="C25">
            <v>286</v>
          </cell>
          <cell r="D25">
            <v>73363</v>
          </cell>
          <cell r="E25">
            <v>15</v>
          </cell>
          <cell r="F25">
            <v>2212</v>
          </cell>
          <cell r="G25">
            <v>7</v>
          </cell>
          <cell r="H25">
            <v>1770</v>
          </cell>
          <cell r="I25">
            <v>9</v>
          </cell>
          <cell r="J25">
            <v>1352</v>
          </cell>
          <cell r="K25">
            <v>16</v>
          </cell>
          <cell r="L25">
            <v>3122</v>
          </cell>
          <cell r="M25">
            <v>10</v>
          </cell>
          <cell r="N25">
            <v>1623</v>
          </cell>
          <cell r="O25">
            <v>26</v>
          </cell>
          <cell r="P25">
            <v>4745</v>
          </cell>
          <cell r="Q25">
            <v>286</v>
          </cell>
          <cell r="R25">
            <v>73363</v>
          </cell>
          <cell r="S25">
            <v>4</v>
          </cell>
          <cell r="T25">
            <v>598</v>
          </cell>
          <cell r="U25">
            <v>1</v>
          </cell>
          <cell r="V25">
            <v>59</v>
          </cell>
          <cell r="W25">
            <v>5</v>
          </cell>
          <cell r="X25">
            <v>657</v>
          </cell>
          <cell r="Y25">
            <v>9</v>
          </cell>
          <cell r="Z25">
            <v>1945</v>
          </cell>
          <cell r="AA25">
            <v>11</v>
          </cell>
          <cell r="AB25">
            <v>1863</v>
          </cell>
          <cell r="AC25">
            <v>1</v>
          </cell>
          <cell r="AD25">
            <v>280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12</v>
          </cell>
          <cell r="AL25">
            <v>2143</v>
          </cell>
          <cell r="AM25">
            <v>4</v>
          </cell>
          <cell r="AN25">
            <v>881</v>
          </cell>
          <cell r="AO25">
            <v>1</v>
          </cell>
          <cell r="AP25">
            <v>280</v>
          </cell>
        </row>
        <row r="26">
          <cell r="B26" t="str">
            <v>Norfolk, VA</v>
          </cell>
          <cell r="C26">
            <v>328</v>
          </cell>
          <cell r="D26">
            <v>34886</v>
          </cell>
          <cell r="E26">
            <v>6</v>
          </cell>
          <cell r="F26">
            <v>1043</v>
          </cell>
          <cell r="G26">
            <v>4</v>
          </cell>
          <cell r="H26">
            <v>514</v>
          </cell>
          <cell r="I26">
            <v>9</v>
          </cell>
          <cell r="J26">
            <v>897</v>
          </cell>
          <cell r="K26">
            <v>13</v>
          </cell>
          <cell r="L26">
            <v>1411</v>
          </cell>
          <cell r="M26">
            <v>6</v>
          </cell>
          <cell r="N26">
            <v>960</v>
          </cell>
          <cell r="O26">
            <v>19</v>
          </cell>
          <cell r="P26">
            <v>2371</v>
          </cell>
          <cell r="Q26">
            <v>328</v>
          </cell>
          <cell r="R26">
            <v>34886</v>
          </cell>
          <cell r="S26">
            <v>2</v>
          </cell>
          <cell r="T26">
            <v>268</v>
          </cell>
          <cell r="U26">
            <v>5</v>
          </cell>
          <cell r="V26">
            <v>486</v>
          </cell>
          <cell r="W26">
            <v>5</v>
          </cell>
          <cell r="X26">
            <v>594</v>
          </cell>
          <cell r="Y26">
            <v>7</v>
          </cell>
          <cell r="Z26">
            <v>699</v>
          </cell>
          <cell r="AA26">
            <v>6</v>
          </cell>
          <cell r="AB26">
            <v>778</v>
          </cell>
          <cell r="AC26">
            <v>1</v>
          </cell>
          <cell r="AD26">
            <v>300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7</v>
          </cell>
          <cell r="AL26">
            <v>1078</v>
          </cell>
          <cell r="AM26">
            <v>0</v>
          </cell>
          <cell r="AN26">
            <v>0</v>
          </cell>
          <cell r="AO26">
            <v>1</v>
          </cell>
          <cell r="AP26">
            <v>300</v>
          </cell>
        </row>
        <row r="27">
          <cell r="B27" t="str">
            <v>Oahu Island, HI</v>
          </cell>
          <cell r="C27">
            <v>107</v>
          </cell>
          <cell r="D27">
            <v>36506</v>
          </cell>
          <cell r="E27">
            <v>1</v>
          </cell>
          <cell r="F27">
            <v>453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299</v>
          </cell>
          <cell r="O27">
            <v>1</v>
          </cell>
          <cell r="P27">
            <v>299</v>
          </cell>
          <cell r="Q27">
            <v>107</v>
          </cell>
          <cell r="R27">
            <v>36506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1</v>
          </cell>
          <cell r="AB27">
            <v>299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1</v>
          </cell>
          <cell r="AL27">
            <v>299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</row>
        <row r="28">
          <cell r="B28" t="str">
            <v>Orlando, FL</v>
          </cell>
          <cell r="C28">
            <v>429</v>
          </cell>
          <cell r="D28">
            <v>117462</v>
          </cell>
          <cell r="E28">
            <v>13</v>
          </cell>
          <cell r="F28">
            <v>3644</v>
          </cell>
          <cell r="G28">
            <v>14</v>
          </cell>
          <cell r="H28">
            <v>8601</v>
          </cell>
          <cell r="I28">
            <v>18</v>
          </cell>
          <cell r="J28">
            <v>7461</v>
          </cell>
          <cell r="K28">
            <v>32</v>
          </cell>
          <cell r="L28">
            <v>16062</v>
          </cell>
          <cell r="M28">
            <v>16</v>
          </cell>
          <cell r="N28">
            <v>5791</v>
          </cell>
          <cell r="O28">
            <v>48</v>
          </cell>
          <cell r="P28">
            <v>21853</v>
          </cell>
          <cell r="Q28">
            <v>429</v>
          </cell>
          <cell r="R28">
            <v>117462</v>
          </cell>
          <cell r="S28">
            <v>6</v>
          </cell>
          <cell r="T28">
            <v>2702</v>
          </cell>
          <cell r="U28">
            <v>5</v>
          </cell>
          <cell r="V28">
            <v>3339</v>
          </cell>
          <cell r="W28">
            <v>9</v>
          </cell>
          <cell r="X28">
            <v>3012</v>
          </cell>
          <cell r="Y28">
            <v>10</v>
          </cell>
          <cell r="Z28">
            <v>2704</v>
          </cell>
          <cell r="AA28">
            <v>23</v>
          </cell>
          <cell r="AB28">
            <v>10567</v>
          </cell>
          <cell r="AC28">
            <v>6</v>
          </cell>
          <cell r="AD28">
            <v>5570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29</v>
          </cell>
          <cell r="AL28">
            <v>16137</v>
          </cell>
          <cell r="AM28">
            <v>1</v>
          </cell>
          <cell r="AN28">
            <v>101</v>
          </cell>
          <cell r="AO28">
            <v>6</v>
          </cell>
          <cell r="AP28">
            <v>5570</v>
          </cell>
        </row>
        <row r="29">
          <cell r="B29" t="str">
            <v>Philadelphia, PA</v>
          </cell>
          <cell r="C29">
            <v>271</v>
          </cell>
          <cell r="D29">
            <v>39526</v>
          </cell>
          <cell r="E29">
            <v>9</v>
          </cell>
          <cell r="F29">
            <v>1102</v>
          </cell>
          <cell r="G29">
            <v>8</v>
          </cell>
          <cell r="H29">
            <v>1023</v>
          </cell>
          <cell r="I29">
            <v>10</v>
          </cell>
          <cell r="J29">
            <v>1210</v>
          </cell>
          <cell r="K29">
            <v>18</v>
          </cell>
          <cell r="L29">
            <v>2233</v>
          </cell>
          <cell r="M29">
            <v>5</v>
          </cell>
          <cell r="N29">
            <v>674</v>
          </cell>
          <cell r="O29">
            <v>23</v>
          </cell>
          <cell r="P29">
            <v>2907</v>
          </cell>
          <cell r="Q29">
            <v>271</v>
          </cell>
          <cell r="R29">
            <v>39526</v>
          </cell>
          <cell r="S29">
            <v>4</v>
          </cell>
          <cell r="T29">
            <v>563</v>
          </cell>
          <cell r="U29">
            <v>4</v>
          </cell>
          <cell r="V29">
            <v>460</v>
          </cell>
          <cell r="W29">
            <v>8</v>
          </cell>
          <cell r="X29">
            <v>1023</v>
          </cell>
          <cell r="Y29">
            <v>7</v>
          </cell>
          <cell r="Z29">
            <v>695</v>
          </cell>
          <cell r="AA29">
            <v>8</v>
          </cell>
          <cell r="AB29">
            <v>1189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8</v>
          </cell>
          <cell r="AL29">
            <v>1189</v>
          </cell>
          <cell r="AM29">
            <v>3</v>
          </cell>
          <cell r="AN29">
            <v>320</v>
          </cell>
          <cell r="AO29">
            <v>0</v>
          </cell>
          <cell r="AP29">
            <v>0</v>
          </cell>
        </row>
        <row r="30">
          <cell r="B30" t="str">
            <v>Phoenix, AZ</v>
          </cell>
          <cell r="C30">
            <v>345</v>
          </cell>
          <cell r="D30">
            <v>50943</v>
          </cell>
          <cell r="E30">
            <v>5</v>
          </cell>
          <cell r="F30">
            <v>498</v>
          </cell>
          <cell r="G30">
            <v>4</v>
          </cell>
          <cell r="H30">
            <v>2300</v>
          </cell>
          <cell r="I30">
            <v>8</v>
          </cell>
          <cell r="J30">
            <v>1797</v>
          </cell>
          <cell r="K30">
            <v>12</v>
          </cell>
          <cell r="L30">
            <v>4097</v>
          </cell>
          <cell r="M30">
            <v>9</v>
          </cell>
          <cell r="N30">
            <v>1434</v>
          </cell>
          <cell r="O30">
            <v>21</v>
          </cell>
          <cell r="P30">
            <v>5531</v>
          </cell>
          <cell r="Q30">
            <v>345</v>
          </cell>
          <cell r="R30">
            <v>50943</v>
          </cell>
          <cell r="S30">
            <v>1</v>
          </cell>
          <cell r="T30">
            <v>100</v>
          </cell>
          <cell r="U30">
            <v>1</v>
          </cell>
          <cell r="V30">
            <v>500</v>
          </cell>
          <cell r="W30">
            <v>2</v>
          </cell>
          <cell r="X30">
            <v>600</v>
          </cell>
          <cell r="Y30">
            <v>5</v>
          </cell>
          <cell r="Z30">
            <v>2040</v>
          </cell>
          <cell r="AA30">
            <v>12</v>
          </cell>
          <cell r="AB30">
            <v>2038</v>
          </cell>
          <cell r="AC30">
            <v>2</v>
          </cell>
          <cell r="AD30">
            <v>853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14</v>
          </cell>
          <cell r="AL30">
            <v>2891</v>
          </cell>
          <cell r="AM30">
            <v>1</v>
          </cell>
          <cell r="AN30">
            <v>76</v>
          </cell>
          <cell r="AO30">
            <v>2</v>
          </cell>
          <cell r="AP30">
            <v>853</v>
          </cell>
        </row>
        <row r="31">
          <cell r="B31" t="str">
            <v>Saint Louis, MO</v>
          </cell>
          <cell r="C31">
            <v>238</v>
          </cell>
          <cell r="D31">
            <v>31742</v>
          </cell>
          <cell r="E31">
            <v>7</v>
          </cell>
          <cell r="F31">
            <v>897</v>
          </cell>
          <cell r="G31">
            <v>6</v>
          </cell>
          <cell r="H31">
            <v>1489</v>
          </cell>
          <cell r="I31">
            <v>10</v>
          </cell>
          <cell r="J31">
            <v>1274</v>
          </cell>
          <cell r="K31">
            <v>16</v>
          </cell>
          <cell r="L31">
            <v>2763</v>
          </cell>
          <cell r="M31">
            <v>5</v>
          </cell>
          <cell r="N31">
            <v>963</v>
          </cell>
          <cell r="O31">
            <v>21</v>
          </cell>
          <cell r="P31">
            <v>3726</v>
          </cell>
          <cell r="Q31">
            <v>238</v>
          </cell>
          <cell r="R31">
            <v>31742</v>
          </cell>
          <cell r="S31">
            <v>2</v>
          </cell>
          <cell r="T31">
            <v>267</v>
          </cell>
          <cell r="U31">
            <v>4</v>
          </cell>
          <cell r="V31">
            <v>425</v>
          </cell>
          <cell r="W31">
            <v>5</v>
          </cell>
          <cell r="X31">
            <v>572</v>
          </cell>
          <cell r="Y31">
            <v>7</v>
          </cell>
          <cell r="Z31">
            <v>1496</v>
          </cell>
          <cell r="AA31">
            <v>8</v>
          </cell>
          <cell r="AB31">
            <v>1119</v>
          </cell>
          <cell r="AC31">
            <v>1</v>
          </cell>
          <cell r="AD31">
            <v>539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9</v>
          </cell>
          <cell r="AL31">
            <v>1658</v>
          </cell>
          <cell r="AM31">
            <v>1</v>
          </cell>
          <cell r="AN31">
            <v>61</v>
          </cell>
          <cell r="AO31">
            <v>1</v>
          </cell>
          <cell r="AP31">
            <v>539</v>
          </cell>
        </row>
        <row r="32">
          <cell r="B32" t="str">
            <v>San Diego, CA</v>
          </cell>
          <cell r="C32">
            <v>420</v>
          </cell>
          <cell r="D32">
            <v>51051</v>
          </cell>
          <cell r="E32">
            <v>4</v>
          </cell>
          <cell r="F32">
            <v>427</v>
          </cell>
          <cell r="G32">
            <v>11</v>
          </cell>
          <cell r="H32">
            <v>2712</v>
          </cell>
          <cell r="I32">
            <v>12</v>
          </cell>
          <cell r="J32">
            <v>2009</v>
          </cell>
          <cell r="K32">
            <v>23</v>
          </cell>
          <cell r="L32">
            <v>4721</v>
          </cell>
          <cell r="M32">
            <v>9</v>
          </cell>
          <cell r="N32">
            <v>2206</v>
          </cell>
          <cell r="O32">
            <v>32</v>
          </cell>
          <cell r="P32">
            <v>6927</v>
          </cell>
          <cell r="Q32">
            <v>420</v>
          </cell>
          <cell r="R32">
            <v>51051</v>
          </cell>
          <cell r="S32">
            <v>6</v>
          </cell>
          <cell r="T32">
            <v>1076</v>
          </cell>
          <cell r="U32">
            <v>4</v>
          </cell>
          <cell r="V32">
            <v>886</v>
          </cell>
          <cell r="W32">
            <v>10</v>
          </cell>
          <cell r="X32">
            <v>1962</v>
          </cell>
          <cell r="Y32">
            <v>9</v>
          </cell>
          <cell r="Z32">
            <v>1785</v>
          </cell>
          <cell r="AA32">
            <v>13</v>
          </cell>
          <cell r="AB32">
            <v>3180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13</v>
          </cell>
          <cell r="AL32">
            <v>3180</v>
          </cell>
          <cell r="AM32">
            <v>1</v>
          </cell>
          <cell r="AN32">
            <v>150</v>
          </cell>
          <cell r="AO32">
            <v>0</v>
          </cell>
          <cell r="AP32">
            <v>0</v>
          </cell>
        </row>
        <row r="33">
          <cell r="B33" t="str">
            <v>San Francisco, CA</v>
          </cell>
          <cell r="C33">
            <v>354</v>
          </cell>
          <cell r="D33">
            <v>49934</v>
          </cell>
          <cell r="E33">
            <v>10</v>
          </cell>
          <cell r="F33">
            <v>1770</v>
          </cell>
          <cell r="G33">
            <v>10</v>
          </cell>
          <cell r="H33">
            <v>1396</v>
          </cell>
          <cell r="I33">
            <v>9</v>
          </cell>
          <cell r="J33">
            <v>2009</v>
          </cell>
          <cell r="K33">
            <v>19</v>
          </cell>
          <cell r="L33">
            <v>3405</v>
          </cell>
          <cell r="M33">
            <v>6</v>
          </cell>
          <cell r="N33">
            <v>1120</v>
          </cell>
          <cell r="O33">
            <v>25</v>
          </cell>
          <cell r="P33">
            <v>4525</v>
          </cell>
          <cell r="Q33">
            <v>354</v>
          </cell>
          <cell r="R33">
            <v>49934</v>
          </cell>
          <cell r="S33">
            <v>7</v>
          </cell>
          <cell r="T33">
            <v>699</v>
          </cell>
          <cell r="U33">
            <v>2</v>
          </cell>
          <cell r="V33">
            <v>346</v>
          </cell>
          <cell r="W33">
            <v>8</v>
          </cell>
          <cell r="X33">
            <v>950</v>
          </cell>
          <cell r="Y33">
            <v>6</v>
          </cell>
          <cell r="Z33">
            <v>895</v>
          </cell>
          <cell r="AA33">
            <v>11</v>
          </cell>
          <cell r="AB33">
            <v>2680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11</v>
          </cell>
          <cell r="AL33">
            <v>2680</v>
          </cell>
          <cell r="AM33">
            <v>5</v>
          </cell>
          <cell r="AN33">
            <v>944</v>
          </cell>
          <cell r="AO33">
            <v>0</v>
          </cell>
          <cell r="AP33">
            <v>0</v>
          </cell>
        </row>
        <row r="34">
          <cell r="B34" t="str">
            <v>Seattle, WA</v>
          </cell>
          <cell r="C34">
            <v>289</v>
          </cell>
          <cell r="D34">
            <v>34822</v>
          </cell>
          <cell r="E34">
            <v>7</v>
          </cell>
          <cell r="F34">
            <v>1483</v>
          </cell>
          <cell r="G34">
            <v>9</v>
          </cell>
          <cell r="H34">
            <v>1464</v>
          </cell>
          <cell r="I34">
            <v>6</v>
          </cell>
          <cell r="J34">
            <v>648</v>
          </cell>
          <cell r="K34">
            <v>15</v>
          </cell>
          <cell r="L34">
            <v>2112</v>
          </cell>
          <cell r="M34">
            <v>7</v>
          </cell>
          <cell r="N34">
            <v>1646</v>
          </cell>
          <cell r="O34">
            <v>22</v>
          </cell>
          <cell r="P34">
            <v>3758</v>
          </cell>
          <cell r="Q34">
            <v>289</v>
          </cell>
          <cell r="R34">
            <v>34822</v>
          </cell>
          <cell r="S34">
            <v>3</v>
          </cell>
          <cell r="T34">
            <v>269</v>
          </cell>
          <cell r="U34">
            <v>3</v>
          </cell>
          <cell r="V34">
            <v>239</v>
          </cell>
          <cell r="W34">
            <v>6</v>
          </cell>
          <cell r="X34">
            <v>508</v>
          </cell>
          <cell r="Y34">
            <v>8</v>
          </cell>
          <cell r="Z34">
            <v>1504</v>
          </cell>
          <cell r="AA34">
            <v>7</v>
          </cell>
          <cell r="AB34">
            <v>1196</v>
          </cell>
          <cell r="AC34">
            <v>1</v>
          </cell>
          <cell r="AD34">
            <v>550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8</v>
          </cell>
          <cell r="AL34">
            <v>1746</v>
          </cell>
          <cell r="AM34">
            <v>2</v>
          </cell>
          <cell r="AN34">
            <v>336</v>
          </cell>
          <cell r="AO34">
            <v>1</v>
          </cell>
          <cell r="AP34">
            <v>550</v>
          </cell>
        </row>
        <row r="35">
          <cell r="B35" t="str">
            <v>Tampa, FL</v>
          </cell>
          <cell r="C35">
            <v>348</v>
          </cell>
          <cell r="D35">
            <v>40986</v>
          </cell>
          <cell r="E35">
            <v>9</v>
          </cell>
          <cell r="F35">
            <v>1069</v>
          </cell>
          <cell r="G35">
            <v>6</v>
          </cell>
          <cell r="H35">
            <v>560</v>
          </cell>
          <cell r="I35">
            <v>6</v>
          </cell>
          <cell r="J35">
            <v>1003</v>
          </cell>
          <cell r="K35">
            <v>12</v>
          </cell>
          <cell r="L35">
            <v>1563</v>
          </cell>
          <cell r="M35">
            <v>11</v>
          </cell>
          <cell r="N35">
            <v>1295</v>
          </cell>
          <cell r="O35">
            <v>23</v>
          </cell>
          <cell r="P35">
            <v>2858</v>
          </cell>
          <cell r="Q35">
            <v>348</v>
          </cell>
          <cell r="R35">
            <v>40986</v>
          </cell>
          <cell r="S35">
            <v>2</v>
          </cell>
          <cell r="T35">
            <v>200</v>
          </cell>
          <cell r="U35">
            <v>3</v>
          </cell>
          <cell r="V35">
            <v>257</v>
          </cell>
          <cell r="W35">
            <v>4</v>
          </cell>
          <cell r="X35">
            <v>377</v>
          </cell>
          <cell r="Y35">
            <v>7</v>
          </cell>
          <cell r="Z35">
            <v>886</v>
          </cell>
          <cell r="AA35">
            <v>12</v>
          </cell>
          <cell r="AB35">
            <v>1595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12</v>
          </cell>
          <cell r="AL35">
            <v>1595</v>
          </cell>
          <cell r="AM35">
            <v>5</v>
          </cell>
          <cell r="AN35">
            <v>717</v>
          </cell>
          <cell r="AO35">
            <v>0</v>
          </cell>
          <cell r="AP35">
            <v>0</v>
          </cell>
        </row>
        <row r="36">
          <cell r="B36" t="str">
            <v>Washington, DC</v>
          </cell>
          <cell r="C36">
            <v>450</v>
          </cell>
          <cell r="D36">
            <v>79138</v>
          </cell>
          <cell r="E36">
            <v>13</v>
          </cell>
          <cell r="F36">
            <v>1495</v>
          </cell>
          <cell r="G36">
            <v>14</v>
          </cell>
          <cell r="H36">
            <v>2311</v>
          </cell>
          <cell r="I36">
            <v>17</v>
          </cell>
          <cell r="J36">
            <v>2783</v>
          </cell>
          <cell r="K36">
            <v>31</v>
          </cell>
          <cell r="L36">
            <v>5094</v>
          </cell>
          <cell r="M36">
            <v>18</v>
          </cell>
          <cell r="N36">
            <v>3300</v>
          </cell>
          <cell r="O36">
            <v>49</v>
          </cell>
          <cell r="P36">
            <v>8394</v>
          </cell>
          <cell r="Q36">
            <v>450</v>
          </cell>
          <cell r="R36">
            <v>79138</v>
          </cell>
          <cell r="S36">
            <v>6</v>
          </cell>
          <cell r="T36">
            <v>1113</v>
          </cell>
          <cell r="U36">
            <v>8</v>
          </cell>
          <cell r="V36">
            <v>792</v>
          </cell>
          <cell r="W36">
            <v>13</v>
          </cell>
          <cell r="X36">
            <v>1815</v>
          </cell>
          <cell r="Y36">
            <v>11</v>
          </cell>
          <cell r="Z36">
            <v>1584</v>
          </cell>
          <cell r="AA36">
            <v>23</v>
          </cell>
          <cell r="AB36">
            <v>4262</v>
          </cell>
          <cell r="AC36">
            <v>2</v>
          </cell>
          <cell r="AD36">
            <v>733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25</v>
          </cell>
          <cell r="AL36">
            <v>4995</v>
          </cell>
          <cell r="AM36">
            <v>3</v>
          </cell>
          <cell r="AN36">
            <v>423</v>
          </cell>
          <cell r="AO36">
            <v>2</v>
          </cell>
          <cell r="AP36">
            <v>733</v>
          </cell>
        </row>
        <row r="169">
          <cell r="B169" t="str">
            <v>Anaheim, CA</v>
          </cell>
          <cell r="C169">
            <v>0</v>
          </cell>
          <cell r="D169">
            <v>0</v>
          </cell>
          <cell r="E169">
            <v>17</v>
          </cell>
          <cell r="F169">
            <v>1479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</row>
        <row r="170">
          <cell r="B170" t="str">
            <v>Atlanta, GA</v>
          </cell>
          <cell r="C170">
            <v>21</v>
          </cell>
          <cell r="D170">
            <v>1430</v>
          </cell>
          <cell r="E170">
            <v>57</v>
          </cell>
          <cell r="F170">
            <v>4729</v>
          </cell>
          <cell r="G170">
            <v>2</v>
          </cell>
          <cell r="H170">
            <v>138</v>
          </cell>
          <cell r="I170">
            <v>4</v>
          </cell>
          <cell r="J170">
            <v>257</v>
          </cell>
          <cell r="K170">
            <v>0</v>
          </cell>
          <cell r="L170">
            <v>0</v>
          </cell>
          <cell r="M170">
            <v>4</v>
          </cell>
          <cell r="N170">
            <v>257</v>
          </cell>
          <cell r="O170">
            <v>0</v>
          </cell>
          <cell r="P170">
            <v>0</v>
          </cell>
          <cell r="Q170">
            <v>2</v>
          </cell>
          <cell r="R170">
            <v>137</v>
          </cell>
          <cell r="S170">
            <v>2</v>
          </cell>
          <cell r="T170">
            <v>120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</row>
        <row r="171">
          <cell r="B171" t="str">
            <v>Boston, MA</v>
          </cell>
          <cell r="C171">
            <v>4</v>
          </cell>
          <cell r="D171">
            <v>417</v>
          </cell>
          <cell r="E171">
            <v>14</v>
          </cell>
          <cell r="F171">
            <v>1393</v>
          </cell>
          <cell r="G171">
            <v>2</v>
          </cell>
          <cell r="H171">
            <v>115</v>
          </cell>
          <cell r="I171">
            <v>1</v>
          </cell>
          <cell r="J171">
            <v>57</v>
          </cell>
          <cell r="K171">
            <v>0</v>
          </cell>
          <cell r="L171">
            <v>0</v>
          </cell>
          <cell r="M171">
            <v>1</v>
          </cell>
          <cell r="N171">
            <v>57</v>
          </cell>
          <cell r="O171">
            <v>1</v>
          </cell>
          <cell r="P171">
            <v>129</v>
          </cell>
          <cell r="Q171">
            <v>0</v>
          </cell>
          <cell r="R171">
            <v>0</v>
          </cell>
          <cell r="S171">
            <v>1</v>
          </cell>
          <cell r="T171">
            <v>57</v>
          </cell>
          <cell r="U171">
            <v>0</v>
          </cell>
          <cell r="V171">
            <v>0</v>
          </cell>
          <cell r="W171">
            <v>1</v>
          </cell>
          <cell r="X171">
            <v>129</v>
          </cell>
          <cell r="Y171">
            <v>1</v>
          </cell>
          <cell r="Z171">
            <v>129</v>
          </cell>
        </row>
        <row r="172">
          <cell r="B172" t="str">
            <v>Chicago, IL</v>
          </cell>
          <cell r="C172">
            <v>9</v>
          </cell>
          <cell r="D172">
            <v>732</v>
          </cell>
          <cell r="E172">
            <v>27</v>
          </cell>
          <cell r="F172">
            <v>3622</v>
          </cell>
          <cell r="G172">
            <v>2</v>
          </cell>
          <cell r="H172">
            <v>217</v>
          </cell>
          <cell r="I172">
            <v>1</v>
          </cell>
          <cell r="J172">
            <v>61</v>
          </cell>
          <cell r="K172">
            <v>0</v>
          </cell>
          <cell r="L172">
            <v>0</v>
          </cell>
          <cell r="M172">
            <v>1</v>
          </cell>
          <cell r="N172">
            <v>61</v>
          </cell>
          <cell r="O172">
            <v>1</v>
          </cell>
          <cell r="P172">
            <v>80</v>
          </cell>
          <cell r="Q172">
            <v>0</v>
          </cell>
          <cell r="R172">
            <v>0</v>
          </cell>
          <cell r="S172">
            <v>1</v>
          </cell>
          <cell r="T172">
            <v>61</v>
          </cell>
          <cell r="U172">
            <v>0</v>
          </cell>
          <cell r="V172">
            <v>0</v>
          </cell>
          <cell r="W172">
            <v>1</v>
          </cell>
          <cell r="X172">
            <v>80</v>
          </cell>
          <cell r="Y172">
            <v>1</v>
          </cell>
          <cell r="Z172">
            <v>80</v>
          </cell>
        </row>
        <row r="173">
          <cell r="B173" t="str">
            <v>Dallas, TX</v>
          </cell>
          <cell r="C173">
            <v>22</v>
          </cell>
          <cell r="D173">
            <v>1593</v>
          </cell>
          <cell r="E173">
            <v>42</v>
          </cell>
          <cell r="F173">
            <v>3523</v>
          </cell>
          <cell r="G173">
            <v>2</v>
          </cell>
          <cell r="H173">
            <v>133</v>
          </cell>
          <cell r="I173">
            <v>1</v>
          </cell>
          <cell r="J173">
            <v>80</v>
          </cell>
          <cell r="K173">
            <v>2</v>
          </cell>
          <cell r="L173">
            <v>135</v>
          </cell>
          <cell r="M173">
            <v>3</v>
          </cell>
          <cell r="N173">
            <v>215</v>
          </cell>
          <cell r="O173">
            <v>0</v>
          </cell>
          <cell r="P173">
            <v>0</v>
          </cell>
          <cell r="Q173">
            <v>1</v>
          </cell>
          <cell r="R173">
            <v>80</v>
          </cell>
          <cell r="S173">
            <v>0</v>
          </cell>
          <cell r="T173">
            <v>0</v>
          </cell>
          <cell r="U173">
            <v>2</v>
          </cell>
          <cell r="V173">
            <v>135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</row>
        <row r="174">
          <cell r="B174" t="str">
            <v>Denver, CO</v>
          </cell>
          <cell r="C174">
            <v>13</v>
          </cell>
          <cell r="D174">
            <v>1091</v>
          </cell>
          <cell r="E174">
            <v>24</v>
          </cell>
          <cell r="F174">
            <v>2432</v>
          </cell>
          <cell r="G174">
            <v>2</v>
          </cell>
          <cell r="H174">
            <v>133</v>
          </cell>
          <cell r="I174">
            <v>0</v>
          </cell>
          <cell r="J174">
            <v>0</v>
          </cell>
          <cell r="K174">
            <v>1</v>
          </cell>
          <cell r="L174">
            <v>84</v>
          </cell>
          <cell r="M174">
            <v>1</v>
          </cell>
          <cell r="N174">
            <v>84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1</v>
          </cell>
          <cell r="V174">
            <v>84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</row>
        <row r="175">
          <cell r="B175" t="str">
            <v>Detroit, MI</v>
          </cell>
          <cell r="C175">
            <v>5</v>
          </cell>
          <cell r="D175">
            <v>334</v>
          </cell>
          <cell r="E175">
            <v>27</v>
          </cell>
          <cell r="F175">
            <v>2683</v>
          </cell>
          <cell r="G175">
            <v>2</v>
          </cell>
          <cell r="H175">
            <v>142</v>
          </cell>
          <cell r="I175">
            <v>2</v>
          </cell>
          <cell r="J175">
            <v>170</v>
          </cell>
          <cell r="K175">
            <v>1</v>
          </cell>
          <cell r="L175">
            <v>75</v>
          </cell>
          <cell r="M175">
            <v>3</v>
          </cell>
          <cell r="N175">
            <v>245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1</v>
          </cell>
          <cell r="T175">
            <v>82</v>
          </cell>
          <cell r="U175">
            <v>2</v>
          </cell>
          <cell r="V175">
            <v>163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</row>
        <row r="176">
          <cell r="B176" t="str">
            <v>Houston, TX</v>
          </cell>
          <cell r="C176">
            <v>16</v>
          </cell>
          <cell r="D176">
            <v>869</v>
          </cell>
          <cell r="E176">
            <v>36</v>
          </cell>
          <cell r="F176">
            <v>2745</v>
          </cell>
          <cell r="G176">
            <v>3</v>
          </cell>
          <cell r="H176">
            <v>161</v>
          </cell>
          <cell r="I176">
            <v>2</v>
          </cell>
          <cell r="J176">
            <v>110</v>
          </cell>
          <cell r="K176">
            <v>1</v>
          </cell>
          <cell r="L176">
            <v>76</v>
          </cell>
          <cell r="M176">
            <v>3</v>
          </cell>
          <cell r="N176">
            <v>186</v>
          </cell>
          <cell r="O176">
            <v>0</v>
          </cell>
          <cell r="P176">
            <v>0</v>
          </cell>
          <cell r="Q176">
            <v>1</v>
          </cell>
          <cell r="R176">
            <v>60</v>
          </cell>
          <cell r="S176">
            <v>0</v>
          </cell>
          <cell r="T176">
            <v>0</v>
          </cell>
          <cell r="U176">
            <v>2</v>
          </cell>
          <cell r="V176">
            <v>126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</row>
        <row r="177">
          <cell r="B177" t="str">
            <v>Los Angeles, CA</v>
          </cell>
          <cell r="C177">
            <v>1</v>
          </cell>
          <cell r="D177">
            <v>101</v>
          </cell>
          <cell r="E177">
            <v>40</v>
          </cell>
          <cell r="F177">
            <v>3075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</row>
        <row r="178">
          <cell r="B178" t="str">
            <v>Miami, FL</v>
          </cell>
          <cell r="C178">
            <v>3</v>
          </cell>
          <cell r="D178">
            <v>344</v>
          </cell>
          <cell r="E178">
            <v>13</v>
          </cell>
          <cell r="F178">
            <v>1439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</row>
        <row r="179">
          <cell r="B179" t="str">
            <v>Minneapolis, MN</v>
          </cell>
          <cell r="C179">
            <v>5</v>
          </cell>
          <cell r="D179">
            <v>438</v>
          </cell>
          <cell r="E179">
            <v>16</v>
          </cell>
          <cell r="F179">
            <v>1849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</row>
        <row r="180">
          <cell r="B180" t="str">
            <v>Nashville, TN</v>
          </cell>
          <cell r="C180">
            <v>9</v>
          </cell>
          <cell r="D180">
            <v>622</v>
          </cell>
          <cell r="E180">
            <v>35</v>
          </cell>
          <cell r="F180">
            <v>2667</v>
          </cell>
          <cell r="G180">
            <v>1</v>
          </cell>
          <cell r="H180">
            <v>80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B181" t="str">
            <v>New Orleans, LA</v>
          </cell>
          <cell r="C181">
            <v>7</v>
          </cell>
          <cell r="D181">
            <v>706</v>
          </cell>
          <cell r="E181">
            <v>20</v>
          </cell>
          <cell r="F181">
            <v>2068</v>
          </cell>
          <cell r="G181">
            <v>3</v>
          </cell>
          <cell r="H181">
            <v>293</v>
          </cell>
          <cell r="I181">
            <v>2</v>
          </cell>
          <cell r="J181">
            <v>163</v>
          </cell>
          <cell r="K181">
            <v>2</v>
          </cell>
          <cell r="L181">
            <v>160</v>
          </cell>
          <cell r="M181">
            <v>4</v>
          </cell>
          <cell r="N181">
            <v>323</v>
          </cell>
          <cell r="O181">
            <v>0</v>
          </cell>
          <cell r="P181">
            <v>0</v>
          </cell>
          <cell r="Q181">
            <v>2</v>
          </cell>
          <cell r="R181">
            <v>163</v>
          </cell>
          <cell r="S181">
            <v>0</v>
          </cell>
          <cell r="T181">
            <v>0</v>
          </cell>
          <cell r="U181">
            <v>2</v>
          </cell>
          <cell r="V181">
            <v>160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B182" t="str">
            <v>New York, NY</v>
          </cell>
          <cell r="C182">
            <v>5</v>
          </cell>
          <cell r="D182">
            <v>322</v>
          </cell>
          <cell r="E182">
            <v>16</v>
          </cell>
          <cell r="F182">
            <v>1919</v>
          </cell>
          <cell r="G182">
            <v>1</v>
          </cell>
          <cell r="H182">
            <v>58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1</v>
          </cell>
          <cell r="P182">
            <v>51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1</v>
          </cell>
          <cell r="X182">
            <v>51</v>
          </cell>
          <cell r="Y182">
            <v>1</v>
          </cell>
          <cell r="Z182">
            <v>51</v>
          </cell>
        </row>
        <row r="183">
          <cell r="B183" t="str">
            <v>Norfolk, VA</v>
          </cell>
          <cell r="C183">
            <v>4</v>
          </cell>
          <cell r="D183">
            <v>390</v>
          </cell>
          <cell r="E183">
            <v>55</v>
          </cell>
          <cell r="F183">
            <v>4836</v>
          </cell>
          <cell r="G183">
            <v>2</v>
          </cell>
          <cell r="H183">
            <v>234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1</v>
          </cell>
          <cell r="P183">
            <v>90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1</v>
          </cell>
          <cell r="X183">
            <v>90</v>
          </cell>
          <cell r="Y183">
            <v>1</v>
          </cell>
          <cell r="Z183">
            <v>90</v>
          </cell>
        </row>
        <row r="184">
          <cell r="B184" t="str">
            <v>Oahu Island</v>
          </cell>
          <cell r="C184">
            <v>0</v>
          </cell>
          <cell r="D184">
            <v>0</v>
          </cell>
          <cell r="E184">
            <v>2</v>
          </cell>
          <cell r="F184">
            <v>342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</row>
        <row r="185">
          <cell r="B185" t="str">
            <v>Orlando, FL</v>
          </cell>
          <cell r="C185">
            <v>11</v>
          </cell>
          <cell r="D185">
            <v>1276</v>
          </cell>
          <cell r="E185">
            <v>40</v>
          </cell>
          <cell r="F185">
            <v>9234</v>
          </cell>
          <cell r="G185">
            <v>2</v>
          </cell>
          <cell r="H185">
            <v>175</v>
          </cell>
          <cell r="I185">
            <v>1</v>
          </cell>
          <cell r="J185">
            <v>108</v>
          </cell>
          <cell r="K185">
            <v>0</v>
          </cell>
          <cell r="L185">
            <v>0</v>
          </cell>
          <cell r="M185">
            <v>1</v>
          </cell>
          <cell r="N185">
            <v>108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1</v>
          </cell>
          <cell r="T185">
            <v>108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</row>
        <row r="186">
          <cell r="B186" t="str">
            <v>Philadelphia, PA</v>
          </cell>
          <cell r="C186">
            <v>6</v>
          </cell>
          <cell r="D186">
            <v>395</v>
          </cell>
          <cell r="E186">
            <v>29</v>
          </cell>
          <cell r="F186">
            <v>2562</v>
          </cell>
          <cell r="G186">
            <v>0</v>
          </cell>
          <cell r="H186">
            <v>0</v>
          </cell>
          <cell r="I186">
            <v>2</v>
          </cell>
          <cell r="J186">
            <v>156</v>
          </cell>
          <cell r="K186">
            <v>0</v>
          </cell>
          <cell r="L186">
            <v>0</v>
          </cell>
          <cell r="M186">
            <v>2</v>
          </cell>
          <cell r="N186">
            <v>156</v>
          </cell>
          <cell r="O186">
            <v>0</v>
          </cell>
          <cell r="P186">
            <v>0</v>
          </cell>
          <cell r="Q186">
            <v>1</v>
          </cell>
          <cell r="R186">
            <v>64</v>
          </cell>
          <cell r="S186">
            <v>1</v>
          </cell>
          <cell r="T186">
            <v>92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</row>
        <row r="187">
          <cell r="B187" t="str">
            <v>Phoenix, AZ</v>
          </cell>
          <cell r="C187">
            <v>11</v>
          </cell>
          <cell r="D187">
            <v>956</v>
          </cell>
          <cell r="E187">
            <v>30</v>
          </cell>
          <cell r="F187">
            <v>2897</v>
          </cell>
          <cell r="G187">
            <v>1</v>
          </cell>
          <cell r="H187">
            <v>76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1</v>
          </cell>
          <cell r="P187">
            <v>103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1</v>
          </cell>
          <cell r="Z187">
            <v>103</v>
          </cell>
        </row>
        <row r="188">
          <cell r="B188" t="str">
            <v>Saint Louis, MO</v>
          </cell>
          <cell r="C188">
            <v>6</v>
          </cell>
          <cell r="D188">
            <v>394</v>
          </cell>
          <cell r="E188">
            <v>18</v>
          </cell>
          <cell r="F188">
            <v>1311</v>
          </cell>
          <cell r="G188">
            <v>2</v>
          </cell>
          <cell r="H188">
            <v>142</v>
          </cell>
          <cell r="I188">
            <v>1</v>
          </cell>
          <cell r="J188">
            <v>80</v>
          </cell>
          <cell r="K188">
            <v>0</v>
          </cell>
          <cell r="L188">
            <v>0</v>
          </cell>
          <cell r="M188">
            <v>1</v>
          </cell>
          <cell r="N188">
            <v>80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1</v>
          </cell>
          <cell r="T188">
            <v>80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</row>
        <row r="189">
          <cell r="B189" t="str">
            <v>San Diego, CA</v>
          </cell>
          <cell r="C189">
            <v>2</v>
          </cell>
          <cell r="D189">
            <v>139</v>
          </cell>
          <cell r="E189">
            <v>25</v>
          </cell>
          <cell r="F189">
            <v>2428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</row>
        <row r="190">
          <cell r="B190" t="str">
            <v>San Francisco, CA</v>
          </cell>
          <cell r="C190">
            <v>3</v>
          </cell>
          <cell r="D190">
            <v>181</v>
          </cell>
          <cell r="E190">
            <v>13</v>
          </cell>
          <cell r="F190">
            <v>1465</v>
          </cell>
          <cell r="G190">
            <v>1</v>
          </cell>
          <cell r="H190">
            <v>86</v>
          </cell>
          <cell r="I190">
            <v>0</v>
          </cell>
          <cell r="J190">
            <v>0</v>
          </cell>
          <cell r="K190">
            <v>1</v>
          </cell>
          <cell r="L190">
            <v>103</v>
          </cell>
          <cell r="M190">
            <v>1</v>
          </cell>
          <cell r="N190">
            <v>103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1</v>
          </cell>
          <cell r="V190">
            <v>103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</row>
        <row r="191">
          <cell r="B191" t="str">
            <v>Seattle, WA</v>
          </cell>
          <cell r="C191">
            <v>6</v>
          </cell>
          <cell r="D191">
            <v>546</v>
          </cell>
          <cell r="E191">
            <v>15</v>
          </cell>
          <cell r="F191">
            <v>1508</v>
          </cell>
          <cell r="G191">
            <v>0</v>
          </cell>
          <cell r="H191">
            <v>0</v>
          </cell>
          <cell r="I191">
            <v>1</v>
          </cell>
          <cell r="J191">
            <v>137</v>
          </cell>
          <cell r="K191">
            <v>0</v>
          </cell>
          <cell r="L191">
            <v>0</v>
          </cell>
          <cell r="M191">
            <v>1</v>
          </cell>
          <cell r="N191">
            <v>137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1</v>
          </cell>
          <cell r="T191">
            <v>137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</row>
        <row r="192">
          <cell r="B192" t="str">
            <v>Tampa, FL</v>
          </cell>
          <cell r="C192">
            <v>6</v>
          </cell>
          <cell r="D192">
            <v>439</v>
          </cell>
          <cell r="E192">
            <v>22</v>
          </cell>
          <cell r="F192">
            <v>2072</v>
          </cell>
          <cell r="G192">
            <v>0</v>
          </cell>
          <cell r="H192">
            <v>0</v>
          </cell>
          <cell r="I192">
            <v>1</v>
          </cell>
          <cell r="J192">
            <v>50</v>
          </cell>
          <cell r="K192">
            <v>0</v>
          </cell>
          <cell r="L192">
            <v>0</v>
          </cell>
          <cell r="M192">
            <v>1</v>
          </cell>
          <cell r="N192">
            <v>50</v>
          </cell>
          <cell r="O192">
            <v>2</v>
          </cell>
          <cell r="P192">
            <v>200</v>
          </cell>
          <cell r="Q192">
            <v>1</v>
          </cell>
          <cell r="R192">
            <v>50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2</v>
          </cell>
          <cell r="X192">
            <v>200</v>
          </cell>
          <cell r="Y192">
            <v>2</v>
          </cell>
          <cell r="Z192">
            <v>200</v>
          </cell>
        </row>
        <row r="193">
          <cell r="B193" t="str">
            <v>Washington, DC</v>
          </cell>
          <cell r="C193">
            <v>11</v>
          </cell>
          <cell r="D193">
            <v>918</v>
          </cell>
          <cell r="E193">
            <v>51</v>
          </cell>
          <cell r="F193">
            <v>5766</v>
          </cell>
          <cell r="G193">
            <v>5</v>
          </cell>
          <cell r="H193">
            <v>443</v>
          </cell>
          <cell r="I193">
            <v>0</v>
          </cell>
          <cell r="J193">
            <v>0</v>
          </cell>
          <cell r="K193">
            <v>1</v>
          </cell>
          <cell r="L193">
            <v>70</v>
          </cell>
          <cell r="M193">
            <v>1</v>
          </cell>
          <cell r="N193">
            <v>70</v>
          </cell>
          <cell r="O193">
            <v>1</v>
          </cell>
          <cell r="P193">
            <v>90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1</v>
          </cell>
          <cell r="V193">
            <v>70</v>
          </cell>
          <cell r="W193">
            <v>1</v>
          </cell>
          <cell r="X193">
            <v>90</v>
          </cell>
          <cell r="Y193">
            <v>1</v>
          </cell>
          <cell r="Z193">
            <v>90</v>
          </cell>
        </row>
        <row r="203">
          <cell r="B203" t="str">
            <v>Anaheim, CA</v>
          </cell>
          <cell r="C203">
            <v>5</v>
          </cell>
          <cell r="D203">
            <v>635</v>
          </cell>
          <cell r="E203">
            <v>5</v>
          </cell>
          <cell r="F203">
            <v>635</v>
          </cell>
          <cell r="G203">
            <v>3</v>
          </cell>
          <cell r="H203">
            <v>412</v>
          </cell>
          <cell r="I203">
            <v>1</v>
          </cell>
          <cell r="J203">
            <v>117</v>
          </cell>
          <cell r="K203">
            <v>0</v>
          </cell>
          <cell r="L203">
            <v>0</v>
          </cell>
          <cell r="M203">
            <v>1</v>
          </cell>
          <cell r="N203">
            <v>117</v>
          </cell>
          <cell r="O203">
            <v>0</v>
          </cell>
          <cell r="P203">
            <v>0</v>
          </cell>
          <cell r="Q203">
            <v>1</v>
          </cell>
          <cell r="R203">
            <v>117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</row>
        <row r="204">
          <cell r="B204" t="str">
            <v>Atlanta, GA</v>
          </cell>
          <cell r="C204">
            <v>11</v>
          </cell>
          <cell r="D204">
            <v>1086</v>
          </cell>
          <cell r="E204">
            <v>16</v>
          </cell>
          <cell r="F204">
            <v>1813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</row>
        <row r="205">
          <cell r="B205" t="str">
            <v>Boston, MA</v>
          </cell>
          <cell r="C205">
            <v>2</v>
          </cell>
          <cell r="D205">
            <v>196</v>
          </cell>
          <cell r="E205">
            <v>2</v>
          </cell>
          <cell r="F205">
            <v>196</v>
          </cell>
          <cell r="G205">
            <v>1</v>
          </cell>
          <cell r="H205">
            <v>92</v>
          </cell>
          <cell r="I205">
            <v>1</v>
          </cell>
          <cell r="J205">
            <v>103</v>
          </cell>
          <cell r="K205">
            <v>0</v>
          </cell>
          <cell r="L205">
            <v>0</v>
          </cell>
          <cell r="M205">
            <v>1</v>
          </cell>
          <cell r="N205">
            <v>103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</v>
          </cell>
          <cell r="T205">
            <v>103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</row>
        <row r="206">
          <cell r="B206" t="str">
            <v>Chicago, IL</v>
          </cell>
          <cell r="C206">
            <v>12</v>
          </cell>
          <cell r="D206">
            <v>1380</v>
          </cell>
          <cell r="E206">
            <v>17</v>
          </cell>
          <cell r="F206">
            <v>2015</v>
          </cell>
          <cell r="G206">
            <v>0</v>
          </cell>
          <cell r="H206">
            <v>0</v>
          </cell>
          <cell r="I206">
            <v>1</v>
          </cell>
          <cell r="J206">
            <v>100</v>
          </cell>
          <cell r="K206">
            <v>0</v>
          </cell>
          <cell r="L206">
            <v>0</v>
          </cell>
          <cell r="M206">
            <v>1</v>
          </cell>
          <cell r="N206">
            <v>100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1</v>
          </cell>
          <cell r="T206">
            <v>100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</row>
        <row r="207">
          <cell r="B207" t="str">
            <v>Dallas, TX</v>
          </cell>
          <cell r="C207">
            <v>8</v>
          </cell>
          <cell r="D207">
            <v>841</v>
          </cell>
          <cell r="E207">
            <v>7</v>
          </cell>
          <cell r="F207">
            <v>725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</row>
        <row r="208">
          <cell r="B208" t="str">
            <v>Denver, CO</v>
          </cell>
          <cell r="C208">
            <v>6</v>
          </cell>
          <cell r="D208">
            <v>708</v>
          </cell>
          <cell r="E208">
            <v>6</v>
          </cell>
          <cell r="F208">
            <v>758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</row>
        <row r="209">
          <cell r="B209" t="str">
            <v>Detroit, MI</v>
          </cell>
          <cell r="C209">
            <v>10</v>
          </cell>
          <cell r="D209">
            <v>1150</v>
          </cell>
          <cell r="E209">
            <v>11</v>
          </cell>
          <cell r="F209">
            <v>1260</v>
          </cell>
          <cell r="G209">
            <v>2</v>
          </cell>
          <cell r="H209">
            <v>214</v>
          </cell>
          <cell r="I209">
            <v>2</v>
          </cell>
          <cell r="J209">
            <v>203</v>
          </cell>
          <cell r="K209">
            <v>0</v>
          </cell>
          <cell r="L209">
            <v>0</v>
          </cell>
          <cell r="M209">
            <v>2</v>
          </cell>
          <cell r="N209">
            <v>203</v>
          </cell>
          <cell r="O209">
            <v>0</v>
          </cell>
          <cell r="P209">
            <v>0</v>
          </cell>
          <cell r="Q209">
            <v>1</v>
          </cell>
          <cell r="R209">
            <v>93</v>
          </cell>
          <cell r="S209">
            <v>1</v>
          </cell>
          <cell r="T209">
            <v>110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</row>
        <row r="210">
          <cell r="B210" t="str">
            <v>Houston, TX</v>
          </cell>
          <cell r="C210">
            <v>13</v>
          </cell>
          <cell r="D210">
            <v>1453</v>
          </cell>
          <cell r="E210">
            <v>13</v>
          </cell>
          <cell r="F210">
            <v>1453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</row>
        <row r="211">
          <cell r="B211" t="str">
            <v>Los Angeles, CA</v>
          </cell>
          <cell r="C211">
            <v>10</v>
          </cell>
          <cell r="D211">
            <v>1203</v>
          </cell>
          <cell r="E211">
            <v>11</v>
          </cell>
          <cell r="F211">
            <v>1343</v>
          </cell>
          <cell r="G211">
            <v>0</v>
          </cell>
          <cell r="H211">
            <v>0</v>
          </cell>
          <cell r="I211">
            <v>1</v>
          </cell>
          <cell r="J211">
            <v>140</v>
          </cell>
          <cell r="K211">
            <v>0</v>
          </cell>
          <cell r="L211">
            <v>0</v>
          </cell>
          <cell r="M211">
            <v>1</v>
          </cell>
          <cell r="N211">
            <v>140</v>
          </cell>
          <cell r="O211">
            <v>0</v>
          </cell>
          <cell r="P211">
            <v>0</v>
          </cell>
          <cell r="Q211">
            <v>1</v>
          </cell>
          <cell r="R211">
            <v>140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</row>
        <row r="212">
          <cell r="B212" t="str">
            <v>Miami, FL</v>
          </cell>
          <cell r="C212">
            <v>3</v>
          </cell>
          <cell r="D212">
            <v>312</v>
          </cell>
          <cell r="E212">
            <v>3</v>
          </cell>
          <cell r="F212">
            <v>312</v>
          </cell>
          <cell r="G212">
            <v>3</v>
          </cell>
          <cell r="H212">
            <v>312</v>
          </cell>
          <cell r="I212">
            <v>1</v>
          </cell>
          <cell r="J212">
            <v>98</v>
          </cell>
          <cell r="K212">
            <v>0</v>
          </cell>
          <cell r="L212">
            <v>0</v>
          </cell>
          <cell r="M212">
            <v>1</v>
          </cell>
          <cell r="N212">
            <v>98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98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</row>
        <row r="213">
          <cell r="B213" t="str">
            <v>Minneapolis, MN</v>
          </cell>
          <cell r="C213">
            <v>6</v>
          </cell>
          <cell r="D213">
            <v>624</v>
          </cell>
          <cell r="E213">
            <v>6</v>
          </cell>
          <cell r="F213">
            <v>624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1</v>
          </cell>
          <cell r="L213">
            <v>125</v>
          </cell>
          <cell r="M213">
            <v>1</v>
          </cell>
          <cell r="N213">
            <v>125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1</v>
          </cell>
          <cell r="X213">
            <v>125</v>
          </cell>
          <cell r="Y213">
            <v>1</v>
          </cell>
          <cell r="Z213">
            <v>125</v>
          </cell>
        </row>
        <row r="214">
          <cell r="B214" t="str">
            <v>Nashville, TN</v>
          </cell>
          <cell r="C214">
            <v>2</v>
          </cell>
          <cell r="D214">
            <v>231</v>
          </cell>
          <cell r="E214">
            <v>5</v>
          </cell>
          <cell r="F214">
            <v>601</v>
          </cell>
          <cell r="G214">
            <v>0</v>
          </cell>
          <cell r="H214">
            <v>0</v>
          </cell>
          <cell r="I214">
            <v>1</v>
          </cell>
          <cell r="J214">
            <v>114</v>
          </cell>
          <cell r="K214">
            <v>0</v>
          </cell>
          <cell r="L214">
            <v>0</v>
          </cell>
          <cell r="M214">
            <v>1</v>
          </cell>
          <cell r="N214">
            <v>114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1</v>
          </cell>
          <cell r="T214">
            <v>114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</row>
        <row r="215">
          <cell r="B215" t="str">
            <v>New Orleans, LA</v>
          </cell>
          <cell r="C215">
            <v>2</v>
          </cell>
          <cell r="D215">
            <v>226</v>
          </cell>
          <cell r="E215">
            <v>2</v>
          </cell>
          <cell r="F215">
            <v>226</v>
          </cell>
          <cell r="G215">
            <v>1</v>
          </cell>
          <cell r="H215">
            <v>122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</row>
        <row r="216">
          <cell r="B216" t="str">
            <v>New York, NY</v>
          </cell>
          <cell r="C216">
            <v>2</v>
          </cell>
          <cell r="D216">
            <v>255</v>
          </cell>
          <cell r="E216">
            <v>2</v>
          </cell>
          <cell r="F216">
            <v>255</v>
          </cell>
          <cell r="G216">
            <v>1</v>
          </cell>
          <cell r="H216">
            <v>117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</row>
        <row r="217">
          <cell r="B217" t="str">
            <v>Norfolk, VA</v>
          </cell>
          <cell r="C217">
            <v>1</v>
          </cell>
          <cell r="D217">
            <v>73</v>
          </cell>
          <cell r="E217">
            <v>4</v>
          </cell>
          <cell r="F217">
            <v>445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</row>
        <row r="218">
          <cell r="B218" t="str">
            <v>Oahu Island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</row>
        <row r="219">
          <cell r="B219" t="str">
            <v>Orlando, FL</v>
          </cell>
          <cell r="C219">
            <v>8</v>
          </cell>
          <cell r="D219">
            <v>839</v>
          </cell>
          <cell r="E219">
            <v>8</v>
          </cell>
          <cell r="F219">
            <v>839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</row>
        <row r="220">
          <cell r="B220" t="str">
            <v>Philadelphia, PA</v>
          </cell>
          <cell r="C220">
            <v>10</v>
          </cell>
          <cell r="D220">
            <v>1010</v>
          </cell>
          <cell r="E220">
            <v>9</v>
          </cell>
          <cell r="F220">
            <v>877</v>
          </cell>
          <cell r="G220">
            <v>1</v>
          </cell>
          <cell r="H220">
            <v>116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</row>
        <row r="221">
          <cell r="B221" t="str">
            <v>Phoenix, AZ</v>
          </cell>
          <cell r="C221">
            <v>7</v>
          </cell>
          <cell r="D221">
            <v>769</v>
          </cell>
          <cell r="E221">
            <v>7</v>
          </cell>
          <cell r="F221">
            <v>769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</row>
        <row r="222">
          <cell r="B222" t="str">
            <v>Saint Louis, MO</v>
          </cell>
          <cell r="C222">
            <v>3</v>
          </cell>
          <cell r="D222">
            <v>284</v>
          </cell>
          <cell r="E222">
            <v>8</v>
          </cell>
          <cell r="F222">
            <v>729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1</v>
          </cell>
          <cell r="L222">
            <v>104</v>
          </cell>
          <cell r="M222">
            <v>1</v>
          </cell>
          <cell r="N222">
            <v>104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1</v>
          </cell>
          <cell r="V222">
            <v>104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</row>
        <row r="223">
          <cell r="B223" t="str">
            <v>San Diego, CA</v>
          </cell>
          <cell r="C223">
            <v>2</v>
          </cell>
          <cell r="D223">
            <v>270</v>
          </cell>
          <cell r="E223">
            <v>2</v>
          </cell>
          <cell r="F223">
            <v>270</v>
          </cell>
          <cell r="G223">
            <v>0</v>
          </cell>
          <cell r="H223">
            <v>0</v>
          </cell>
          <cell r="I223">
            <v>2</v>
          </cell>
          <cell r="J223">
            <v>253</v>
          </cell>
          <cell r="K223">
            <v>0</v>
          </cell>
          <cell r="L223">
            <v>0</v>
          </cell>
          <cell r="M223">
            <v>2</v>
          </cell>
          <cell r="N223">
            <v>253</v>
          </cell>
          <cell r="O223">
            <v>0</v>
          </cell>
          <cell r="P223">
            <v>0</v>
          </cell>
          <cell r="Q223">
            <v>2</v>
          </cell>
          <cell r="R223">
            <v>253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</row>
        <row r="224">
          <cell r="B224" t="str">
            <v>San Francisco, CA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1</v>
          </cell>
          <cell r="L224">
            <v>108</v>
          </cell>
          <cell r="M224">
            <v>1</v>
          </cell>
          <cell r="N224">
            <v>108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1</v>
          </cell>
          <cell r="X224">
            <v>108</v>
          </cell>
          <cell r="Y224">
            <v>1</v>
          </cell>
          <cell r="Z224">
            <v>108</v>
          </cell>
        </row>
        <row r="225">
          <cell r="B225" t="str">
            <v>Seattle, WA</v>
          </cell>
          <cell r="C225">
            <v>10</v>
          </cell>
          <cell r="D225">
            <v>1079</v>
          </cell>
          <cell r="E225">
            <v>10</v>
          </cell>
          <cell r="F225">
            <v>1079</v>
          </cell>
          <cell r="G225">
            <v>1</v>
          </cell>
          <cell r="H225">
            <v>101</v>
          </cell>
          <cell r="I225">
            <v>1</v>
          </cell>
          <cell r="J225">
            <v>107</v>
          </cell>
          <cell r="K225">
            <v>0</v>
          </cell>
          <cell r="L225">
            <v>0</v>
          </cell>
          <cell r="M225">
            <v>1</v>
          </cell>
          <cell r="N225">
            <v>107</v>
          </cell>
          <cell r="O225">
            <v>0</v>
          </cell>
          <cell r="P225">
            <v>0</v>
          </cell>
          <cell r="Q225">
            <v>1</v>
          </cell>
          <cell r="R225">
            <v>107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</row>
        <row r="226">
          <cell r="B226" t="str">
            <v>Tampa, FL</v>
          </cell>
          <cell r="C226">
            <v>3</v>
          </cell>
          <cell r="D226">
            <v>263</v>
          </cell>
          <cell r="E226">
            <v>3</v>
          </cell>
          <cell r="F226">
            <v>263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</row>
        <row r="227">
          <cell r="B227" t="str">
            <v>Washington, DC</v>
          </cell>
          <cell r="C227">
            <v>9</v>
          </cell>
          <cell r="D227">
            <v>952</v>
          </cell>
          <cell r="E227">
            <v>9</v>
          </cell>
          <cell r="F227">
            <v>952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</row>
        <row r="300">
          <cell r="B300" t="str">
            <v>Anaheim, CA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</row>
        <row r="301">
          <cell r="B301" t="str">
            <v>Atlanta, GA</v>
          </cell>
          <cell r="C301">
            <v>5</v>
          </cell>
          <cell r="D301">
            <v>677</v>
          </cell>
          <cell r="E301">
            <v>15</v>
          </cell>
          <cell r="F301">
            <v>1911</v>
          </cell>
          <cell r="G301">
            <v>0</v>
          </cell>
          <cell r="H301">
            <v>0</v>
          </cell>
          <cell r="I301">
            <v>1</v>
          </cell>
          <cell r="J301">
            <v>153</v>
          </cell>
          <cell r="K301">
            <v>0</v>
          </cell>
          <cell r="L301">
            <v>0</v>
          </cell>
          <cell r="M301">
            <v>1</v>
          </cell>
          <cell r="N301">
            <v>153</v>
          </cell>
          <cell r="O301">
            <v>0</v>
          </cell>
          <cell r="P301">
            <v>0</v>
          </cell>
          <cell r="Q301">
            <v>1</v>
          </cell>
          <cell r="R301">
            <v>153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</row>
        <row r="302">
          <cell r="B302" t="str">
            <v>Boston, MA</v>
          </cell>
          <cell r="C302">
            <v>1</v>
          </cell>
          <cell r="D302">
            <v>158</v>
          </cell>
          <cell r="E302">
            <v>2</v>
          </cell>
          <cell r="F302">
            <v>228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</row>
        <row r="303">
          <cell r="B303" t="str">
            <v>Chicago, IL</v>
          </cell>
          <cell r="C303">
            <v>8</v>
          </cell>
          <cell r="D303">
            <v>1164</v>
          </cell>
          <cell r="E303">
            <v>9</v>
          </cell>
          <cell r="F303">
            <v>1277</v>
          </cell>
          <cell r="G303">
            <v>1</v>
          </cell>
          <cell r="H303">
            <v>245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1</v>
          </cell>
          <cell r="P303">
            <v>275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1</v>
          </cell>
          <cell r="X303">
            <v>275</v>
          </cell>
          <cell r="Y303">
            <v>1</v>
          </cell>
          <cell r="Z303">
            <v>275</v>
          </cell>
        </row>
        <row r="304">
          <cell r="B304" t="str">
            <v>Dallas, TX</v>
          </cell>
          <cell r="C304">
            <v>5</v>
          </cell>
          <cell r="D304">
            <v>665</v>
          </cell>
          <cell r="E304">
            <v>12</v>
          </cell>
          <cell r="F304">
            <v>1531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</row>
        <row r="305">
          <cell r="B305" t="str">
            <v>Denver, CO</v>
          </cell>
          <cell r="C305">
            <v>5</v>
          </cell>
          <cell r="D305">
            <v>663</v>
          </cell>
          <cell r="E305">
            <v>5</v>
          </cell>
          <cell r="F305">
            <v>663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</row>
        <row r="306">
          <cell r="B306" t="str">
            <v>Detroit, MI</v>
          </cell>
          <cell r="C306">
            <v>3</v>
          </cell>
          <cell r="D306">
            <v>391</v>
          </cell>
          <cell r="E306">
            <v>4</v>
          </cell>
          <cell r="F306">
            <v>519</v>
          </cell>
          <cell r="G306">
            <v>1</v>
          </cell>
          <cell r="H306">
            <v>124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1</v>
          </cell>
          <cell r="P306">
            <v>128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1</v>
          </cell>
          <cell r="X306">
            <v>128</v>
          </cell>
          <cell r="Y306">
            <v>1</v>
          </cell>
          <cell r="Z306">
            <v>128</v>
          </cell>
        </row>
        <row r="307">
          <cell r="B307" t="str">
            <v>Houston, TX</v>
          </cell>
          <cell r="C307">
            <v>2</v>
          </cell>
          <cell r="D307">
            <v>210</v>
          </cell>
          <cell r="E307">
            <v>5</v>
          </cell>
          <cell r="F307">
            <v>557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</row>
        <row r="308">
          <cell r="B308" t="str">
            <v>Los Angeles, CA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</row>
        <row r="309">
          <cell r="B309" t="str">
            <v>Miami, FL</v>
          </cell>
          <cell r="C309">
            <v>0</v>
          </cell>
          <cell r="D309">
            <v>0</v>
          </cell>
          <cell r="E309">
            <v>5</v>
          </cell>
          <cell r="F309">
            <v>505</v>
          </cell>
          <cell r="G309">
            <v>0</v>
          </cell>
          <cell r="H309">
            <v>0</v>
          </cell>
          <cell r="I309">
            <v>1</v>
          </cell>
          <cell r="J309">
            <v>151</v>
          </cell>
          <cell r="K309">
            <v>0</v>
          </cell>
          <cell r="L309">
            <v>0</v>
          </cell>
          <cell r="M309">
            <v>1</v>
          </cell>
          <cell r="N309">
            <v>151</v>
          </cell>
          <cell r="O309">
            <v>1</v>
          </cell>
          <cell r="P309">
            <v>104</v>
          </cell>
          <cell r="Q309">
            <v>0</v>
          </cell>
          <cell r="R309">
            <v>0</v>
          </cell>
          <cell r="S309">
            <v>1</v>
          </cell>
          <cell r="T309">
            <v>151</v>
          </cell>
          <cell r="U309">
            <v>0</v>
          </cell>
          <cell r="V309">
            <v>0</v>
          </cell>
          <cell r="W309">
            <v>1</v>
          </cell>
          <cell r="X309">
            <v>104</v>
          </cell>
          <cell r="Y309">
            <v>1</v>
          </cell>
          <cell r="Z309">
            <v>104</v>
          </cell>
        </row>
        <row r="310">
          <cell r="B310" t="str">
            <v>Minneapolis, MN</v>
          </cell>
          <cell r="C310">
            <v>2</v>
          </cell>
          <cell r="D310">
            <v>271</v>
          </cell>
          <cell r="E310">
            <v>2</v>
          </cell>
          <cell r="F310">
            <v>271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</row>
        <row r="311">
          <cell r="B311" t="str">
            <v>Nashville, TN</v>
          </cell>
          <cell r="C311">
            <v>2</v>
          </cell>
          <cell r="D311">
            <v>212</v>
          </cell>
          <cell r="E311">
            <v>4</v>
          </cell>
          <cell r="F311">
            <v>463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</row>
        <row r="312">
          <cell r="B312" t="str">
            <v>New Orleans, LA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</row>
        <row r="313">
          <cell r="B313" t="str">
            <v>New York, NY</v>
          </cell>
          <cell r="C313">
            <v>0</v>
          </cell>
          <cell r="D313">
            <v>0</v>
          </cell>
          <cell r="E313">
            <v>1</v>
          </cell>
          <cell r="F313">
            <v>97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</row>
        <row r="314">
          <cell r="B314" t="str">
            <v>Norfolk, VA</v>
          </cell>
          <cell r="C314">
            <v>0</v>
          </cell>
          <cell r="D314">
            <v>0</v>
          </cell>
          <cell r="E314">
            <v>2</v>
          </cell>
          <cell r="F314">
            <v>112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</row>
        <row r="315">
          <cell r="B315" t="str">
            <v>Oahu Island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</row>
        <row r="316">
          <cell r="B316" t="str">
            <v>Orlando, FL</v>
          </cell>
          <cell r="C316">
            <v>4</v>
          </cell>
          <cell r="D316">
            <v>582</v>
          </cell>
          <cell r="E316">
            <v>7</v>
          </cell>
          <cell r="F316">
            <v>960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</row>
        <row r="317">
          <cell r="B317" t="str">
            <v>Philadelphia, PA</v>
          </cell>
          <cell r="C317">
            <v>1</v>
          </cell>
          <cell r="D317">
            <v>125</v>
          </cell>
          <cell r="E317">
            <v>1</v>
          </cell>
          <cell r="F317">
            <v>125</v>
          </cell>
          <cell r="G317">
            <v>1</v>
          </cell>
          <cell r="H317">
            <v>125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</row>
        <row r="318">
          <cell r="B318" t="str">
            <v>Phoenix, AZ</v>
          </cell>
          <cell r="C318">
            <v>4</v>
          </cell>
          <cell r="D318">
            <v>523</v>
          </cell>
          <cell r="E318">
            <v>7</v>
          </cell>
          <cell r="F318">
            <v>917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</row>
        <row r="319">
          <cell r="B319" t="str">
            <v>Saint Louis, MO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</row>
        <row r="320">
          <cell r="B320" t="str">
            <v>San Diego, CA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</row>
        <row r="321">
          <cell r="B321" t="str">
            <v>San Francisco, CA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1</v>
          </cell>
          <cell r="L321">
            <v>186</v>
          </cell>
          <cell r="M321">
            <v>1</v>
          </cell>
          <cell r="N321">
            <v>186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1</v>
          </cell>
          <cell r="X321">
            <v>186</v>
          </cell>
          <cell r="Y321">
            <v>1</v>
          </cell>
          <cell r="Z321">
            <v>186</v>
          </cell>
        </row>
        <row r="322">
          <cell r="B322" t="str">
            <v>Seattle, WA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</row>
        <row r="323">
          <cell r="B323" t="str">
            <v>Tampa, FL</v>
          </cell>
          <cell r="C323">
            <v>2</v>
          </cell>
          <cell r="D323">
            <v>261</v>
          </cell>
          <cell r="E323">
            <v>3</v>
          </cell>
          <cell r="F323">
            <v>387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</row>
        <row r="324">
          <cell r="B324" t="str">
            <v>Washington, DC</v>
          </cell>
          <cell r="C324">
            <v>0</v>
          </cell>
          <cell r="D324">
            <v>0</v>
          </cell>
          <cell r="E324">
            <v>3</v>
          </cell>
          <cell r="F324">
            <v>334</v>
          </cell>
          <cell r="G324">
            <v>0</v>
          </cell>
          <cell r="H324">
            <v>0</v>
          </cell>
          <cell r="I324">
            <v>1</v>
          </cell>
          <cell r="J324">
            <v>125</v>
          </cell>
          <cell r="K324">
            <v>0</v>
          </cell>
          <cell r="L324">
            <v>0</v>
          </cell>
          <cell r="M324">
            <v>1</v>
          </cell>
          <cell r="N324">
            <v>125</v>
          </cell>
          <cell r="O324">
            <v>1</v>
          </cell>
          <cell r="P324">
            <v>80</v>
          </cell>
          <cell r="Q324">
            <v>1</v>
          </cell>
          <cell r="R324">
            <v>125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</v>
          </cell>
          <cell r="X324">
            <v>80</v>
          </cell>
          <cell r="Y324">
            <v>1</v>
          </cell>
          <cell r="Z324">
            <v>80</v>
          </cell>
        </row>
        <row r="428">
          <cell r="B428" t="str">
            <v>Anaheim, CA</v>
          </cell>
          <cell r="C428">
            <v>0</v>
          </cell>
          <cell r="D428">
            <v>0</v>
          </cell>
          <cell r="E428">
            <v>1</v>
          </cell>
          <cell r="F428">
            <v>238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</row>
        <row r="429">
          <cell r="B429" t="str">
            <v>Atlanta, GA</v>
          </cell>
          <cell r="C429">
            <v>0</v>
          </cell>
          <cell r="D429">
            <v>0</v>
          </cell>
          <cell r="E429">
            <v>8</v>
          </cell>
          <cell r="F429">
            <v>1484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</row>
        <row r="430">
          <cell r="B430" t="str">
            <v>Boston, MA</v>
          </cell>
          <cell r="C430">
            <v>4</v>
          </cell>
          <cell r="D430">
            <v>903</v>
          </cell>
          <cell r="E430">
            <v>7</v>
          </cell>
          <cell r="F430">
            <v>1663</v>
          </cell>
          <cell r="G430">
            <v>1</v>
          </cell>
          <cell r="H430">
            <v>180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</row>
        <row r="431">
          <cell r="B431" t="str">
            <v>Chicago, IL</v>
          </cell>
          <cell r="C431">
            <v>1</v>
          </cell>
          <cell r="D431">
            <v>418</v>
          </cell>
          <cell r="E431">
            <v>10</v>
          </cell>
          <cell r="F431">
            <v>2091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</row>
        <row r="432">
          <cell r="B432" t="str">
            <v>Dallas, TX</v>
          </cell>
          <cell r="C432">
            <v>1</v>
          </cell>
          <cell r="D432">
            <v>197</v>
          </cell>
          <cell r="E432">
            <v>7</v>
          </cell>
          <cell r="F432">
            <v>2619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</row>
        <row r="433">
          <cell r="B433" t="str">
            <v>Denver, CO</v>
          </cell>
          <cell r="C433">
            <v>2</v>
          </cell>
          <cell r="D433">
            <v>316</v>
          </cell>
          <cell r="E433">
            <v>2</v>
          </cell>
          <cell r="F433">
            <v>316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</row>
        <row r="434">
          <cell r="B434" t="str">
            <v>Detroit, MI</v>
          </cell>
          <cell r="C434">
            <v>0</v>
          </cell>
          <cell r="D434">
            <v>0</v>
          </cell>
          <cell r="E434">
            <v>1</v>
          </cell>
          <cell r="F434">
            <v>148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</row>
        <row r="435">
          <cell r="B435" t="str">
            <v>Houston, TX</v>
          </cell>
          <cell r="C435">
            <v>0</v>
          </cell>
          <cell r="D435">
            <v>0</v>
          </cell>
          <cell r="E435">
            <v>1</v>
          </cell>
          <cell r="F435">
            <v>472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</row>
        <row r="436">
          <cell r="B436" t="str">
            <v>Los Angeles, CA</v>
          </cell>
          <cell r="C436">
            <v>0</v>
          </cell>
          <cell r="D436">
            <v>0</v>
          </cell>
          <cell r="E436">
            <v>6</v>
          </cell>
          <cell r="F436">
            <v>889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</row>
        <row r="437">
          <cell r="B437" t="str">
            <v>Miami, FL</v>
          </cell>
          <cell r="C437">
            <v>1</v>
          </cell>
          <cell r="D437">
            <v>157</v>
          </cell>
          <cell r="E437">
            <v>4</v>
          </cell>
          <cell r="F437">
            <v>1271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</row>
        <row r="438">
          <cell r="B438" t="str">
            <v>Minneapolis, MN</v>
          </cell>
          <cell r="C438">
            <v>0</v>
          </cell>
          <cell r="D438">
            <v>0</v>
          </cell>
          <cell r="E438">
            <v>1</v>
          </cell>
          <cell r="F438">
            <v>209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</row>
        <row r="439">
          <cell r="B439" t="str">
            <v>Nashville, TN</v>
          </cell>
          <cell r="C439">
            <v>0</v>
          </cell>
          <cell r="D439">
            <v>0</v>
          </cell>
          <cell r="E439">
            <v>2</v>
          </cell>
          <cell r="F439">
            <v>304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</row>
        <row r="440">
          <cell r="B440" t="str">
            <v>New Orleans, LA</v>
          </cell>
          <cell r="C440">
            <v>1</v>
          </cell>
          <cell r="D440">
            <v>93</v>
          </cell>
          <cell r="E440">
            <v>4</v>
          </cell>
          <cell r="F440">
            <v>950</v>
          </cell>
          <cell r="G440">
            <v>0</v>
          </cell>
          <cell r="H440">
            <v>0</v>
          </cell>
          <cell r="I440">
            <v>1</v>
          </cell>
          <cell r="J440">
            <v>182</v>
          </cell>
          <cell r="K440">
            <v>0</v>
          </cell>
          <cell r="L440">
            <v>0</v>
          </cell>
          <cell r="M440">
            <v>1</v>
          </cell>
          <cell r="N440">
            <v>182</v>
          </cell>
          <cell r="O440">
            <v>0</v>
          </cell>
          <cell r="P440">
            <v>0</v>
          </cell>
          <cell r="Q440">
            <v>1</v>
          </cell>
          <cell r="R440">
            <v>182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</row>
        <row r="441">
          <cell r="B441" t="str">
            <v>New York, NY</v>
          </cell>
          <cell r="C441">
            <v>1</v>
          </cell>
          <cell r="D441">
            <v>160</v>
          </cell>
          <cell r="E441">
            <v>2</v>
          </cell>
          <cell r="F441">
            <v>389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</row>
        <row r="442">
          <cell r="B442" t="str">
            <v>Norfolk, VA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</row>
        <row r="443">
          <cell r="B443" t="str">
            <v>Oahu Island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</row>
        <row r="444">
          <cell r="B444" t="str">
            <v>Orlando, FL</v>
          </cell>
          <cell r="C444">
            <v>0</v>
          </cell>
          <cell r="D444">
            <v>0</v>
          </cell>
          <cell r="E444">
            <v>4</v>
          </cell>
          <cell r="F444">
            <v>2373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</row>
        <row r="445">
          <cell r="B445" t="str">
            <v>Philadelphia, PA</v>
          </cell>
          <cell r="C445">
            <v>1</v>
          </cell>
          <cell r="D445">
            <v>131</v>
          </cell>
          <cell r="E445">
            <v>6</v>
          </cell>
          <cell r="F445">
            <v>1596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</row>
        <row r="446">
          <cell r="B446" t="str">
            <v>Phoenix, AZ</v>
          </cell>
          <cell r="C446">
            <v>1</v>
          </cell>
          <cell r="D446">
            <v>164</v>
          </cell>
          <cell r="E446">
            <v>6</v>
          </cell>
          <cell r="F446">
            <v>1212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</row>
        <row r="447">
          <cell r="B447" t="str">
            <v>Saint Louis, MO</v>
          </cell>
          <cell r="C447">
            <v>1</v>
          </cell>
          <cell r="D447">
            <v>142</v>
          </cell>
          <cell r="E447">
            <v>3</v>
          </cell>
          <cell r="F447">
            <v>425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</row>
        <row r="448">
          <cell r="B448" t="str">
            <v>San Diego, CA</v>
          </cell>
          <cell r="C448">
            <v>0</v>
          </cell>
          <cell r="D448">
            <v>0</v>
          </cell>
          <cell r="E448">
            <v>4</v>
          </cell>
          <cell r="F448">
            <v>1176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</row>
        <row r="449">
          <cell r="B449" t="str">
            <v>San Francisco, CA</v>
          </cell>
          <cell r="C449">
            <v>0</v>
          </cell>
          <cell r="D449">
            <v>0</v>
          </cell>
          <cell r="E449">
            <v>3</v>
          </cell>
          <cell r="F449">
            <v>413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</row>
        <row r="450">
          <cell r="B450" t="str">
            <v>Seattle, WA</v>
          </cell>
          <cell r="C450">
            <v>0</v>
          </cell>
          <cell r="D450">
            <v>0</v>
          </cell>
          <cell r="E450">
            <v>3</v>
          </cell>
          <cell r="F450">
            <v>563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</row>
        <row r="451">
          <cell r="B451" t="str">
            <v>Tampa, FL</v>
          </cell>
          <cell r="C451">
            <v>0</v>
          </cell>
          <cell r="D451">
            <v>0</v>
          </cell>
          <cell r="E451">
            <v>2</v>
          </cell>
          <cell r="F451">
            <v>623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</row>
        <row r="452">
          <cell r="B452" t="str">
            <v>Washington, DC</v>
          </cell>
          <cell r="C452">
            <v>1</v>
          </cell>
          <cell r="D452">
            <v>151</v>
          </cell>
          <cell r="E452">
            <v>5</v>
          </cell>
          <cell r="F452">
            <v>1266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5">
          <cell r="E25">
            <v>108539</v>
          </cell>
          <cell r="F25">
            <v>113417</v>
          </cell>
          <cell r="G25">
            <v>92229</v>
          </cell>
        </row>
      </sheetData>
      <sheetData sheetId="19" refreshError="1"/>
      <sheetData sheetId="2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.TXT"/>
      <sheetName val="COUNTY.TXT"/>
      <sheetName val="MARKET.TXT"/>
      <sheetName val="MGT.TXT"/>
      <sheetName val="MSA.TXT"/>
      <sheetName val="TRACT.TXT"/>
      <sheetName val="Misc Data"/>
    </sheetNames>
    <sheetDataSet>
      <sheetData sheetId="0">
        <row r="1">
          <cell r="A1">
            <v>4</v>
          </cell>
          <cell r="B1" t="str">
            <v>ABOTEL</v>
          </cell>
        </row>
        <row r="2">
          <cell r="A2">
            <v>5</v>
          </cell>
          <cell r="B2" t="str">
            <v>ABOU NAWAS</v>
          </cell>
        </row>
        <row r="3">
          <cell r="A3">
            <v>10</v>
          </cell>
          <cell r="B3" t="str">
            <v>ADAM'S MARK</v>
          </cell>
        </row>
        <row r="4">
          <cell r="A4">
            <v>20</v>
          </cell>
          <cell r="B4" t="str">
            <v>ADMIRAL BENBOW</v>
          </cell>
        </row>
        <row r="5">
          <cell r="A5">
            <v>22</v>
          </cell>
          <cell r="B5" t="str">
            <v>AKZENT HOTELS</v>
          </cell>
        </row>
        <row r="6">
          <cell r="A6">
            <v>23</v>
          </cell>
          <cell r="B6" t="str">
            <v>ALFA HOTELS</v>
          </cell>
        </row>
        <row r="7">
          <cell r="A7">
            <v>24</v>
          </cell>
          <cell r="B7" t="str">
            <v>ALLEGRO RESORTS</v>
          </cell>
        </row>
        <row r="8">
          <cell r="A8">
            <v>25</v>
          </cell>
          <cell r="B8" t="str">
            <v>ALLSTAR INN</v>
          </cell>
        </row>
        <row r="9">
          <cell r="A9">
            <v>30</v>
          </cell>
          <cell r="B9" t="str">
            <v>ALL SEASONS HOTELS</v>
          </cell>
        </row>
        <row r="10">
          <cell r="A10">
            <v>50</v>
          </cell>
          <cell r="B10" t="str">
            <v>AMBER HOTEL</v>
          </cell>
        </row>
        <row r="11">
          <cell r="A11">
            <v>60</v>
          </cell>
          <cell r="B11" t="str">
            <v>AMERICINN</v>
          </cell>
        </row>
        <row r="12">
          <cell r="A12">
            <v>70</v>
          </cell>
          <cell r="B12" t="str">
            <v>AMERIHOST</v>
          </cell>
        </row>
        <row r="13">
          <cell r="A13">
            <v>80</v>
          </cell>
          <cell r="B13" t="str">
            <v>AMERISUITES</v>
          </cell>
        </row>
        <row r="14">
          <cell r="A14">
            <v>81</v>
          </cell>
          <cell r="B14" t="str">
            <v>SUMNER/AMERISUITE</v>
          </cell>
        </row>
        <row r="15">
          <cell r="A15">
            <v>90</v>
          </cell>
          <cell r="B15" t="str">
            <v>AMFAC</v>
          </cell>
        </row>
        <row r="16">
          <cell r="A16">
            <v>92</v>
          </cell>
          <cell r="B16" t="str">
            <v>ARCANTIS HOTELS</v>
          </cell>
        </row>
        <row r="17">
          <cell r="A17">
            <v>93</v>
          </cell>
          <cell r="B17" t="str">
            <v>ARBORGATE</v>
          </cell>
        </row>
        <row r="18">
          <cell r="A18">
            <v>94</v>
          </cell>
          <cell r="B18" t="str">
            <v>ARISTOS HOTELS</v>
          </cell>
        </row>
        <row r="19">
          <cell r="A19">
            <v>95</v>
          </cell>
          <cell r="B19" t="str">
            <v>ASTON</v>
          </cell>
        </row>
        <row r="20">
          <cell r="A20">
            <v>96</v>
          </cell>
          <cell r="B20" t="str">
            <v>ASHLEY COURTENAY</v>
          </cell>
        </row>
        <row r="21">
          <cell r="A21">
            <v>97</v>
          </cell>
          <cell r="B21" t="str">
            <v>HOTEL DES GOUVERNEURS</v>
          </cell>
        </row>
        <row r="22">
          <cell r="A22">
            <v>98</v>
          </cell>
          <cell r="B22" t="str">
            <v>WANDLYN INN</v>
          </cell>
        </row>
        <row r="23">
          <cell r="A23">
            <v>99</v>
          </cell>
          <cell r="B23" t="str">
            <v>ASTRON HOTELS</v>
          </cell>
        </row>
        <row r="24">
          <cell r="A24">
            <v>100</v>
          </cell>
          <cell r="B24" t="str">
            <v>ENVOY INN</v>
          </cell>
        </row>
        <row r="25">
          <cell r="A25">
            <v>101</v>
          </cell>
          <cell r="B25" t="str">
            <v>ASHOK</v>
          </cell>
        </row>
        <row r="26">
          <cell r="A26">
            <v>102</v>
          </cell>
          <cell r="B26" t="str">
            <v>AUSTRALIS</v>
          </cell>
        </row>
        <row r="27">
          <cell r="A27">
            <v>103</v>
          </cell>
          <cell r="B27" t="str">
            <v>BALLADINS</v>
          </cell>
        </row>
        <row r="28">
          <cell r="A28">
            <v>105</v>
          </cell>
          <cell r="B28" t="str">
            <v>BALLY'S</v>
          </cell>
        </row>
        <row r="29">
          <cell r="A29">
            <v>108</v>
          </cell>
          <cell r="B29" t="str">
            <v>BAYVIEW INT'L HOTELS &amp; RESORTS</v>
          </cell>
        </row>
        <row r="30">
          <cell r="A30">
            <v>110</v>
          </cell>
          <cell r="B30" t="str">
            <v>BEST INNS</v>
          </cell>
        </row>
        <row r="31">
          <cell r="A31">
            <v>112</v>
          </cell>
          <cell r="B31" t="str">
            <v>BARCELO HOTELS</v>
          </cell>
        </row>
        <row r="32">
          <cell r="A32">
            <v>113</v>
          </cell>
          <cell r="B32" t="str">
            <v>BEST HOTELS</v>
          </cell>
        </row>
        <row r="33">
          <cell r="A33">
            <v>120</v>
          </cell>
          <cell r="B33" t="str">
            <v>BEST VALUE</v>
          </cell>
        </row>
        <row r="34">
          <cell r="A34">
            <v>130</v>
          </cell>
          <cell r="B34" t="str">
            <v>BEST WESTERN</v>
          </cell>
        </row>
        <row r="35">
          <cell r="A35">
            <v>132</v>
          </cell>
          <cell r="B35" t="str">
            <v>BETA HOTELS</v>
          </cell>
        </row>
        <row r="36">
          <cell r="A36">
            <v>140</v>
          </cell>
          <cell r="B36" t="str">
            <v>BILDERBERG</v>
          </cell>
        </row>
        <row r="37">
          <cell r="A37">
            <v>145</v>
          </cell>
          <cell r="B37" t="str">
            <v>BLEU MARINE</v>
          </cell>
        </row>
        <row r="38">
          <cell r="A38">
            <v>146</v>
          </cell>
          <cell r="B38" t="str">
            <v>BRADFORD HOMESUITES</v>
          </cell>
        </row>
        <row r="39">
          <cell r="A39">
            <v>147</v>
          </cell>
          <cell r="B39" t="str">
            <v>BONSAI HOTELS</v>
          </cell>
        </row>
        <row r="40">
          <cell r="A40">
            <v>150</v>
          </cell>
          <cell r="B40" t="str">
            <v>BUDGET HOST INN</v>
          </cell>
        </row>
        <row r="41">
          <cell r="A41">
            <v>160</v>
          </cell>
          <cell r="B41" t="str">
            <v>BUDGET INN</v>
          </cell>
        </row>
        <row r="42">
          <cell r="A42">
            <v>180</v>
          </cell>
          <cell r="B42" t="str">
            <v>BAYMONT INNS &amp; SUITES</v>
          </cell>
        </row>
        <row r="43">
          <cell r="A43">
            <v>185</v>
          </cell>
          <cell r="B43" t="str">
            <v>BOSCOLO HOTELS</v>
          </cell>
        </row>
        <row r="44">
          <cell r="A44">
            <v>190</v>
          </cell>
          <cell r="B44" t="str">
            <v>CAESARS</v>
          </cell>
        </row>
        <row r="45">
          <cell r="A45">
            <v>195</v>
          </cell>
          <cell r="B45" t="str">
            <v>CANDLEWOOD HOTEL</v>
          </cell>
        </row>
        <row r="46">
          <cell r="A46">
            <v>200</v>
          </cell>
          <cell r="B46" t="str">
            <v>CABOT LODGE</v>
          </cell>
        </row>
        <row r="47">
          <cell r="A47">
            <v>205</v>
          </cell>
          <cell r="B47" t="str">
            <v>CAMINO REAL</v>
          </cell>
        </row>
        <row r="48">
          <cell r="A48">
            <v>208</v>
          </cell>
          <cell r="B48" t="str">
            <v>CAMPANILE HOTEL</v>
          </cell>
        </row>
        <row r="49">
          <cell r="A49">
            <v>215</v>
          </cell>
          <cell r="B49" t="str">
            <v>CARLTON LODGE</v>
          </cell>
        </row>
        <row r="50">
          <cell r="A50">
            <v>217</v>
          </cell>
          <cell r="B50" t="str">
            <v>EUROPEAN CASTLE HOTELS</v>
          </cell>
        </row>
        <row r="51">
          <cell r="A51">
            <v>220</v>
          </cell>
          <cell r="B51" t="str">
            <v>CAVANAUGH'S</v>
          </cell>
        </row>
        <row r="52">
          <cell r="A52">
            <v>223</v>
          </cell>
          <cell r="B52" t="str">
            <v>CENTRA</v>
          </cell>
        </row>
        <row r="53">
          <cell r="A53">
            <v>225</v>
          </cell>
          <cell r="B53" t="str">
            <v>THE CHIFLEY</v>
          </cell>
        </row>
        <row r="54">
          <cell r="A54">
            <v>226</v>
          </cell>
          <cell r="B54" t="str">
            <v>CITY LODGE HOTELS GROUP</v>
          </cell>
        </row>
        <row r="55">
          <cell r="A55">
            <v>230</v>
          </cell>
          <cell r="B55" t="str">
            <v>CLARION</v>
          </cell>
        </row>
        <row r="56">
          <cell r="A56">
            <v>235</v>
          </cell>
          <cell r="B56" t="str">
            <v>CLUB MED</v>
          </cell>
        </row>
        <row r="57">
          <cell r="A57">
            <v>240</v>
          </cell>
          <cell r="B57" t="str">
            <v>CLUBHOUSE INNS OF AMERICA</v>
          </cell>
        </row>
        <row r="58">
          <cell r="A58">
            <v>265</v>
          </cell>
          <cell r="B58" t="str">
            <v>COAST</v>
          </cell>
        </row>
        <row r="59">
          <cell r="A59">
            <v>270</v>
          </cell>
          <cell r="B59" t="str">
            <v>COLONY</v>
          </cell>
        </row>
        <row r="60">
          <cell r="A60">
            <v>280</v>
          </cell>
          <cell r="B60" t="str">
            <v>COMFORT INN</v>
          </cell>
        </row>
        <row r="61">
          <cell r="A61">
            <v>282</v>
          </cell>
          <cell r="B61" t="str">
            <v>COMFORT SUITES</v>
          </cell>
        </row>
        <row r="62">
          <cell r="A62">
            <v>285</v>
          </cell>
          <cell r="B62" t="str">
            <v>CANADIAN PACIFIC</v>
          </cell>
        </row>
        <row r="63">
          <cell r="A63">
            <v>287</v>
          </cell>
          <cell r="B63" t="str">
            <v>CONCORDE HOTELS</v>
          </cell>
        </row>
        <row r="64">
          <cell r="A64">
            <v>290</v>
          </cell>
          <cell r="B64" t="str">
            <v>DOUBLETREE CLUB</v>
          </cell>
        </row>
        <row r="65">
          <cell r="A65">
            <v>291</v>
          </cell>
          <cell r="B65" t="str">
            <v>CLUB HOTEL BY DT</v>
          </cell>
        </row>
        <row r="66">
          <cell r="A66">
            <v>292</v>
          </cell>
          <cell r="B66" t="str">
            <v>CONFORTEL HOTELES</v>
          </cell>
        </row>
        <row r="67">
          <cell r="A67">
            <v>293</v>
          </cell>
          <cell r="B67" t="str">
            <v>CONLEY INN</v>
          </cell>
        </row>
        <row r="68">
          <cell r="A68">
            <v>295</v>
          </cell>
          <cell r="B68" t="str">
            <v>CONRAD</v>
          </cell>
        </row>
        <row r="69">
          <cell r="A69">
            <v>298</v>
          </cell>
          <cell r="B69" t="str">
            <v>CORINTHIA</v>
          </cell>
        </row>
        <row r="70">
          <cell r="A70">
            <v>300</v>
          </cell>
          <cell r="B70" t="str">
            <v>CONTINENTAL PLAZA</v>
          </cell>
        </row>
        <row r="71">
          <cell r="A71">
            <v>301</v>
          </cell>
          <cell r="B71" t="str">
            <v>CORALIA</v>
          </cell>
        </row>
        <row r="72">
          <cell r="A72">
            <v>302</v>
          </cell>
          <cell r="B72" t="str">
            <v>COPTHORNE HOTELS</v>
          </cell>
        </row>
        <row r="73">
          <cell r="A73">
            <v>303</v>
          </cell>
          <cell r="B73" t="str">
            <v>COUNTRY HOTELS</v>
          </cell>
        </row>
        <row r="74">
          <cell r="A74">
            <v>305</v>
          </cell>
          <cell r="B74" t="str">
            <v>COUNTRY HEARTH INN</v>
          </cell>
        </row>
        <row r="75">
          <cell r="A75">
            <v>306</v>
          </cell>
          <cell r="B75" t="str">
            <v>COUNTRY INN &amp; SUITES</v>
          </cell>
        </row>
        <row r="76">
          <cell r="A76">
            <v>307</v>
          </cell>
          <cell r="B76" t="str">
            <v>COUNTRY COMFORT</v>
          </cell>
        </row>
        <row r="77">
          <cell r="A77">
            <v>308</v>
          </cell>
          <cell r="B77" t="str">
            <v>COURTYARD</v>
          </cell>
        </row>
        <row r="78">
          <cell r="A78">
            <v>309</v>
          </cell>
          <cell r="B78" t="str">
            <v>GARDEN INN</v>
          </cell>
        </row>
        <row r="79">
          <cell r="A79">
            <v>310</v>
          </cell>
          <cell r="B79" t="str">
            <v>CRICKET INN</v>
          </cell>
        </row>
        <row r="80">
          <cell r="A80">
            <v>315</v>
          </cell>
          <cell r="B80" t="str">
            <v>CROSS COUNTRY INN</v>
          </cell>
        </row>
        <row r="81">
          <cell r="A81">
            <v>317</v>
          </cell>
          <cell r="B81" t="str">
            <v>CROSSLAND SUITES</v>
          </cell>
        </row>
        <row r="82">
          <cell r="A82">
            <v>330</v>
          </cell>
          <cell r="B82" t="str">
            <v>CROWNE PLAZA</v>
          </cell>
        </row>
        <row r="83">
          <cell r="A83">
            <v>333</v>
          </cell>
          <cell r="B83" t="str">
            <v>CUMULUS</v>
          </cell>
        </row>
        <row r="84">
          <cell r="A84">
            <v>335</v>
          </cell>
          <cell r="B84" t="str">
            <v>CYPRESS INN</v>
          </cell>
        </row>
        <row r="85">
          <cell r="A85">
            <v>337</v>
          </cell>
          <cell r="B85" t="str">
            <v>DAI-ICHI</v>
          </cell>
        </row>
        <row r="86">
          <cell r="A86">
            <v>338</v>
          </cell>
          <cell r="B86" t="str">
            <v>DAN HOTELS</v>
          </cell>
        </row>
        <row r="87">
          <cell r="A87">
            <v>340</v>
          </cell>
          <cell r="B87" t="str">
            <v>DAVIS BROS MOTOR LODGE</v>
          </cell>
        </row>
        <row r="88">
          <cell r="A88">
            <v>350</v>
          </cell>
          <cell r="B88" t="str">
            <v>DAYS INN</v>
          </cell>
        </row>
        <row r="89">
          <cell r="A89">
            <v>355</v>
          </cell>
          <cell r="B89" t="str">
            <v>DELTA HOTELS</v>
          </cell>
        </row>
        <row r="90">
          <cell r="A90">
            <v>357</v>
          </cell>
          <cell r="B90" t="str">
            <v>DELFIN HOTELS</v>
          </cell>
        </row>
        <row r="91">
          <cell r="A91">
            <v>358</v>
          </cell>
          <cell r="B91" t="str">
            <v>DE VERE HOTELS</v>
          </cell>
        </row>
        <row r="92">
          <cell r="A92">
            <v>360</v>
          </cell>
          <cell r="B92" t="str">
            <v>DILLON INN</v>
          </cell>
        </row>
        <row r="93">
          <cell r="A93">
            <v>370</v>
          </cell>
          <cell r="B93" t="str">
            <v>DORAL</v>
          </cell>
        </row>
        <row r="94">
          <cell r="A94">
            <v>375</v>
          </cell>
          <cell r="B94" t="str">
            <v>DORINT HOTELS</v>
          </cell>
        </row>
        <row r="95">
          <cell r="A95">
            <v>380</v>
          </cell>
          <cell r="B95" t="str">
            <v>DOUBLETREE HOTELS</v>
          </cell>
        </row>
        <row r="96">
          <cell r="A96">
            <v>390</v>
          </cell>
          <cell r="B96" t="str">
            <v>DOWNTOWNER MOTOR INN</v>
          </cell>
        </row>
        <row r="97">
          <cell r="A97">
            <v>400</v>
          </cell>
          <cell r="B97" t="str">
            <v>DRURY INN</v>
          </cell>
        </row>
        <row r="98">
          <cell r="A98">
            <v>405</v>
          </cell>
          <cell r="B98" t="str">
            <v>DUNFEY</v>
          </cell>
        </row>
        <row r="99">
          <cell r="A99">
            <v>407</v>
          </cell>
          <cell r="B99" t="str">
            <v>THE DUSIT THANI GROUP</v>
          </cell>
        </row>
        <row r="100">
          <cell r="A100">
            <v>410</v>
          </cell>
          <cell r="B100" t="str">
            <v>E-Z 8</v>
          </cell>
        </row>
        <row r="101">
          <cell r="A101">
            <v>440</v>
          </cell>
          <cell r="B101" t="str">
            <v>ECONO LODGE</v>
          </cell>
        </row>
        <row r="102">
          <cell r="A102">
            <v>445</v>
          </cell>
          <cell r="B102" t="str">
            <v>INNS OF AMERICA</v>
          </cell>
        </row>
        <row r="103">
          <cell r="A103">
            <v>448</v>
          </cell>
          <cell r="B103" t="str">
            <v>ELYSEES WEST HOTELS</v>
          </cell>
        </row>
        <row r="104">
          <cell r="A104">
            <v>450</v>
          </cell>
          <cell r="B104" t="str">
            <v>EMBASSY SUITES</v>
          </cell>
        </row>
        <row r="105">
          <cell r="A105">
            <v>455</v>
          </cell>
          <cell r="B105" t="str">
            <v>EMBASSY VACATION RESORTS</v>
          </cell>
        </row>
        <row r="106">
          <cell r="A106">
            <v>459</v>
          </cell>
          <cell r="B106" t="str">
            <v>HOTEL EQUATORIAL</v>
          </cell>
        </row>
        <row r="107">
          <cell r="A107">
            <v>465</v>
          </cell>
          <cell r="B107" t="str">
            <v>ETAP HOTEL</v>
          </cell>
        </row>
        <row r="108">
          <cell r="A108">
            <v>480</v>
          </cell>
          <cell r="B108" t="str">
            <v>EXEL INN</v>
          </cell>
        </row>
        <row r="109">
          <cell r="A109">
            <v>483</v>
          </cell>
          <cell r="B109" t="str">
            <v>EXTENDED STAY AMERICA</v>
          </cell>
        </row>
        <row r="110">
          <cell r="A110">
            <v>485</v>
          </cell>
          <cell r="B110" t="str">
            <v>FAIRFIELD INN</v>
          </cell>
        </row>
        <row r="111">
          <cell r="A111">
            <v>490</v>
          </cell>
          <cell r="B111" t="str">
            <v>FAIRMONT HOTEL</v>
          </cell>
        </row>
        <row r="112">
          <cell r="A112">
            <v>495</v>
          </cell>
          <cell r="B112" t="str">
            <v>FASTHOTEL</v>
          </cell>
        </row>
        <row r="113">
          <cell r="A113">
            <v>498</v>
          </cell>
          <cell r="B113" t="str">
            <v>FAMILIA HOTELS</v>
          </cell>
        </row>
        <row r="114">
          <cell r="A114">
            <v>500</v>
          </cell>
          <cell r="B114" t="str">
            <v>FAMILY INNS OF AMERICA</v>
          </cell>
        </row>
        <row r="115">
          <cell r="A115">
            <v>501</v>
          </cell>
          <cell r="B115" t="str">
            <v>FIESTA HOTELS</v>
          </cell>
        </row>
        <row r="116">
          <cell r="A116">
            <v>502</v>
          </cell>
          <cell r="B116" t="str">
            <v>FIESTA AMERICANA</v>
          </cell>
        </row>
        <row r="117">
          <cell r="A117">
            <v>503</v>
          </cell>
          <cell r="B117" t="str">
            <v>FIESTA INN</v>
          </cell>
        </row>
        <row r="118">
          <cell r="A118">
            <v>504</v>
          </cell>
          <cell r="B118" t="str">
            <v>FIRST</v>
          </cell>
        </row>
        <row r="119">
          <cell r="A119">
            <v>505</v>
          </cell>
          <cell r="B119" t="str">
            <v>FLAG INNS</v>
          </cell>
        </row>
        <row r="120">
          <cell r="A120">
            <v>506</v>
          </cell>
          <cell r="B120" t="str">
            <v>FORTE</v>
          </cell>
        </row>
        <row r="121">
          <cell r="A121">
            <v>507</v>
          </cell>
          <cell r="B121" t="str">
            <v>FORUM HOTELS</v>
          </cell>
        </row>
        <row r="122">
          <cell r="A122">
            <v>508</v>
          </cell>
          <cell r="B122" t="str">
            <v>FOUR POINTS</v>
          </cell>
        </row>
        <row r="123">
          <cell r="A123">
            <v>510</v>
          </cell>
          <cell r="B123" t="str">
            <v>FOUR SEASONS</v>
          </cell>
        </row>
        <row r="124">
          <cell r="A124">
            <v>515</v>
          </cell>
          <cell r="B124" t="str">
            <v>FLAIR HOTELS</v>
          </cell>
        </row>
        <row r="125">
          <cell r="A125">
            <v>520</v>
          </cell>
          <cell r="B125" t="str">
            <v>FRIENDSHIP INN</v>
          </cell>
        </row>
        <row r="126">
          <cell r="A126">
            <v>523</v>
          </cell>
          <cell r="B126" t="str">
            <v>FRANTOUR</v>
          </cell>
        </row>
        <row r="127">
          <cell r="A127">
            <v>524</v>
          </cell>
          <cell r="B127" t="str">
            <v>G.S.M. HOTELES</v>
          </cell>
        </row>
        <row r="128">
          <cell r="A128">
            <v>525</v>
          </cell>
          <cell r="B128" t="str">
            <v>GARDEN PLAZA</v>
          </cell>
        </row>
        <row r="129">
          <cell r="A129">
            <v>530</v>
          </cell>
          <cell r="B129" t="str">
            <v>GEORGE WASHINGTON LODGE</v>
          </cell>
        </row>
        <row r="130">
          <cell r="A130">
            <v>542</v>
          </cell>
          <cell r="B130" t="str">
            <v>GOLDEN CHAIN MOTOR INNS LTD</v>
          </cell>
        </row>
        <row r="131">
          <cell r="A131">
            <v>545</v>
          </cell>
          <cell r="B131" t="str">
            <v>GOLDEN TULIP</v>
          </cell>
        </row>
        <row r="132">
          <cell r="A132">
            <v>548</v>
          </cell>
          <cell r="B132" t="str">
            <v>GOOD NITE INN</v>
          </cell>
        </row>
        <row r="133">
          <cell r="A133">
            <v>550</v>
          </cell>
          <cell r="B133" t="str">
            <v>GOVERNORS INN</v>
          </cell>
        </row>
        <row r="134">
          <cell r="A134">
            <v>560</v>
          </cell>
          <cell r="B134" t="str">
            <v>GREAT WESTERN</v>
          </cell>
        </row>
        <row r="135">
          <cell r="A135">
            <v>565</v>
          </cell>
          <cell r="B135" t="str">
            <v>GRECOTEL SA</v>
          </cell>
        </row>
        <row r="136">
          <cell r="A136">
            <v>575</v>
          </cell>
          <cell r="B136" t="str">
            <v>GUESTHOUSE INNS</v>
          </cell>
        </row>
        <row r="137">
          <cell r="A137">
            <v>580</v>
          </cell>
          <cell r="B137" t="str">
            <v>DOUBLETREE GUEST STE</v>
          </cell>
        </row>
        <row r="138">
          <cell r="A138">
            <v>588</v>
          </cell>
          <cell r="B138" t="str">
            <v>H10 HOTELS</v>
          </cell>
        </row>
        <row r="139">
          <cell r="A139">
            <v>590</v>
          </cell>
          <cell r="B139" t="str">
            <v>HA' PENNY</v>
          </cell>
        </row>
        <row r="140">
          <cell r="A140">
            <v>610</v>
          </cell>
          <cell r="B140" t="str">
            <v>HAMPTON INN</v>
          </cell>
        </row>
        <row r="141">
          <cell r="A141">
            <v>611</v>
          </cell>
          <cell r="B141" t="str">
            <v>HAMPTON INN SUITES</v>
          </cell>
        </row>
        <row r="142">
          <cell r="A142">
            <v>620</v>
          </cell>
          <cell r="B142" t="str">
            <v>HANKYU HOTEL CHAIN</v>
          </cell>
        </row>
        <row r="143">
          <cell r="A143">
            <v>630</v>
          </cell>
          <cell r="B143" t="str">
            <v>HARLEY HOTEL</v>
          </cell>
        </row>
        <row r="144">
          <cell r="A144">
            <v>640</v>
          </cell>
          <cell r="B144" t="str">
            <v>HARRAH'S</v>
          </cell>
        </row>
        <row r="145">
          <cell r="A145">
            <v>642</v>
          </cell>
          <cell r="B145" t="str">
            <v>HARVEY HOTEL</v>
          </cell>
        </row>
        <row r="146">
          <cell r="A146">
            <v>643</v>
          </cell>
          <cell r="B146" t="str">
            <v>HASTING HOTELS</v>
          </cell>
        </row>
        <row r="147">
          <cell r="A147">
            <v>644</v>
          </cell>
          <cell r="B147" t="str">
            <v>HAWTHORN SUITES</v>
          </cell>
        </row>
        <row r="148">
          <cell r="A148">
            <v>645</v>
          </cell>
          <cell r="B148" t="str">
            <v>HELMSLEY HOTEL</v>
          </cell>
        </row>
        <row r="149">
          <cell r="A149">
            <v>646</v>
          </cell>
          <cell r="B149" t="str">
            <v>HAWTHORN INN &amp; SUITES</v>
          </cell>
        </row>
        <row r="150">
          <cell r="A150">
            <v>647</v>
          </cell>
          <cell r="B150" t="str">
            <v>HEARTLAND</v>
          </cell>
        </row>
        <row r="151">
          <cell r="A151">
            <v>648</v>
          </cell>
          <cell r="B151" t="str">
            <v>HAWTHORN SUITES LTD</v>
          </cell>
        </row>
        <row r="152">
          <cell r="A152">
            <v>660</v>
          </cell>
          <cell r="B152" t="str">
            <v>HESPERIA HOTELES</v>
          </cell>
        </row>
        <row r="153">
          <cell r="A153">
            <v>670</v>
          </cell>
          <cell r="B153" t="str">
            <v>HILTON</v>
          </cell>
        </row>
        <row r="154">
          <cell r="A154">
            <v>672</v>
          </cell>
          <cell r="B154" t="str">
            <v>HILTON EXCLUSIONS</v>
          </cell>
        </row>
        <row r="155">
          <cell r="A155">
            <v>673</v>
          </cell>
          <cell r="B155" t="str">
            <v>HILTON GAMING</v>
          </cell>
        </row>
        <row r="156">
          <cell r="A156">
            <v>675</v>
          </cell>
          <cell r="B156" t="str">
            <v>HILTON INN</v>
          </cell>
        </row>
        <row r="157">
          <cell r="A157">
            <v>678</v>
          </cell>
          <cell r="B157" t="str">
            <v>HOWARD JOHNSON EXPRESS INN</v>
          </cell>
        </row>
        <row r="158">
          <cell r="A158">
            <v>680</v>
          </cell>
          <cell r="B158" t="str">
            <v>HOLIDAY INN</v>
          </cell>
        </row>
        <row r="159">
          <cell r="A159">
            <v>681</v>
          </cell>
          <cell r="B159" t="str">
            <v>HOLIDAY INN SELECT</v>
          </cell>
        </row>
        <row r="160">
          <cell r="A160">
            <v>682</v>
          </cell>
          <cell r="B160" t="str">
            <v>HOLIDAY INN GARDEN COURT</v>
          </cell>
        </row>
        <row r="161">
          <cell r="A161">
            <v>683</v>
          </cell>
          <cell r="B161" t="str">
            <v>HOLIDAY INN EXPRESS</v>
          </cell>
        </row>
        <row r="162">
          <cell r="A162">
            <v>684</v>
          </cell>
          <cell r="B162" t="str">
            <v>HOMETOWN INN</v>
          </cell>
        </row>
        <row r="163">
          <cell r="A163">
            <v>685</v>
          </cell>
          <cell r="B163" t="str">
            <v>HOMEWOOD SUITES</v>
          </cell>
        </row>
        <row r="164">
          <cell r="A164">
            <v>686</v>
          </cell>
          <cell r="B164" t="str">
            <v>HOMEGATE</v>
          </cell>
        </row>
        <row r="165">
          <cell r="A165">
            <v>687</v>
          </cell>
          <cell r="B165" t="str">
            <v>HOMESTEAD STUDIO SUITES</v>
          </cell>
        </row>
        <row r="166">
          <cell r="A166">
            <v>689</v>
          </cell>
          <cell r="B166" t="str">
            <v>HOTEL CLARINE</v>
          </cell>
        </row>
        <row r="167">
          <cell r="A167">
            <v>690</v>
          </cell>
          <cell r="B167" t="str">
            <v>HOTEL CLIMAT</v>
          </cell>
        </row>
        <row r="168">
          <cell r="A168">
            <v>692</v>
          </cell>
          <cell r="B168" t="str">
            <v>HOTEL EDDA</v>
          </cell>
        </row>
        <row r="169">
          <cell r="A169">
            <v>693</v>
          </cell>
          <cell r="B169" t="str">
            <v>HOTEL FORMULE 1</v>
          </cell>
        </row>
        <row r="170">
          <cell r="A170">
            <v>694</v>
          </cell>
          <cell r="B170" t="str">
            <v>HOTEL GRAND</v>
          </cell>
        </row>
        <row r="171">
          <cell r="A171">
            <v>695</v>
          </cell>
          <cell r="B171" t="str">
            <v>HOTEIS OTHON</v>
          </cell>
        </row>
        <row r="172">
          <cell r="A172">
            <v>696</v>
          </cell>
          <cell r="B172" t="str">
            <v>HOTEL HUSA</v>
          </cell>
        </row>
        <row r="173">
          <cell r="A173">
            <v>700</v>
          </cell>
          <cell r="B173" t="str">
            <v>HOTEL IBIS</v>
          </cell>
        </row>
        <row r="174">
          <cell r="A174">
            <v>705</v>
          </cell>
          <cell r="B174" t="str">
            <v>HILTON INTERNATIONAL</v>
          </cell>
        </row>
        <row r="175">
          <cell r="A175">
            <v>710</v>
          </cell>
          <cell r="B175" t="str">
            <v>HOTEL LUXEFORD</v>
          </cell>
        </row>
        <row r="176">
          <cell r="A176">
            <v>715</v>
          </cell>
          <cell r="B176" t="str">
            <v>HILTON NATIONAL</v>
          </cell>
        </row>
        <row r="177">
          <cell r="A177">
            <v>720</v>
          </cell>
          <cell r="B177" t="str">
            <v>HOTEL NOVOTEL</v>
          </cell>
        </row>
        <row r="178">
          <cell r="A178">
            <v>724</v>
          </cell>
          <cell r="B178" t="str">
            <v>HOTEL OCCIDENTAL</v>
          </cell>
        </row>
        <row r="179">
          <cell r="A179">
            <v>727</v>
          </cell>
          <cell r="B179" t="str">
            <v>HOTEL PREMIERE CLASSE</v>
          </cell>
        </row>
        <row r="180">
          <cell r="A180">
            <v>730</v>
          </cell>
          <cell r="B180" t="str">
            <v>HOTEL SOFITEL</v>
          </cell>
        </row>
        <row r="181">
          <cell r="A181">
            <v>732</v>
          </cell>
          <cell r="B181" t="str">
            <v>HOTEL SUNROUTE</v>
          </cell>
        </row>
        <row r="182">
          <cell r="A182">
            <v>735</v>
          </cell>
          <cell r="B182" t="str">
            <v>HOTELES VISTA</v>
          </cell>
        </row>
        <row r="183">
          <cell r="A183">
            <v>738</v>
          </cell>
          <cell r="B183" t="str">
            <v>HOTUSA HOTELS</v>
          </cell>
        </row>
        <row r="184">
          <cell r="A184">
            <v>740</v>
          </cell>
          <cell r="B184" t="str">
            <v>HOWARD JOHNSON</v>
          </cell>
        </row>
        <row r="185">
          <cell r="A185">
            <v>750</v>
          </cell>
          <cell r="B185" t="str">
            <v>HUNGARHOTELS</v>
          </cell>
        </row>
        <row r="186">
          <cell r="A186">
            <v>752</v>
          </cell>
          <cell r="B186" t="str">
            <v>HUNGUEST</v>
          </cell>
        </row>
        <row r="187">
          <cell r="A187">
            <v>760</v>
          </cell>
          <cell r="B187" t="str">
            <v>HYATT</v>
          </cell>
        </row>
        <row r="188">
          <cell r="A188">
            <v>764</v>
          </cell>
          <cell r="B188" t="str">
            <v>IBEROSTAR</v>
          </cell>
        </row>
        <row r="189">
          <cell r="A189">
            <v>766</v>
          </cell>
          <cell r="B189" t="str">
            <v>ILOTEL</v>
          </cell>
        </row>
        <row r="190">
          <cell r="A190">
            <v>768</v>
          </cell>
          <cell r="B190" t="str">
            <v>IMPERIAL HOTELS GROUP</v>
          </cell>
        </row>
        <row r="191">
          <cell r="A191">
            <v>770</v>
          </cell>
          <cell r="B191" t="str">
            <v>IMPERIAL INNS</v>
          </cell>
        </row>
        <row r="192">
          <cell r="A192">
            <v>780</v>
          </cell>
          <cell r="B192" t="str">
            <v>INNKEEPER</v>
          </cell>
        </row>
        <row r="193">
          <cell r="A193">
            <v>785</v>
          </cell>
          <cell r="B193" t="str">
            <v>INNCAL</v>
          </cell>
        </row>
        <row r="194">
          <cell r="A194">
            <v>790</v>
          </cell>
          <cell r="B194" t="str">
            <v>INNSUITES HOTELS</v>
          </cell>
        </row>
        <row r="195">
          <cell r="A195">
            <v>795</v>
          </cell>
          <cell r="B195" t="str">
            <v>INN TOWN SUITES</v>
          </cell>
        </row>
        <row r="196">
          <cell r="A196">
            <v>798</v>
          </cell>
          <cell r="B196" t="str">
            <v>INTERCITYHOTEL</v>
          </cell>
        </row>
        <row r="197">
          <cell r="A197">
            <v>800</v>
          </cell>
          <cell r="B197" t="str">
            <v>INTER-CONTINENTAL</v>
          </cell>
        </row>
        <row r="198">
          <cell r="A198">
            <v>802</v>
          </cell>
          <cell r="B198" t="str">
            <v>INTER DAN HOTELS</v>
          </cell>
        </row>
        <row r="199">
          <cell r="A199">
            <v>805</v>
          </cell>
          <cell r="B199" t="str">
            <v>INTER HOTEL</v>
          </cell>
        </row>
        <row r="200">
          <cell r="A200">
            <v>810</v>
          </cell>
          <cell r="B200" t="str">
            <v>INTERSTATE INN</v>
          </cell>
        </row>
        <row r="201">
          <cell r="A201">
            <v>815</v>
          </cell>
          <cell r="B201" t="str">
            <v>ISROTEL</v>
          </cell>
        </row>
        <row r="202">
          <cell r="A202">
            <v>819</v>
          </cell>
          <cell r="B202" t="str">
            <v>JARDIN</v>
          </cell>
        </row>
        <row r="203">
          <cell r="A203">
            <v>821</v>
          </cell>
          <cell r="B203" t="str">
            <v>JARVIS HOTELS</v>
          </cell>
        </row>
        <row r="204">
          <cell r="A204">
            <v>822</v>
          </cell>
          <cell r="B204" t="str">
            <v>JAMESON INN</v>
          </cell>
        </row>
        <row r="205">
          <cell r="A205">
            <v>823</v>
          </cell>
          <cell r="B205" t="str">
            <v>JOLLY HOTELS</v>
          </cell>
        </row>
        <row r="206">
          <cell r="A206">
            <v>824</v>
          </cell>
          <cell r="B206" t="str">
            <v>JOURNEY'S END HOTEL</v>
          </cell>
        </row>
        <row r="207">
          <cell r="A207">
            <v>825</v>
          </cell>
          <cell r="B207" t="str">
            <v>JOURNEY'S END MOTEL</v>
          </cell>
        </row>
        <row r="208">
          <cell r="A208">
            <v>826</v>
          </cell>
          <cell r="B208" t="str">
            <v>JOURNEY'S END SUITES</v>
          </cell>
        </row>
        <row r="209">
          <cell r="A209">
            <v>828</v>
          </cell>
          <cell r="B209" t="str">
            <v>JURYS HOTELS</v>
          </cell>
        </row>
        <row r="210">
          <cell r="A210">
            <v>829</v>
          </cell>
          <cell r="B210" t="str">
            <v>KAROS HOTELS LTD.</v>
          </cell>
        </row>
        <row r="211">
          <cell r="A211">
            <v>830</v>
          </cell>
          <cell r="B211" t="str">
            <v>KEDDY'S MOTOR INN</v>
          </cell>
        </row>
        <row r="212">
          <cell r="A212">
            <v>832</v>
          </cell>
          <cell r="B212" t="str">
            <v>KEY WEST INN</v>
          </cell>
        </row>
        <row r="213">
          <cell r="A213">
            <v>834</v>
          </cell>
          <cell r="B213" t="str">
            <v>KEY WEST INNS &amp; SUITES</v>
          </cell>
        </row>
        <row r="214">
          <cell r="A214">
            <v>835</v>
          </cell>
          <cell r="B214" t="str">
            <v>KINGS INN</v>
          </cell>
        </row>
        <row r="215">
          <cell r="A215">
            <v>836</v>
          </cell>
          <cell r="B215" t="str">
            <v>KIBBUTZ HOTELS</v>
          </cell>
        </row>
        <row r="216">
          <cell r="A216">
            <v>840</v>
          </cell>
          <cell r="B216" t="str">
            <v>KNIGHTS INN</v>
          </cell>
        </row>
        <row r="217">
          <cell r="A217">
            <v>850</v>
          </cell>
          <cell r="B217" t="str">
            <v>KOALA INN</v>
          </cell>
        </row>
        <row r="218">
          <cell r="A218">
            <v>855</v>
          </cell>
          <cell r="B218" t="str">
            <v>KRYSTAL</v>
          </cell>
        </row>
        <row r="219">
          <cell r="A219">
            <v>860</v>
          </cell>
          <cell r="B219" t="str">
            <v>L-K MOTEL</v>
          </cell>
        </row>
        <row r="220">
          <cell r="A220">
            <v>880</v>
          </cell>
          <cell r="B220" t="str">
            <v>LA QUINTA</v>
          </cell>
        </row>
        <row r="221">
          <cell r="A221">
            <v>885</v>
          </cell>
          <cell r="B221" t="str">
            <v>LEE'S INN OF AMERICA</v>
          </cell>
        </row>
        <row r="222">
          <cell r="A222">
            <v>900</v>
          </cell>
          <cell r="B222" t="str">
            <v>LEXINGTON HOTEL SUITES</v>
          </cell>
        </row>
        <row r="223">
          <cell r="A223">
            <v>908</v>
          </cell>
          <cell r="B223" t="str">
            <v>LIBERTEL</v>
          </cell>
        </row>
        <row r="224">
          <cell r="A224">
            <v>909</v>
          </cell>
          <cell r="B224" t="str">
            <v>LINDNER HOTELS INC.</v>
          </cell>
        </row>
        <row r="225">
          <cell r="A225">
            <v>910</v>
          </cell>
          <cell r="B225" t="str">
            <v>LITTLE AMERICA</v>
          </cell>
        </row>
        <row r="226">
          <cell r="A226">
            <v>930</v>
          </cell>
          <cell r="B226" t="str">
            <v>LOEWS</v>
          </cell>
        </row>
        <row r="227">
          <cell r="A227">
            <v>940</v>
          </cell>
          <cell r="B227" t="str">
            <v>LUXURY BUDGET</v>
          </cell>
        </row>
        <row r="228">
          <cell r="A228">
            <v>945</v>
          </cell>
          <cell r="B228" t="str">
            <v>LUXURY COLLECTION</v>
          </cell>
        </row>
        <row r="229">
          <cell r="A229">
            <v>950</v>
          </cell>
          <cell r="B229" t="str">
            <v>MAEVA</v>
          </cell>
        </row>
        <row r="230">
          <cell r="A230">
            <v>955</v>
          </cell>
          <cell r="B230" t="str">
            <v>MAINSTAY SUITES</v>
          </cell>
        </row>
        <row r="231">
          <cell r="A231">
            <v>963</v>
          </cell>
          <cell r="B231" t="str">
            <v>MALMAISON</v>
          </cell>
        </row>
        <row r="232">
          <cell r="A232">
            <v>970</v>
          </cell>
          <cell r="B232" t="str">
            <v>MANOTEL</v>
          </cell>
        </row>
        <row r="233">
          <cell r="A233">
            <v>972</v>
          </cell>
          <cell r="B233" t="str">
            <v>MARC</v>
          </cell>
        </row>
        <row r="234">
          <cell r="A234">
            <v>985</v>
          </cell>
          <cell r="B234" t="str">
            <v>MARITIM</v>
          </cell>
        </row>
        <row r="235">
          <cell r="A235">
            <v>990</v>
          </cell>
          <cell r="B235" t="str">
            <v>MARRIOTT</v>
          </cell>
        </row>
        <row r="236">
          <cell r="A236">
            <v>991</v>
          </cell>
          <cell r="B236" t="str">
            <v>MARRIOTT INTERNATIONAL</v>
          </cell>
        </row>
        <row r="237">
          <cell r="A237">
            <v>992</v>
          </cell>
          <cell r="B237" t="str">
            <v>MARRIOTT CONFERENCE CENTER</v>
          </cell>
        </row>
        <row r="238">
          <cell r="A238">
            <v>1000</v>
          </cell>
          <cell r="B238" t="str">
            <v>MASTER HOSTS INN</v>
          </cell>
        </row>
        <row r="239">
          <cell r="A239">
            <v>1004</v>
          </cell>
          <cell r="B239" t="str">
            <v>PARADISE HOTELS</v>
          </cell>
        </row>
        <row r="240">
          <cell r="A240">
            <v>1005</v>
          </cell>
          <cell r="B240" t="str">
            <v>MASTERS INN</v>
          </cell>
        </row>
        <row r="241">
          <cell r="A241">
            <v>1010</v>
          </cell>
          <cell r="B241" t="str">
            <v>MCINTOSH MOTOR INN</v>
          </cell>
        </row>
        <row r="242">
          <cell r="A242">
            <v>1013</v>
          </cell>
          <cell r="B242" t="str">
            <v>MEDOTELS</v>
          </cell>
        </row>
        <row r="243">
          <cell r="A243">
            <v>1015</v>
          </cell>
          <cell r="B243" t="str">
            <v>MELIA</v>
          </cell>
        </row>
        <row r="244">
          <cell r="A244">
            <v>1020</v>
          </cell>
          <cell r="B244" t="str">
            <v>LE MERIDIEN</v>
          </cell>
        </row>
        <row r="245">
          <cell r="A245">
            <v>1025</v>
          </cell>
          <cell r="B245" t="str">
            <v>MERCURE HOTELS</v>
          </cell>
        </row>
        <row r="246">
          <cell r="A246">
            <v>1030</v>
          </cell>
          <cell r="B246" t="str">
            <v>MICROTEL INN</v>
          </cell>
        </row>
        <row r="247">
          <cell r="A247">
            <v>1040</v>
          </cell>
          <cell r="B247" t="str">
            <v>MIDWAY MOTOR LODGE</v>
          </cell>
        </row>
        <row r="248">
          <cell r="A248">
            <v>1045</v>
          </cell>
          <cell r="B248" t="str">
            <v>MILLENNIUM HOTELS</v>
          </cell>
        </row>
        <row r="249">
          <cell r="A249">
            <v>1052</v>
          </cell>
          <cell r="B249" t="str">
            <v>MINOTEL INTERNATIONAL</v>
          </cell>
        </row>
        <row r="250">
          <cell r="A250">
            <v>1053</v>
          </cell>
          <cell r="B250" t="str">
            <v>MOAT HOUSE</v>
          </cell>
        </row>
        <row r="251">
          <cell r="A251">
            <v>1055</v>
          </cell>
          <cell r="B251" t="str">
            <v>MOTEL ORLEANS</v>
          </cell>
        </row>
        <row r="252">
          <cell r="A252">
            <v>1060</v>
          </cell>
          <cell r="B252" t="str">
            <v>MOTEL 6</v>
          </cell>
        </row>
        <row r="253">
          <cell r="A253">
            <v>1062</v>
          </cell>
          <cell r="B253" t="str">
            <v>MOUNT CHARLOTTE HOTELS</v>
          </cell>
        </row>
        <row r="254">
          <cell r="A254">
            <v>1064</v>
          </cell>
          <cell r="B254" t="str">
            <v>MOEVENPICK</v>
          </cell>
        </row>
        <row r="255">
          <cell r="A255">
            <v>1065</v>
          </cell>
          <cell r="B255" t="str">
            <v>NATIONAL 9</v>
          </cell>
        </row>
        <row r="256">
          <cell r="A256">
            <v>1070</v>
          </cell>
          <cell r="B256" t="str">
            <v>NENDELS</v>
          </cell>
        </row>
        <row r="257">
          <cell r="A257">
            <v>1071</v>
          </cell>
          <cell r="B257" t="str">
            <v>NEW HOTEL</v>
          </cell>
        </row>
        <row r="258">
          <cell r="A258">
            <v>1072</v>
          </cell>
          <cell r="B258" t="str">
            <v>NEW OTANI HOTELS, THE</v>
          </cell>
        </row>
        <row r="259">
          <cell r="A259">
            <v>1073</v>
          </cell>
          <cell r="B259" t="str">
            <v>NEW WORLD</v>
          </cell>
        </row>
        <row r="260">
          <cell r="A260">
            <v>1074</v>
          </cell>
          <cell r="B260" t="str">
            <v>NH HOTELS</v>
          </cell>
        </row>
        <row r="261">
          <cell r="A261">
            <v>1075</v>
          </cell>
          <cell r="B261" t="str">
            <v>NIKKO</v>
          </cell>
        </row>
        <row r="262">
          <cell r="A262">
            <v>1076</v>
          </cell>
          <cell r="B262" t="str">
            <v>NORLANDIA HOTELLENE</v>
          </cell>
        </row>
        <row r="263">
          <cell r="A263">
            <v>1077</v>
          </cell>
          <cell r="B263" t="str">
            <v>NUIT D'HOTEL</v>
          </cell>
        </row>
        <row r="264">
          <cell r="A264">
            <v>1078</v>
          </cell>
          <cell r="B264" t="str">
            <v>OBEROI HOTELS</v>
          </cell>
        </row>
        <row r="265">
          <cell r="A265">
            <v>1080</v>
          </cell>
          <cell r="B265" t="str">
            <v>OMNI</v>
          </cell>
        </row>
        <row r="266">
          <cell r="A266">
            <v>1082</v>
          </cell>
          <cell r="B266" t="str">
            <v>OHANA HOTELS</v>
          </cell>
        </row>
        <row r="267">
          <cell r="A267">
            <v>1087</v>
          </cell>
          <cell r="B267" t="str">
            <v>PARADISUS RESORTS</v>
          </cell>
        </row>
        <row r="268">
          <cell r="A268">
            <v>1088</v>
          </cell>
          <cell r="B268" t="str">
            <v>PANNONIA</v>
          </cell>
        </row>
        <row r="269">
          <cell r="A269">
            <v>1090</v>
          </cell>
          <cell r="B269" t="str">
            <v>OUTRIGGER</v>
          </cell>
        </row>
        <row r="270">
          <cell r="A270">
            <v>1091</v>
          </cell>
          <cell r="B270" t="str">
            <v>PAN PACIFIC HOTELS AND RESORTS</v>
          </cell>
        </row>
        <row r="271">
          <cell r="A271">
            <v>1092</v>
          </cell>
          <cell r="B271" t="str">
            <v>PALACE RESORTS</v>
          </cell>
        </row>
        <row r="272">
          <cell r="A272">
            <v>1093</v>
          </cell>
          <cell r="B272" t="str">
            <v>PARK PLAZA</v>
          </cell>
        </row>
        <row r="273">
          <cell r="A273">
            <v>1094</v>
          </cell>
          <cell r="B273" t="str">
            <v>PARK INN</v>
          </cell>
        </row>
        <row r="274">
          <cell r="A274">
            <v>1095</v>
          </cell>
          <cell r="B274" t="str">
            <v>PARADORES</v>
          </cell>
        </row>
        <row r="275">
          <cell r="A275">
            <v>1096</v>
          </cell>
          <cell r="B275" t="str">
            <v>PARK INN SUITE HOTEL</v>
          </cell>
        </row>
        <row r="276">
          <cell r="A276">
            <v>1100</v>
          </cell>
          <cell r="B276" t="str">
            <v>PARKROYAL</v>
          </cell>
        </row>
        <row r="277">
          <cell r="A277">
            <v>1105</v>
          </cell>
          <cell r="B277" t="str">
            <v>PARTHENON</v>
          </cell>
        </row>
        <row r="278">
          <cell r="A278">
            <v>1110</v>
          </cell>
          <cell r="B278" t="str">
            <v>PASSPORT INN</v>
          </cell>
        </row>
        <row r="279">
          <cell r="A279">
            <v>1115</v>
          </cell>
          <cell r="B279" t="str">
            <v>PEAR TREE INN</v>
          </cell>
        </row>
        <row r="280">
          <cell r="A280">
            <v>1120</v>
          </cell>
          <cell r="B280" t="str">
            <v>PENTA</v>
          </cell>
        </row>
        <row r="281">
          <cell r="A281">
            <v>1135</v>
          </cell>
          <cell r="B281" t="str">
            <v>POSTHOUSE</v>
          </cell>
        </row>
        <row r="282">
          <cell r="A282">
            <v>1140</v>
          </cell>
          <cell r="B282" t="str">
            <v>PREFERRED</v>
          </cell>
        </row>
        <row r="283">
          <cell r="A283">
            <v>1143</v>
          </cell>
          <cell r="B283" t="str">
            <v>PREMIER LODGE</v>
          </cell>
        </row>
        <row r="284">
          <cell r="A284">
            <v>1145</v>
          </cell>
          <cell r="B284" t="str">
            <v>PRESIDENTE</v>
          </cell>
        </row>
        <row r="285">
          <cell r="A285">
            <v>1153</v>
          </cell>
          <cell r="B285" t="str">
            <v>PRINCE HOTELS</v>
          </cell>
        </row>
        <row r="286">
          <cell r="A286">
            <v>1155</v>
          </cell>
          <cell r="B286" t="str">
            <v>PRINCESS</v>
          </cell>
        </row>
        <row r="287">
          <cell r="A287">
            <v>1157</v>
          </cell>
          <cell r="B287" t="str">
            <v>PRINCIPAL HOTELS</v>
          </cell>
        </row>
        <row r="288">
          <cell r="A288">
            <v>1158</v>
          </cell>
          <cell r="B288" t="str">
            <v>PROTEA HOTELS</v>
          </cell>
        </row>
        <row r="289">
          <cell r="A289">
            <v>1159</v>
          </cell>
          <cell r="B289" t="str">
            <v>PROVOBIS HOTELS</v>
          </cell>
        </row>
        <row r="290">
          <cell r="A290">
            <v>1160</v>
          </cell>
          <cell r="B290" t="str">
            <v>QUALITY</v>
          </cell>
        </row>
        <row r="291">
          <cell r="A291">
            <v>1162</v>
          </cell>
          <cell r="B291" t="str">
            <v>QUALITY SUITES</v>
          </cell>
        </row>
        <row r="292">
          <cell r="A292">
            <v>1166</v>
          </cell>
          <cell r="B292" t="str">
            <v>QUEENS HOTELS</v>
          </cell>
        </row>
        <row r="293">
          <cell r="A293">
            <v>1170</v>
          </cell>
          <cell r="B293" t="str">
            <v>QUINTA REAL</v>
          </cell>
        </row>
        <row r="294">
          <cell r="A294">
            <v>1180</v>
          </cell>
          <cell r="B294" t="str">
            <v>RADISSON</v>
          </cell>
        </row>
        <row r="295">
          <cell r="A295">
            <v>1185</v>
          </cell>
          <cell r="B295" t="str">
            <v>RAFFLES</v>
          </cell>
        </row>
        <row r="296">
          <cell r="A296">
            <v>1189</v>
          </cell>
          <cell r="B296" t="str">
            <v>RAINBOW HOTELS</v>
          </cell>
        </row>
        <row r="297">
          <cell r="A297">
            <v>1190</v>
          </cell>
          <cell r="B297" t="str">
            <v>RAINTREE</v>
          </cell>
        </row>
        <row r="298">
          <cell r="A298">
            <v>1200</v>
          </cell>
          <cell r="B298" t="str">
            <v>RAMADA</v>
          </cell>
        </row>
        <row r="299">
          <cell r="A299">
            <v>1210</v>
          </cell>
          <cell r="B299" t="str">
            <v>RAMADA LIMITED</v>
          </cell>
        </row>
        <row r="300">
          <cell r="A300">
            <v>1215</v>
          </cell>
          <cell r="B300" t="str">
            <v>RANTASIPI</v>
          </cell>
        </row>
        <row r="301">
          <cell r="A301">
            <v>1220</v>
          </cell>
          <cell r="B301" t="str">
            <v>RENAISSANCE</v>
          </cell>
        </row>
        <row r="302">
          <cell r="A302">
            <v>1230</v>
          </cell>
          <cell r="B302" t="str">
            <v>RAPHAEL HOTEL</v>
          </cell>
        </row>
        <row r="303">
          <cell r="A303">
            <v>1232</v>
          </cell>
          <cell r="B303" t="str">
            <v>REAL DE MINAS</v>
          </cell>
        </row>
        <row r="304">
          <cell r="A304">
            <v>1235</v>
          </cell>
          <cell r="B304" t="str">
            <v>RED CARPET INN</v>
          </cell>
        </row>
        <row r="305">
          <cell r="A305">
            <v>1240</v>
          </cell>
          <cell r="B305" t="str">
            <v>RED LION</v>
          </cell>
        </row>
        <row r="306">
          <cell r="A306">
            <v>1250</v>
          </cell>
          <cell r="B306" t="str">
            <v>RED ROOF INN</v>
          </cell>
        </row>
        <row r="307">
          <cell r="A307">
            <v>1260</v>
          </cell>
          <cell r="B307" t="str">
            <v>REGAL</v>
          </cell>
        </row>
        <row r="308">
          <cell r="A308">
            <v>1262</v>
          </cell>
          <cell r="B308" t="str">
            <v>RELAIS DU SILENCE SILENCEHOTEL</v>
          </cell>
        </row>
        <row r="309">
          <cell r="A309">
            <v>1265</v>
          </cell>
          <cell r="B309" t="str">
            <v>RELAX INN</v>
          </cell>
        </row>
        <row r="310">
          <cell r="A310">
            <v>1267</v>
          </cell>
          <cell r="B310" t="str">
            <v>REMA HOTELS</v>
          </cell>
        </row>
        <row r="311">
          <cell r="A311">
            <v>1270</v>
          </cell>
          <cell r="B311" t="str">
            <v>RESIDENCE INN</v>
          </cell>
        </row>
        <row r="312">
          <cell r="A312">
            <v>1274</v>
          </cell>
          <cell r="B312" t="str">
            <v>RICA HOTELLENCE</v>
          </cell>
        </row>
        <row r="313">
          <cell r="A313">
            <v>1275</v>
          </cell>
          <cell r="B313" t="str">
            <v>RINGHOTELS</v>
          </cell>
        </row>
        <row r="314">
          <cell r="A314">
            <v>1280</v>
          </cell>
          <cell r="B314" t="str">
            <v>ROADSTAR INN</v>
          </cell>
        </row>
        <row r="315">
          <cell r="A315">
            <v>1282</v>
          </cell>
          <cell r="B315" t="str">
            <v>ROBINSON CLUB GMBH</v>
          </cell>
        </row>
        <row r="316">
          <cell r="A316">
            <v>1285</v>
          </cell>
          <cell r="B316" t="str">
            <v>RODD HOTELS &amp; RESORTS</v>
          </cell>
        </row>
        <row r="317">
          <cell r="A317">
            <v>1290</v>
          </cell>
          <cell r="B317" t="str">
            <v>RODEWAY INN</v>
          </cell>
        </row>
        <row r="318">
          <cell r="A318">
            <v>1295</v>
          </cell>
          <cell r="B318" t="str">
            <v>ROMANTIK HOTEL</v>
          </cell>
        </row>
        <row r="319">
          <cell r="A319">
            <v>1305</v>
          </cell>
          <cell r="B319" t="str">
            <v>ROTANA</v>
          </cell>
        </row>
        <row r="320">
          <cell r="A320">
            <v>1310</v>
          </cell>
          <cell r="B320" t="str">
            <v>ROYCE</v>
          </cell>
        </row>
        <row r="321">
          <cell r="A321">
            <v>1313</v>
          </cell>
          <cell r="B321" t="str">
            <v>RYDGES HOTELS &amp; RESORTS</v>
          </cell>
        </row>
        <row r="322">
          <cell r="A322">
            <v>1314</v>
          </cell>
          <cell r="B322" t="str">
            <v>SAHID HOTELS</v>
          </cell>
        </row>
        <row r="323">
          <cell r="A323">
            <v>1315</v>
          </cell>
          <cell r="B323" t="str">
            <v>SANDALS</v>
          </cell>
        </row>
        <row r="324">
          <cell r="A324">
            <v>1320</v>
          </cell>
          <cell r="B324" t="str">
            <v>SANDMAN HOTELS &amp; INNS</v>
          </cell>
        </row>
        <row r="325">
          <cell r="A325">
            <v>1335</v>
          </cell>
          <cell r="B325" t="str">
            <v>SCANDIC HOTEL</v>
          </cell>
        </row>
        <row r="326">
          <cell r="A326">
            <v>1340</v>
          </cell>
          <cell r="B326" t="str">
            <v>SCOTLAND COMMENDED</v>
          </cell>
        </row>
        <row r="327">
          <cell r="A327">
            <v>1345</v>
          </cell>
          <cell r="B327" t="str">
            <v>SCOTTISH INN</v>
          </cell>
        </row>
        <row r="328">
          <cell r="A328">
            <v>1347</v>
          </cell>
          <cell r="B328" t="str">
            <v>SELECT INN</v>
          </cell>
        </row>
        <row r="329">
          <cell r="A329">
            <v>1349</v>
          </cell>
          <cell r="B329" t="str">
            <v>SELECT SUITES</v>
          </cell>
        </row>
        <row r="330">
          <cell r="A330">
            <v>1350</v>
          </cell>
          <cell r="B330" t="str">
            <v>WESTMARK</v>
          </cell>
        </row>
        <row r="331">
          <cell r="A331">
            <v>1352</v>
          </cell>
          <cell r="B331" t="str">
            <v>SERCOTEL HOTELS</v>
          </cell>
        </row>
        <row r="332">
          <cell r="A332">
            <v>1355</v>
          </cell>
          <cell r="B332" t="str">
            <v>SHANGRI-LA</v>
          </cell>
        </row>
        <row r="333">
          <cell r="A333">
            <v>1360</v>
          </cell>
          <cell r="B333" t="str">
            <v>SHERATON HOTEL</v>
          </cell>
        </row>
        <row r="334">
          <cell r="A334">
            <v>1365</v>
          </cell>
          <cell r="B334" t="str">
            <v>SHERATON INN</v>
          </cell>
        </row>
        <row r="335">
          <cell r="A335">
            <v>1380</v>
          </cell>
          <cell r="B335" t="str">
            <v>SHILO INN</v>
          </cell>
        </row>
        <row r="336">
          <cell r="A336">
            <v>1390</v>
          </cell>
          <cell r="B336" t="str">
            <v>SHONEY'S INN</v>
          </cell>
        </row>
        <row r="337">
          <cell r="A337">
            <v>1391</v>
          </cell>
          <cell r="B337" t="str">
            <v>SUMNER SUITES</v>
          </cell>
        </row>
        <row r="338">
          <cell r="A338">
            <v>1395</v>
          </cell>
          <cell r="B338" t="str">
            <v>SIERRA SUITES</v>
          </cell>
        </row>
        <row r="339">
          <cell r="A339">
            <v>1400</v>
          </cell>
          <cell r="B339" t="str">
            <v>SIGNATURE INN</v>
          </cell>
        </row>
        <row r="340">
          <cell r="A340">
            <v>1405</v>
          </cell>
          <cell r="B340" t="str">
            <v>SILKEN HOTELES</v>
          </cell>
        </row>
        <row r="341">
          <cell r="A341">
            <v>1410</v>
          </cell>
          <cell r="B341" t="str">
            <v>SIXPENCE INN</v>
          </cell>
        </row>
        <row r="342">
          <cell r="A342">
            <v>1420</v>
          </cell>
          <cell r="B342" t="str">
            <v>SKYLIGHT INNS</v>
          </cell>
        </row>
        <row r="343">
          <cell r="A343">
            <v>1423</v>
          </cell>
          <cell r="B343" t="str">
            <v>SLEEP INN</v>
          </cell>
        </row>
        <row r="344">
          <cell r="A344">
            <v>1425</v>
          </cell>
          <cell r="B344" t="str">
            <v>SLUMBER LODGE</v>
          </cell>
        </row>
        <row r="345">
          <cell r="A345">
            <v>1426</v>
          </cell>
          <cell r="B345" t="str">
            <v>SOL</v>
          </cell>
        </row>
        <row r="346">
          <cell r="A346">
            <v>1428</v>
          </cell>
          <cell r="B346" t="str">
            <v>SOKOS HOTELS</v>
          </cell>
        </row>
        <row r="347">
          <cell r="A347">
            <v>1430</v>
          </cell>
          <cell r="B347" t="str">
            <v>SONESTA HOTEL</v>
          </cell>
        </row>
        <row r="348">
          <cell r="A348">
            <v>1433</v>
          </cell>
          <cell r="B348" t="str">
            <v>SORAT HOTELS</v>
          </cell>
        </row>
        <row r="349">
          <cell r="A349">
            <v>1438</v>
          </cell>
          <cell r="B349" t="str">
            <v>SPRINGHILL SUITES</v>
          </cell>
        </row>
        <row r="350">
          <cell r="A350">
            <v>1440</v>
          </cell>
          <cell r="B350" t="str">
            <v>CROWN STERLING</v>
          </cell>
        </row>
        <row r="351">
          <cell r="A351">
            <v>1442</v>
          </cell>
          <cell r="B351" t="str">
            <v>STAKIS HOTELS</v>
          </cell>
        </row>
        <row r="352">
          <cell r="A352">
            <v>1443</v>
          </cell>
          <cell r="B352" t="str">
            <v>STAMFORD HOTELS AND RESORTS</v>
          </cell>
        </row>
        <row r="353">
          <cell r="A353">
            <v>1445</v>
          </cell>
          <cell r="B353" t="str">
            <v>STARHOTELS</v>
          </cell>
        </row>
        <row r="354">
          <cell r="A354">
            <v>1447</v>
          </cell>
          <cell r="B354" t="str">
            <v>STAYBRIDGE SUITES</v>
          </cell>
        </row>
        <row r="355">
          <cell r="A355">
            <v>1448</v>
          </cell>
          <cell r="B355" t="str">
            <v>STEIGENBERGER HOTELS</v>
          </cell>
        </row>
        <row r="356">
          <cell r="A356">
            <v>1450</v>
          </cell>
          <cell r="B356" t="str">
            <v>STOUFFER</v>
          </cell>
        </row>
        <row r="357">
          <cell r="A357">
            <v>1455</v>
          </cell>
          <cell r="B357" t="str">
            <v>STUDIO PLUS</v>
          </cell>
        </row>
        <row r="358">
          <cell r="A358">
            <v>1456</v>
          </cell>
          <cell r="B358" t="str">
            <v>STUDIO 6</v>
          </cell>
        </row>
        <row r="359">
          <cell r="A359">
            <v>1457</v>
          </cell>
          <cell r="B359" t="str">
            <v>SUBURBAN LODGE</v>
          </cell>
        </row>
        <row r="360">
          <cell r="A360">
            <v>1460</v>
          </cell>
          <cell r="B360" t="str">
            <v>SUMMERFIELD BY WYNDHAM</v>
          </cell>
        </row>
        <row r="361">
          <cell r="A361">
            <v>1465</v>
          </cell>
          <cell r="B361" t="str">
            <v>SUNDOWNER</v>
          </cell>
        </row>
        <row r="362">
          <cell r="A362">
            <v>1467</v>
          </cell>
          <cell r="B362" t="str">
            <v>SUNSPREE RESORTS</v>
          </cell>
        </row>
        <row r="363">
          <cell r="A363">
            <v>1469</v>
          </cell>
          <cell r="B363" t="str">
            <v>SUNWING</v>
          </cell>
        </row>
        <row r="364">
          <cell r="A364">
            <v>1470</v>
          </cell>
          <cell r="B364" t="str">
            <v>SUPER 8</v>
          </cell>
        </row>
        <row r="365">
          <cell r="A365">
            <v>1475</v>
          </cell>
          <cell r="B365" t="str">
            <v>SUPERCLUBS</v>
          </cell>
        </row>
        <row r="366">
          <cell r="A366">
            <v>1490</v>
          </cell>
          <cell r="B366" t="str">
            <v>SUSSE CHALET</v>
          </cell>
        </row>
        <row r="367">
          <cell r="A367">
            <v>1495</v>
          </cell>
          <cell r="B367" t="str">
            <v>SWALLOW HOTELS</v>
          </cell>
        </row>
        <row r="368">
          <cell r="A368">
            <v>1496</v>
          </cell>
          <cell r="B368" t="str">
            <v>SWEDEN HOTELS</v>
          </cell>
        </row>
        <row r="369">
          <cell r="A369">
            <v>1498</v>
          </cell>
          <cell r="B369" t="str">
            <v>SWISSOTEL</v>
          </cell>
        </row>
        <row r="370">
          <cell r="A370">
            <v>1500</v>
          </cell>
          <cell r="B370" t="str">
            <v>TAJ GROUP</v>
          </cell>
        </row>
        <row r="371">
          <cell r="A371">
            <v>1510</v>
          </cell>
          <cell r="B371" t="str">
            <v>TEXIAN INN</v>
          </cell>
        </row>
        <row r="372">
          <cell r="A372">
            <v>1540</v>
          </cell>
          <cell r="B372" t="str">
            <v>THE DON SUITE HOTELS</v>
          </cell>
        </row>
        <row r="373">
          <cell r="A373">
            <v>1550</v>
          </cell>
          <cell r="B373" t="str">
            <v>THE REGISTRY</v>
          </cell>
        </row>
        <row r="374">
          <cell r="A374">
            <v>1560</v>
          </cell>
          <cell r="B374" t="str">
            <v>RITZ-CARLTON</v>
          </cell>
        </row>
        <row r="375">
          <cell r="A375">
            <v>1563</v>
          </cell>
          <cell r="B375" t="str">
            <v>THISTLE HOTELS</v>
          </cell>
        </row>
        <row r="376">
          <cell r="A376">
            <v>1565</v>
          </cell>
          <cell r="B376" t="str">
            <v>THRIFTLODGE</v>
          </cell>
        </row>
        <row r="377">
          <cell r="A377">
            <v>1570</v>
          </cell>
          <cell r="B377" t="str">
            <v>THRIFTY SCOT</v>
          </cell>
        </row>
        <row r="378">
          <cell r="A378">
            <v>1575</v>
          </cell>
          <cell r="B378" t="str">
            <v>THRIFTY INN</v>
          </cell>
        </row>
        <row r="379">
          <cell r="A379">
            <v>1580</v>
          </cell>
          <cell r="B379" t="str">
            <v>THUNDERBIRD</v>
          </cell>
        </row>
        <row r="380">
          <cell r="A380">
            <v>1592</v>
          </cell>
          <cell r="B380" t="str">
            <v>TOBY HOTELS</v>
          </cell>
        </row>
        <row r="381">
          <cell r="A381">
            <v>1595</v>
          </cell>
          <cell r="B381" t="str">
            <v>TOWNEPLACE SUITES</v>
          </cell>
        </row>
        <row r="382">
          <cell r="A382">
            <v>1598</v>
          </cell>
          <cell r="B382" t="str">
            <v>TRADITION DE FRANCE</v>
          </cell>
        </row>
        <row r="383">
          <cell r="A383">
            <v>1600</v>
          </cell>
          <cell r="B383" t="str">
            <v>TRAVEL HOST MOTEL</v>
          </cell>
        </row>
        <row r="384">
          <cell r="A384">
            <v>1610</v>
          </cell>
          <cell r="B384" t="str">
            <v>TRAVELERS INN</v>
          </cell>
        </row>
        <row r="385">
          <cell r="A385">
            <v>1615</v>
          </cell>
          <cell r="B385" t="str">
            <v>TRAVELODGE</v>
          </cell>
        </row>
        <row r="386">
          <cell r="A386">
            <v>1618</v>
          </cell>
          <cell r="B386" t="str">
            <v>TRAVEL INN</v>
          </cell>
        </row>
        <row r="387">
          <cell r="A387">
            <v>1620</v>
          </cell>
          <cell r="B387" t="str">
            <v>TREADWAY INN</v>
          </cell>
        </row>
        <row r="388">
          <cell r="A388">
            <v>1622</v>
          </cell>
          <cell r="B388" t="str">
            <v>TREFF HOTELS</v>
          </cell>
        </row>
        <row r="389">
          <cell r="A389">
            <v>1625</v>
          </cell>
          <cell r="B389" t="str">
            <v>USA INN</v>
          </cell>
        </row>
        <row r="390">
          <cell r="A390">
            <v>1630</v>
          </cell>
          <cell r="B390" t="str">
            <v>VAGABOND INN</v>
          </cell>
        </row>
        <row r="391">
          <cell r="A391">
            <v>1635</v>
          </cell>
          <cell r="B391" t="str">
            <v>VENTURE INN</v>
          </cell>
        </row>
        <row r="392">
          <cell r="A392">
            <v>1636</v>
          </cell>
          <cell r="B392" t="str">
            <v>VILLAGE LEISURE HOTELS</v>
          </cell>
        </row>
        <row r="393">
          <cell r="A393">
            <v>1637</v>
          </cell>
          <cell r="B393" t="str">
            <v>VILLAGER LODGE</v>
          </cell>
        </row>
        <row r="394">
          <cell r="A394">
            <v>1639</v>
          </cell>
          <cell r="B394" t="str">
            <v>VIRGIN HOTEL COLLECTION</v>
          </cell>
        </row>
        <row r="395">
          <cell r="A395">
            <v>1640</v>
          </cell>
          <cell r="B395" t="str">
            <v>VISCOUNT HOTEL</v>
          </cell>
        </row>
        <row r="396">
          <cell r="A396">
            <v>1645</v>
          </cell>
          <cell r="B396" t="str">
            <v>VISTA INTERNATIONAL</v>
          </cell>
        </row>
        <row r="397">
          <cell r="A397">
            <v>1646</v>
          </cell>
          <cell r="B397" t="str">
            <v>W HOTEL</v>
          </cell>
        </row>
        <row r="398">
          <cell r="A398">
            <v>1647</v>
          </cell>
          <cell r="B398" t="str">
            <v>WAYFARER INNS</v>
          </cell>
        </row>
        <row r="399">
          <cell r="A399">
            <v>1648</v>
          </cell>
          <cell r="B399" t="str">
            <v>WASHINGTON HOTEL</v>
          </cell>
        </row>
        <row r="400">
          <cell r="A400">
            <v>1649</v>
          </cell>
          <cell r="B400" t="str">
            <v>WELLESLEY SUITES</v>
          </cell>
        </row>
        <row r="401">
          <cell r="A401">
            <v>1650</v>
          </cell>
          <cell r="B401" t="str">
            <v>WELLESLEY INN</v>
          </cell>
        </row>
        <row r="402">
          <cell r="A402">
            <v>1651</v>
          </cell>
          <cell r="B402" t="str">
            <v>WELSCH RAREBITS</v>
          </cell>
        </row>
        <row r="403">
          <cell r="A403">
            <v>1655</v>
          </cell>
          <cell r="B403" t="str">
            <v>WESTAR SUITES</v>
          </cell>
        </row>
        <row r="404">
          <cell r="A404">
            <v>1680</v>
          </cell>
          <cell r="B404" t="str">
            <v>WESTIN</v>
          </cell>
        </row>
        <row r="405">
          <cell r="A405">
            <v>1683</v>
          </cell>
          <cell r="B405" t="str">
            <v>WESTCOAST</v>
          </cell>
        </row>
        <row r="406">
          <cell r="A406">
            <v>1685</v>
          </cell>
          <cell r="B406" t="str">
            <v>WILSON</v>
          </cell>
        </row>
        <row r="407">
          <cell r="A407">
            <v>1687</v>
          </cell>
          <cell r="B407" t="str">
            <v>WINGATE INN</v>
          </cell>
        </row>
        <row r="408">
          <cell r="A408">
            <v>1688</v>
          </cell>
          <cell r="B408" t="str">
            <v>WOODFIELD SUITES</v>
          </cell>
        </row>
        <row r="409">
          <cell r="A409">
            <v>1690</v>
          </cell>
          <cell r="B409" t="str">
            <v>WOODFIN SUITES</v>
          </cell>
        </row>
        <row r="410">
          <cell r="A410">
            <v>1710</v>
          </cell>
          <cell r="B410" t="str">
            <v>WYNDHAM HOTELS</v>
          </cell>
        </row>
        <row r="411">
          <cell r="A411">
            <v>1715</v>
          </cell>
          <cell r="B411" t="str">
            <v>WYNDHAM GARDEN HOTEL</v>
          </cell>
        </row>
        <row r="412">
          <cell r="A412">
            <v>1716</v>
          </cell>
          <cell r="B412" t="str">
            <v>WYNDHAM LUXURY</v>
          </cell>
        </row>
        <row r="413">
          <cell r="A413">
            <v>1717</v>
          </cell>
          <cell r="B413" t="str">
            <v>WYNDHAM RESORTS</v>
          </cell>
        </row>
        <row r="414">
          <cell r="A414">
            <v>1720</v>
          </cell>
          <cell r="B414" t="str">
            <v>WYNFIELD INN</v>
          </cell>
        </row>
        <row r="415">
          <cell r="A415">
            <v>1999</v>
          </cell>
          <cell r="B415" t="str">
            <v>UNKNOWN AFFILIATION</v>
          </cell>
        </row>
        <row r="416">
          <cell r="A416">
            <v>2000</v>
          </cell>
          <cell r="B416" t="str">
            <v>INDEPENDENT</v>
          </cell>
        </row>
        <row r="417">
          <cell r="A417">
            <v>4000</v>
          </cell>
          <cell r="B417" t="str">
            <v>CLOSED</v>
          </cell>
        </row>
      </sheetData>
      <sheetData sheetId="1">
        <row r="1">
          <cell r="A1">
            <v>1001</v>
          </cell>
          <cell r="B1" t="str">
            <v>AUTAUGA, AL</v>
          </cell>
        </row>
        <row r="2">
          <cell r="A2">
            <v>1003</v>
          </cell>
          <cell r="B2" t="str">
            <v>BALDWIN, AL</v>
          </cell>
        </row>
        <row r="3">
          <cell r="A3">
            <v>1005</v>
          </cell>
          <cell r="B3" t="str">
            <v>BARBOUR, AL</v>
          </cell>
        </row>
        <row r="4">
          <cell r="A4">
            <v>1007</v>
          </cell>
          <cell r="B4" t="str">
            <v>BIBB, AL</v>
          </cell>
        </row>
        <row r="5">
          <cell r="A5">
            <v>1009</v>
          </cell>
          <cell r="B5" t="str">
            <v>BLOUNT, AL</v>
          </cell>
        </row>
        <row r="6">
          <cell r="A6">
            <v>1011</v>
          </cell>
          <cell r="B6" t="str">
            <v>BULLOCK, AL</v>
          </cell>
        </row>
        <row r="7">
          <cell r="A7">
            <v>1013</v>
          </cell>
          <cell r="B7" t="str">
            <v>BUTLER, AL</v>
          </cell>
        </row>
        <row r="8">
          <cell r="A8">
            <v>1015</v>
          </cell>
          <cell r="B8" t="str">
            <v>CALHOUN, AL</v>
          </cell>
        </row>
        <row r="9">
          <cell r="A9">
            <v>1017</v>
          </cell>
          <cell r="B9" t="str">
            <v>CHAMBERS, AL</v>
          </cell>
        </row>
        <row r="10">
          <cell r="A10">
            <v>1019</v>
          </cell>
          <cell r="B10" t="str">
            <v>CHEROKEE, AL</v>
          </cell>
        </row>
        <row r="11">
          <cell r="A11">
            <v>1021</v>
          </cell>
          <cell r="B11" t="str">
            <v>CHILTON, AL</v>
          </cell>
        </row>
        <row r="12">
          <cell r="A12">
            <v>1023</v>
          </cell>
          <cell r="B12" t="str">
            <v>CHOCTAW, AL</v>
          </cell>
        </row>
        <row r="13">
          <cell r="A13">
            <v>1025</v>
          </cell>
          <cell r="B13" t="str">
            <v>CLARKE, AL</v>
          </cell>
        </row>
        <row r="14">
          <cell r="A14">
            <v>1027</v>
          </cell>
          <cell r="B14" t="str">
            <v>CLAY, AL</v>
          </cell>
        </row>
        <row r="15">
          <cell r="A15">
            <v>1029</v>
          </cell>
          <cell r="B15" t="str">
            <v>CLEBURNE, AL</v>
          </cell>
        </row>
        <row r="16">
          <cell r="A16">
            <v>1031</v>
          </cell>
          <cell r="B16" t="str">
            <v>COFFEE, AL</v>
          </cell>
        </row>
        <row r="17">
          <cell r="A17">
            <v>1033</v>
          </cell>
          <cell r="B17" t="str">
            <v>COLBERT, AL</v>
          </cell>
        </row>
        <row r="18">
          <cell r="A18">
            <v>1035</v>
          </cell>
          <cell r="B18" t="str">
            <v>CONECUH, AL</v>
          </cell>
        </row>
        <row r="19">
          <cell r="A19">
            <v>1037</v>
          </cell>
          <cell r="B19" t="str">
            <v>COOSA, AL</v>
          </cell>
        </row>
        <row r="20">
          <cell r="A20">
            <v>1039</v>
          </cell>
          <cell r="B20" t="str">
            <v>COVINGTON, AL</v>
          </cell>
        </row>
        <row r="21">
          <cell r="A21">
            <v>1041</v>
          </cell>
          <cell r="B21" t="str">
            <v>CRENSHAW, AL</v>
          </cell>
        </row>
        <row r="22">
          <cell r="A22">
            <v>1043</v>
          </cell>
          <cell r="B22" t="str">
            <v>CULLMAN, AL</v>
          </cell>
        </row>
        <row r="23">
          <cell r="A23">
            <v>1045</v>
          </cell>
          <cell r="B23" t="str">
            <v>DALE, AL</v>
          </cell>
        </row>
        <row r="24">
          <cell r="A24">
            <v>1047</v>
          </cell>
          <cell r="B24" t="str">
            <v>DALLAS, AL</v>
          </cell>
        </row>
        <row r="25">
          <cell r="A25">
            <v>1049</v>
          </cell>
          <cell r="B25" t="str">
            <v>DE KALB, AL</v>
          </cell>
        </row>
        <row r="26">
          <cell r="A26">
            <v>1051</v>
          </cell>
          <cell r="B26" t="str">
            <v>ELMORE, AL</v>
          </cell>
        </row>
        <row r="27">
          <cell r="A27">
            <v>1053</v>
          </cell>
          <cell r="B27" t="str">
            <v>ESCAMBIA, AL</v>
          </cell>
        </row>
        <row r="28">
          <cell r="A28">
            <v>1055</v>
          </cell>
          <cell r="B28" t="str">
            <v>ETOWAH, AL</v>
          </cell>
        </row>
        <row r="29">
          <cell r="A29">
            <v>1057</v>
          </cell>
          <cell r="B29" t="str">
            <v>FAYETTE, AL</v>
          </cell>
        </row>
        <row r="30">
          <cell r="A30">
            <v>1059</v>
          </cell>
          <cell r="B30" t="str">
            <v>FRANKLIN, AL</v>
          </cell>
        </row>
        <row r="31">
          <cell r="A31">
            <v>1061</v>
          </cell>
          <cell r="B31" t="str">
            <v>GENEVA, AL</v>
          </cell>
        </row>
        <row r="32">
          <cell r="A32">
            <v>1063</v>
          </cell>
          <cell r="B32" t="str">
            <v>GREENE, AL</v>
          </cell>
        </row>
        <row r="33">
          <cell r="A33">
            <v>1065</v>
          </cell>
          <cell r="B33" t="str">
            <v>HALE, AL</v>
          </cell>
        </row>
        <row r="34">
          <cell r="A34">
            <v>1067</v>
          </cell>
          <cell r="B34" t="str">
            <v>HENRY, AL</v>
          </cell>
        </row>
        <row r="35">
          <cell r="A35">
            <v>1069</v>
          </cell>
          <cell r="B35" t="str">
            <v>HOUSTON, AL</v>
          </cell>
        </row>
        <row r="36">
          <cell r="A36">
            <v>1071</v>
          </cell>
          <cell r="B36" t="str">
            <v>JACKSON, AL</v>
          </cell>
        </row>
        <row r="37">
          <cell r="A37">
            <v>1073</v>
          </cell>
          <cell r="B37" t="str">
            <v>JEFFERSON, AL</v>
          </cell>
        </row>
        <row r="38">
          <cell r="A38">
            <v>1075</v>
          </cell>
          <cell r="B38" t="str">
            <v>LAMAR, AL</v>
          </cell>
        </row>
        <row r="39">
          <cell r="A39">
            <v>1077</v>
          </cell>
          <cell r="B39" t="str">
            <v>LAUDERDALE, AL</v>
          </cell>
        </row>
        <row r="40">
          <cell r="A40">
            <v>1079</v>
          </cell>
          <cell r="B40" t="str">
            <v>LAWRENCE, AL</v>
          </cell>
        </row>
        <row r="41">
          <cell r="A41">
            <v>1081</v>
          </cell>
          <cell r="B41" t="str">
            <v>LEE, AL</v>
          </cell>
        </row>
        <row r="42">
          <cell r="A42">
            <v>1083</v>
          </cell>
          <cell r="B42" t="str">
            <v>LIMESTONE, AL</v>
          </cell>
        </row>
        <row r="43">
          <cell r="A43">
            <v>1085</v>
          </cell>
          <cell r="B43" t="str">
            <v>LOWNDES, AL</v>
          </cell>
        </row>
        <row r="44">
          <cell r="A44">
            <v>1087</v>
          </cell>
          <cell r="B44" t="str">
            <v>MACON, AL</v>
          </cell>
        </row>
        <row r="45">
          <cell r="A45">
            <v>1089</v>
          </cell>
          <cell r="B45" t="str">
            <v>MADISON, AL</v>
          </cell>
        </row>
        <row r="46">
          <cell r="A46">
            <v>1091</v>
          </cell>
          <cell r="B46" t="str">
            <v>MARENGO, AL</v>
          </cell>
        </row>
        <row r="47">
          <cell r="A47">
            <v>1093</v>
          </cell>
          <cell r="B47" t="str">
            <v>MARION, AL</v>
          </cell>
        </row>
        <row r="48">
          <cell r="A48">
            <v>1095</v>
          </cell>
          <cell r="B48" t="str">
            <v>MARSHALL, AL</v>
          </cell>
        </row>
        <row r="49">
          <cell r="A49">
            <v>1097</v>
          </cell>
          <cell r="B49" t="str">
            <v>MOBILE, AL</v>
          </cell>
        </row>
        <row r="50">
          <cell r="A50">
            <v>1099</v>
          </cell>
          <cell r="B50" t="str">
            <v>MONROE, AL</v>
          </cell>
        </row>
        <row r="51">
          <cell r="A51">
            <v>1101</v>
          </cell>
          <cell r="B51" t="str">
            <v>MONTGOMERY, AL</v>
          </cell>
        </row>
        <row r="52">
          <cell r="A52">
            <v>1103</v>
          </cell>
          <cell r="B52" t="str">
            <v>MORGAN, AL</v>
          </cell>
        </row>
        <row r="53">
          <cell r="A53">
            <v>1105</v>
          </cell>
          <cell r="B53" t="str">
            <v>PERRY, AL</v>
          </cell>
        </row>
        <row r="54">
          <cell r="A54">
            <v>1107</v>
          </cell>
          <cell r="B54" t="str">
            <v>PICKENS, AL</v>
          </cell>
        </row>
        <row r="55">
          <cell r="A55">
            <v>1109</v>
          </cell>
          <cell r="B55" t="str">
            <v>PIKE, AL</v>
          </cell>
        </row>
        <row r="56">
          <cell r="A56">
            <v>1111</v>
          </cell>
          <cell r="B56" t="str">
            <v>RANDOLPH, AL</v>
          </cell>
        </row>
        <row r="57">
          <cell r="A57">
            <v>1113</v>
          </cell>
          <cell r="B57" t="str">
            <v>RUSSELL, AL</v>
          </cell>
        </row>
        <row r="58">
          <cell r="A58">
            <v>1115</v>
          </cell>
          <cell r="B58" t="str">
            <v>ST CLAIR, AL</v>
          </cell>
        </row>
        <row r="59">
          <cell r="A59">
            <v>1117</v>
          </cell>
          <cell r="B59" t="str">
            <v>SHELBY, AL</v>
          </cell>
        </row>
        <row r="60">
          <cell r="A60">
            <v>1119</v>
          </cell>
          <cell r="B60" t="str">
            <v>SUMTER, AL</v>
          </cell>
        </row>
        <row r="61">
          <cell r="A61">
            <v>1121</v>
          </cell>
          <cell r="B61" t="str">
            <v>TALLADEGA, AL</v>
          </cell>
        </row>
        <row r="62">
          <cell r="A62">
            <v>1123</v>
          </cell>
          <cell r="B62" t="str">
            <v>TALLAPOOSA, AL</v>
          </cell>
        </row>
        <row r="63">
          <cell r="A63">
            <v>1125</v>
          </cell>
          <cell r="B63" t="str">
            <v>TUSCALOOSA, AL</v>
          </cell>
        </row>
        <row r="64">
          <cell r="A64">
            <v>1127</v>
          </cell>
          <cell r="B64" t="str">
            <v>WALKER, AL</v>
          </cell>
        </row>
        <row r="65">
          <cell r="A65">
            <v>1129</v>
          </cell>
          <cell r="B65" t="str">
            <v>WASHINGTON, AL</v>
          </cell>
        </row>
        <row r="66">
          <cell r="A66">
            <v>1131</v>
          </cell>
          <cell r="B66" t="str">
            <v>WILCOX, AL</v>
          </cell>
        </row>
        <row r="67">
          <cell r="A67">
            <v>1133</v>
          </cell>
          <cell r="B67" t="str">
            <v>WINSTON, AL</v>
          </cell>
        </row>
        <row r="68">
          <cell r="A68">
            <v>2010</v>
          </cell>
          <cell r="B68" t="str">
            <v>ALEUTIAN ISLANDS, AK</v>
          </cell>
        </row>
        <row r="69">
          <cell r="A69">
            <v>2020</v>
          </cell>
          <cell r="B69" t="str">
            <v>ANCHORAGE, AK</v>
          </cell>
        </row>
        <row r="70">
          <cell r="A70">
            <v>2050</v>
          </cell>
          <cell r="B70" t="str">
            <v>BETHEL, AK</v>
          </cell>
        </row>
        <row r="71">
          <cell r="A71">
            <v>2060</v>
          </cell>
          <cell r="B71" t="str">
            <v>BRISTOL BAY, AK</v>
          </cell>
        </row>
        <row r="72">
          <cell r="A72">
            <v>2070</v>
          </cell>
          <cell r="B72" t="str">
            <v>DILLINGHAM, AK</v>
          </cell>
        </row>
        <row r="73">
          <cell r="A73">
            <v>2090</v>
          </cell>
          <cell r="B73" t="str">
            <v>FAIRBANKS-NORTH STAR, AK</v>
          </cell>
        </row>
        <row r="74">
          <cell r="A74">
            <v>2100</v>
          </cell>
          <cell r="B74" t="str">
            <v>HAINES, AK</v>
          </cell>
        </row>
        <row r="75">
          <cell r="A75">
            <v>2110</v>
          </cell>
          <cell r="B75" t="str">
            <v>JUNEAU, AK</v>
          </cell>
        </row>
        <row r="76">
          <cell r="A76">
            <v>2122</v>
          </cell>
          <cell r="B76" t="str">
            <v>KENAI PENINSULA, AK</v>
          </cell>
        </row>
        <row r="77">
          <cell r="A77">
            <v>2130</v>
          </cell>
          <cell r="B77" t="str">
            <v>KETCHIKAN GATEWAY, AK</v>
          </cell>
        </row>
        <row r="78">
          <cell r="A78">
            <v>2140</v>
          </cell>
          <cell r="B78" t="str">
            <v>KOBUK, AK</v>
          </cell>
        </row>
        <row r="79">
          <cell r="A79">
            <v>2150</v>
          </cell>
          <cell r="B79" t="str">
            <v>KODIAK ISLAND, AK</v>
          </cell>
        </row>
        <row r="80">
          <cell r="A80">
            <v>2170</v>
          </cell>
          <cell r="B80" t="str">
            <v>MATANUSKA-SUSITNA, AK</v>
          </cell>
        </row>
        <row r="81">
          <cell r="A81">
            <v>2180</v>
          </cell>
          <cell r="B81" t="str">
            <v>NOME, AK</v>
          </cell>
        </row>
        <row r="82">
          <cell r="A82">
            <v>2185</v>
          </cell>
          <cell r="B82" t="str">
            <v>NORTH SLOPE, AK</v>
          </cell>
        </row>
        <row r="83">
          <cell r="A83">
            <v>2201</v>
          </cell>
          <cell r="B83" t="str">
            <v>PRINCE OF WALES-OUTE, AK</v>
          </cell>
        </row>
        <row r="84">
          <cell r="A84">
            <v>2220</v>
          </cell>
          <cell r="B84" t="str">
            <v>SITKA, AK</v>
          </cell>
        </row>
        <row r="85">
          <cell r="A85">
            <v>2231</v>
          </cell>
          <cell r="B85" t="str">
            <v>SKAGWAY-YAKUTAT-ANGO, AK</v>
          </cell>
        </row>
        <row r="86">
          <cell r="A86">
            <v>2240</v>
          </cell>
          <cell r="B86" t="str">
            <v>SOUTHEAST FAIRBANKS, AK</v>
          </cell>
        </row>
        <row r="87">
          <cell r="A87">
            <v>2261</v>
          </cell>
          <cell r="B87" t="str">
            <v>VALDEZ-CORDOVA, AK</v>
          </cell>
        </row>
        <row r="88">
          <cell r="A88">
            <v>2270</v>
          </cell>
          <cell r="B88" t="str">
            <v>WADE HAMPTON, AK</v>
          </cell>
        </row>
        <row r="89">
          <cell r="A89">
            <v>2280</v>
          </cell>
          <cell r="B89" t="str">
            <v>WRANGELL-PETERSBURG, AK</v>
          </cell>
        </row>
        <row r="90">
          <cell r="A90">
            <v>2290</v>
          </cell>
          <cell r="B90" t="str">
            <v>YUKON-KOYUKUK, AK</v>
          </cell>
        </row>
        <row r="91">
          <cell r="A91">
            <v>4001</v>
          </cell>
          <cell r="B91" t="str">
            <v>APACHE, AZ</v>
          </cell>
        </row>
        <row r="92">
          <cell r="A92">
            <v>4003</v>
          </cell>
          <cell r="B92" t="str">
            <v>COCHISE, AZ</v>
          </cell>
        </row>
        <row r="93">
          <cell r="A93">
            <v>4005</v>
          </cell>
          <cell r="B93" t="str">
            <v>COCONINO, AZ</v>
          </cell>
        </row>
        <row r="94">
          <cell r="A94">
            <v>4007</v>
          </cell>
          <cell r="B94" t="str">
            <v>GILA, AZ</v>
          </cell>
        </row>
        <row r="95">
          <cell r="A95">
            <v>4009</v>
          </cell>
          <cell r="B95" t="str">
            <v>GRAHAM, AZ</v>
          </cell>
        </row>
        <row r="96">
          <cell r="A96">
            <v>4011</v>
          </cell>
          <cell r="B96" t="str">
            <v>GREENLEE, AZ</v>
          </cell>
        </row>
        <row r="97">
          <cell r="A97">
            <v>4012</v>
          </cell>
          <cell r="B97" t="str">
            <v>LA PAZ, AZ</v>
          </cell>
        </row>
        <row r="98">
          <cell r="A98">
            <v>4013</v>
          </cell>
          <cell r="B98" t="str">
            <v>MARICOPA, AZ</v>
          </cell>
        </row>
        <row r="99">
          <cell r="A99">
            <v>4015</v>
          </cell>
          <cell r="B99" t="str">
            <v>MOHAVE, AZ</v>
          </cell>
        </row>
        <row r="100">
          <cell r="A100">
            <v>4017</v>
          </cell>
          <cell r="B100" t="str">
            <v>NAVAJO, AZ</v>
          </cell>
        </row>
        <row r="101">
          <cell r="A101">
            <v>4019</v>
          </cell>
          <cell r="B101" t="str">
            <v>PIMA, AZ</v>
          </cell>
        </row>
        <row r="102">
          <cell r="A102">
            <v>4021</v>
          </cell>
          <cell r="B102" t="str">
            <v>PINAL, AZ</v>
          </cell>
        </row>
        <row r="103">
          <cell r="A103">
            <v>4023</v>
          </cell>
          <cell r="B103" t="str">
            <v>SANTA CRUZ, AZ</v>
          </cell>
        </row>
        <row r="104">
          <cell r="A104">
            <v>4025</v>
          </cell>
          <cell r="B104" t="str">
            <v>YAVAPAI, AZ</v>
          </cell>
        </row>
        <row r="105">
          <cell r="A105">
            <v>4027</v>
          </cell>
          <cell r="B105" t="str">
            <v>YUMA, AZ</v>
          </cell>
        </row>
        <row r="106">
          <cell r="A106">
            <v>5001</v>
          </cell>
          <cell r="B106" t="str">
            <v>ARKANSAS, AR</v>
          </cell>
        </row>
        <row r="107">
          <cell r="A107">
            <v>5003</v>
          </cell>
          <cell r="B107" t="str">
            <v>ASHLEY, AR</v>
          </cell>
        </row>
        <row r="108">
          <cell r="A108">
            <v>5005</v>
          </cell>
          <cell r="B108" t="str">
            <v>BAXTER, AR</v>
          </cell>
        </row>
        <row r="109">
          <cell r="A109">
            <v>5007</v>
          </cell>
          <cell r="B109" t="str">
            <v>BENTON, AR</v>
          </cell>
        </row>
        <row r="110">
          <cell r="A110">
            <v>5009</v>
          </cell>
          <cell r="B110" t="str">
            <v>BOONE, AR</v>
          </cell>
        </row>
        <row r="111">
          <cell r="A111">
            <v>5011</v>
          </cell>
          <cell r="B111" t="str">
            <v>BRADLEY, AR</v>
          </cell>
        </row>
        <row r="112">
          <cell r="A112">
            <v>5013</v>
          </cell>
          <cell r="B112" t="str">
            <v>CALHOUN, AR</v>
          </cell>
        </row>
        <row r="113">
          <cell r="A113">
            <v>5015</v>
          </cell>
          <cell r="B113" t="str">
            <v>CARROLL, AR</v>
          </cell>
        </row>
        <row r="114">
          <cell r="A114">
            <v>5017</v>
          </cell>
          <cell r="B114" t="str">
            <v>CHICOT, AR</v>
          </cell>
        </row>
        <row r="115">
          <cell r="A115">
            <v>5019</v>
          </cell>
          <cell r="B115" t="str">
            <v>CLARK, AR</v>
          </cell>
        </row>
        <row r="116">
          <cell r="A116">
            <v>5021</v>
          </cell>
          <cell r="B116" t="str">
            <v>CLAY, AR</v>
          </cell>
        </row>
        <row r="117">
          <cell r="A117">
            <v>5023</v>
          </cell>
          <cell r="B117" t="str">
            <v>CLEBURNE, AR</v>
          </cell>
        </row>
        <row r="118">
          <cell r="A118">
            <v>5025</v>
          </cell>
          <cell r="B118" t="str">
            <v>CLEVELAND, AR</v>
          </cell>
        </row>
        <row r="119">
          <cell r="A119">
            <v>5027</v>
          </cell>
          <cell r="B119" t="str">
            <v>COLUMBIA, AR</v>
          </cell>
        </row>
        <row r="120">
          <cell r="A120">
            <v>5029</v>
          </cell>
          <cell r="B120" t="str">
            <v>CONWAY, AR</v>
          </cell>
        </row>
        <row r="121">
          <cell r="A121">
            <v>5031</v>
          </cell>
          <cell r="B121" t="str">
            <v>CRAIGHEAD, AR</v>
          </cell>
        </row>
        <row r="122">
          <cell r="A122">
            <v>5033</v>
          </cell>
          <cell r="B122" t="str">
            <v>CRAWFORD, AR</v>
          </cell>
        </row>
        <row r="123">
          <cell r="A123">
            <v>5035</v>
          </cell>
          <cell r="B123" t="str">
            <v>CRITTENDEN, AR</v>
          </cell>
        </row>
        <row r="124">
          <cell r="A124">
            <v>5037</v>
          </cell>
          <cell r="B124" t="str">
            <v>CROSS, AR</v>
          </cell>
        </row>
        <row r="125">
          <cell r="A125">
            <v>5039</v>
          </cell>
          <cell r="B125" t="str">
            <v>DALLAS, AR</v>
          </cell>
        </row>
        <row r="126">
          <cell r="A126">
            <v>5041</v>
          </cell>
          <cell r="B126" t="str">
            <v>DESHA, AR</v>
          </cell>
        </row>
        <row r="127">
          <cell r="A127">
            <v>5043</v>
          </cell>
          <cell r="B127" t="str">
            <v>DREW, AR</v>
          </cell>
        </row>
        <row r="128">
          <cell r="A128">
            <v>5045</v>
          </cell>
          <cell r="B128" t="str">
            <v>FAULKNER, AR</v>
          </cell>
        </row>
        <row r="129">
          <cell r="A129">
            <v>5047</v>
          </cell>
          <cell r="B129" t="str">
            <v>FRANKLIN, AR</v>
          </cell>
        </row>
        <row r="130">
          <cell r="A130">
            <v>5049</v>
          </cell>
          <cell r="B130" t="str">
            <v>FULTON, AR</v>
          </cell>
        </row>
        <row r="131">
          <cell r="A131">
            <v>5051</v>
          </cell>
          <cell r="B131" t="str">
            <v>GARLAND, AR</v>
          </cell>
        </row>
        <row r="132">
          <cell r="A132">
            <v>5053</v>
          </cell>
          <cell r="B132" t="str">
            <v>GRANT, AR</v>
          </cell>
        </row>
        <row r="133">
          <cell r="A133">
            <v>5055</v>
          </cell>
          <cell r="B133" t="str">
            <v>GREENE, AR</v>
          </cell>
        </row>
        <row r="134">
          <cell r="A134">
            <v>5057</v>
          </cell>
          <cell r="B134" t="str">
            <v>HEMPSTEAD, AR</v>
          </cell>
        </row>
        <row r="135">
          <cell r="A135">
            <v>5059</v>
          </cell>
          <cell r="B135" t="str">
            <v>HOT SPRING, AR</v>
          </cell>
        </row>
        <row r="136">
          <cell r="A136">
            <v>5061</v>
          </cell>
          <cell r="B136" t="str">
            <v>HOWARD, AR</v>
          </cell>
        </row>
        <row r="137">
          <cell r="A137">
            <v>5063</v>
          </cell>
          <cell r="B137" t="str">
            <v>INDEPENDENCE, AR</v>
          </cell>
        </row>
        <row r="138">
          <cell r="A138">
            <v>5065</v>
          </cell>
          <cell r="B138" t="str">
            <v>IZARD, AR</v>
          </cell>
        </row>
        <row r="139">
          <cell r="A139">
            <v>5067</v>
          </cell>
          <cell r="B139" t="str">
            <v>JACKSON, AR</v>
          </cell>
        </row>
        <row r="140">
          <cell r="A140">
            <v>5069</v>
          </cell>
          <cell r="B140" t="str">
            <v>JEFFERSON, AR</v>
          </cell>
        </row>
        <row r="141">
          <cell r="A141">
            <v>5071</v>
          </cell>
          <cell r="B141" t="str">
            <v>JOHNSON, AR</v>
          </cell>
        </row>
        <row r="142">
          <cell r="A142">
            <v>5073</v>
          </cell>
          <cell r="B142" t="str">
            <v>LAFAYETTE, AR</v>
          </cell>
        </row>
        <row r="143">
          <cell r="A143">
            <v>5075</v>
          </cell>
          <cell r="B143" t="str">
            <v>LAWRENCE, AR</v>
          </cell>
        </row>
        <row r="144">
          <cell r="A144">
            <v>5077</v>
          </cell>
          <cell r="B144" t="str">
            <v>LEE, AR</v>
          </cell>
        </row>
        <row r="145">
          <cell r="A145">
            <v>5079</v>
          </cell>
          <cell r="B145" t="str">
            <v>LINCOLN, AR</v>
          </cell>
        </row>
        <row r="146">
          <cell r="A146">
            <v>5081</v>
          </cell>
          <cell r="B146" t="str">
            <v>LITTLE RIVER, AR</v>
          </cell>
        </row>
        <row r="147">
          <cell r="A147">
            <v>5083</v>
          </cell>
          <cell r="B147" t="str">
            <v>LOGAN, AR</v>
          </cell>
        </row>
        <row r="148">
          <cell r="A148">
            <v>5085</v>
          </cell>
          <cell r="B148" t="str">
            <v>LONOKE, AR</v>
          </cell>
        </row>
        <row r="149">
          <cell r="A149">
            <v>5087</v>
          </cell>
          <cell r="B149" t="str">
            <v>MADISON, AR</v>
          </cell>
        </row>
        <row r="150">
          <cell r="A150">
            <v>5089</v>
          </cell>
          <cell r="B150" t="str">
            <v>MARION, AR</v>
          </cell>
        </row>
        <row r="151">
          <cell r="A151">
            <v>5091</v>
          </cell>
          <cell r="B151" t="str">
            <v>MILLER, AR</v>
          </cell>
        </row>
        <row r="152">
          <cell r="A152">
            <v>5093</v>
          </cell>
          <cell r="B152" t="str">
            <v>MISSISSIPPI, AR</v>
          </cell>
        </row>
        <row r="153">
          <cell r="A153">
            <v>5095</v>
          </cell>
          <cell r="B153" t="str">
            <v>MONROE, AR</v>
          </cell>
        </row>
        <row r="154">
          <cell r="A154">
            <v>5097</v>
          </cell>
          <cell r="B154" t="str">
            <v>MONTGOMERY, AR</v>
          </cell>
        </row>
        <row r="155">
          <cell r="A155">
            <v>5099</v>
          </cell>
          <cell r="B155" t="str">
            <v>NEVADA, AR</v>
          </cell>
        </row>
        <row r="156">
          <cell r="A156">
            <v>5101</v>
          </cell>
          <cell r="B156" t="str">
            <v>NEWTON, AR</v>
          </cell>
        </row>
        <row r="157">
          <cell r="A157">
            <v>5103</v>
          </cell>
          <cell r="B157" t="str">
            <v>OUACHITA, AR</v>
          </cell>
        </row>
        <row r="158">
          <cell r="A158">
            <v>5105</v>
          </cell>
          <cell r="B158" t="str">
            <v>PERRY, AR</v>
          </cell>
        </row>
        <row r="159">
          <cell r="A159">
            <v>5107</v>
          </cell>
          <cell r="B159" t="str">
            <v>PHILLIPS, AR</v>
          </cell>
        </row>
        <row r="160">
          <cell r="A160">
            <v>5109</v>
          </cell>
          <cell r="B160" t="str">
            <v>PIKE, AR</v>
          </cell>
        </row>
        <row r="161">
          <cell r="A161">
            <v>5111</v>
          </cell>
          <cell r="B161" t="str">
            <v>POINSETT, AR</v>
          </cell>
        </row>
        <row r="162">
          <cell r="A162">
            <v>5113</v>
          </cell>
          <cell r="B162" t="str">
            <v>POLK, AR</v>
          </cell>
        </row>
        <row r="163">
          <cell r="A163">
            <v>5115</v>
          </cell>
          <cell r="B163" t="str">
            <v>POPE, AR</v>
          </cell>
        </row>
        <row r="164">
          <cell r="A164">
            <v>5117</v>
          </cell>
          <cell r="B164" t="str">
            <v>PRAIRIE, AR</v>
          </cell>
        </row>
        <row r="165">
          <cell r="A165">
            <v>5119</v>
          </cell>
          <cell r="B165" t="str">
            <v>PULASKI, AR</v>
          </cell>
        </row>
        <row r="166">
          <cell r="A166">
            <v>5121</v>
          </cell>
          <cell r="B166" t="str">
            <v>RANDOLPH, AR</v>
          </cell>
        </row>
        <row r="167">
          <cell r="A167">
            <v>5123</v>
          </cell>
          <cell r="B167" t="str">
            <v>ST FRANCIS, AR</v>
          </cell>
        </row>
        <row r="168">
          <cell r="A168">
            <v>5125</v>
          </cell>
          <cell r="B168" t="str">
            <v>SALINE, AR</v>
          </cell>
        </row>
        <row r="169">
          <cell r="A169">
            <v>5127</v>
          </cell>
          <cell r="B169" t="str">
            <v>SCOTT, AR</v>
          </cell>
        </row>
        <row r="170">
          <cell r="A170">
            <v>5129</v>
          </cell>
          <cell r="B170" t="str">
            <v>SEARCY, AR</v>
          </cell>
        </row>
        <row r="171">
          <cell r="A171">
            <v>5131</v>
          </cell>
          <cell r="B171" t="str">
            <v>SEBASTIAN, AR</v>
          </cell>
        </row>
        <row r="172">
          <cell r="A172">
            <v>5133</v>
          </cell>
          <cell r="B172" t="str">
            <v>SEVIER, AR</v>
          </cell>
        </row>
        <row r="173">
          <cell r="A173">
            <v>5135</v>
          </cell>
          <cell r="B173" t="str">
            <v>SHARP, AR</v>
          </cell>
        </row>
        <row r="174">
          <cell r="A174">
            <v>5137</v>
          </cell>
          <cell r="B174" t="str">
            <v>STONE, AR</v>
          </cell>
        </row>
        <row r="175">
          <cell r="A175">
            <v>5139</v>
          </cell>
          <cell r="B175" t="str">
            <v>UNION, AR</v>
          </cell>
        </row>
        <row r="176">
          <cell r="A176">
            <v>5141</v>
          </cell>
          <cell r="B176" t="str">
            <v>VAN BUREN, AR</v>
          </cell>
        </row>
        <row r="177">
          <cell r="A177">
            <v>5143</v>
          </cell>
          <cell r="B177" t="str">
            <v>WASHINGTON, AR</v>
          </cell>
        </row>
        <row r="178">
          <cell r="A178">
            <v>5145</v>
          </cell>
          <cell r="B178" t="str">
            <v>WHITE, AR</v>
          </cell>
        </row>
        <row r="179">
          <cell r="A179">
            <v>5147</v>
          </cell>
          <cell r="B179" t="str">
            <v>WOODRUFF, AR</v>
          </cell>
        </row>
        <row r="180">
          <cell r="A180">
            <v>5149</v>
          </cell>
          <cell r="B180" t="str">
            <v>YELL, AR</v>
          </cell>
        </row>
        <row r="181">
          <cell r="A181">
            <v>6001</v>
          </cell>
          <cell r="B181" t="str">
            <v>ALAMEDA, CA</v>
          </cell>
        </row>
        <row r="182">
          <cell r="A182">
            <v>6003</v>
          </cell>
          <cell r="B182" t="str">
            <v>ALPINE, CA</v>
          </cell>
        </row>
        <row r="183">
          <cell r="A183">
            <v>6005</v>
          </cell>
          <cell r="B183" t="str">
            <v>AMADOR, CA</v>
          </cell>
        </row>
        <row r="184">
          <cell r="A184">
            <v>6007</v>
          </cell>
          <cell r="B184" t="str">
            <v>BUTTE, CA</v>
          </cell>
        </row>
        <row r="185">
          <cell r="A185">
            <v>6009</v>
          </cell>
          <cell r="B185" t="str">
            <v>CALAVERAS, CA</v>
          </cell>
        </row>
        <row r="186">
          <cell r="A186">
            <v>6011</v>
          </cell>
          <cell r="B186" t="str">
            <v>COLUSA, CA</v>
          </cell>
        </row>
        <row r="187">
          <cell r="A187">
            <v>6013</v>
          </cell>
          <cell r="B187" t="str">
            <v>CONTRA COSTA, CA</v>
          </cell>
        </row>
        <row r="188">
          <cell r="A188">
            <v>6015</v>
          </cell>
          <cell r="B188" t="str">
            <v>DEL NORTE, CA</v>
          </cell>
        </row>
        <row r="189">
          <cell r="A189">
            <v>6017</v>
          </cell>
          <cell r="B189" t="str">
            <v>EL DORADO, CA</v>
          </cell>
        </row>
        <row r="190">
          <cell r="A190">
            <v>6019</v>
          </cell>
          <cell r="B190" t="str">
            <v>FRESNO, CA</v>
          </cell>
        </row>
        <row r="191">
          <cell r="A191">
            <v>6021</v>
          </cell>
          <cell r="B191" t="str">
            <v>GLENN, CA</v>
          </cell>
        </row>
        <row r="192">
          <cell r="A192">
            <v>6023</v>
          </cell>
          <cell r="B192" t="str">
            <v>HUMBOLDT, CA</v>
          </cell>
        </row>
        <row r="193">
          <cell r="A193">
            <v>6025</v>
          </cell>
          <cell r="B193" t="str">
            <v>IMPERIAL, CA</v>
          </cell>
        </row>
        <row r="194">
          <cell r="A194">
            <v>6027</v>
          </cell>
          <cell r="B194" t="str">
            <v>INYO, CA</v>
          </cell>
        </row>
        <row r="195">
          <cell r="A195">
            <v>6029</v>
          </cell>
          <cell r="B195" t="str">
            <v>KERN, CA</v>
          </cell>
        </row>
        <row r="196">
          <cell r="A196">
            <v>6031</v>
          </cell>
          <cell r="B196" t="str">
            <v>KINGS, CA</v>
          </cell>
        </row>
        <row r="197">
          <cell r="A197">
            <v>6033</v>
          </cell>
          <cell r="B197" t="str">
            <v>LAKE, CA</v>
          </cell>
        </row>
        <row r="198">
          <cell r="A198">
            <v>6035</v>
          </cell>
          <cell r="B198" t="str">
            <v>LASSEN, CA</v>
          </cell>
        </row>
        <row r="199">
          <cell r="A199">
            <v>6037</v>
          </cell>
          <cell r="B199" t="str">
            <v>LOS ANGELES, CA</v>
          </cell>
        </row>
        <row r="200">
          <cell r="A200">
            <v>6039</v>
          </cell>
          <cell r="B200" t="str">
            <v>MADERA, CA</v>
          </cell>
        </row>
        <row r="201">
          <cell r="A201">
            <v>6041</v>
          </cell>
          <cell r="B201" t="str">
            <v>MARIN, CA</v>
          </cell>
        </row>
        <row r="202">
          <cell r="A202">
            <v>6043</v>
          </cell>
          <cell r="B202" t="str">
            <v>MARIPOSA, CA</v>
          </cell>
        </row>
        <row r="203">
          <cell r="A203">
            <v>6045</v>
          </cell>
          <cell r="B203" t="str">
            <v>MENDOCINO, CA</v>
          </cell>
        </row>
        <row r="204">
          <cell r="A204">
            <v>6047</v>
          </cell>
          <cell r="B204" t="str">
            <v>MERCED, CA</v>
          </cell>
        </row>
        <row r="205">
          <cell r="A205">
            <v>6049</v>
          </cell>
          <cell r="B205" t="str">
            <v>MODOC, CA</v>
          </cell>
        </row>
        <row r="206">
          <cell r="A206">
            <v>6051</v>
          </cell>
          <cell r="B206" t="str">
            <v>MONO, CA</v>
          </cell>
        </row>
        <row r="207">
          <cell r="A207">
            <v>6053</v>
          </cell>
          <cell r="B207" t="str">
            <v>MONTEREY, CA</v>
          </cell>
        </row>
        <row r="208">
          <cell r="A208">
            <v>6055</v>
          </cell>
          <cell r="B208" t="str">
            <v>NAPA, CA</v>
          </cell>
        </row>
        <row r="209">
          <cell r="A209">
            <v>6057</v>
          </cell>
          <cell r="B209" t="str">
            <v>NEVADA, CA</v>
          </cell>
        </row>
        <row r="210">
          <cell r="A210">
            <v>6059</v>
          </cell>
          <cell r="B210" t="str">
            <v>ORANGE, CA</v>
          </cell>
        </row>
        <row r="211">
          <cell r="A211">
            <v>6061</v>
          </cell>
          <cell r="B211" t="str">
            <v>PLACER, CA</v>
          </cell>
        </row>
        <row r="212">
          <cell r="A212">
            <v>6063</v>
          </cell>
          <cell r="B212" t="str">
            <v>PLUMAS, CA</v>
          </cell>
        </row>
        <row r="213">
          <cell r="A213">
            <v>6065</v>
          </cell>
          <cell r="B213" t="str">
            <v>RIVERSIDE, CA</v>
          </cell>
        </row>
        <row r="214">
          <cell r="A214">
            <v>6067</v>
          </cell>
          <cell r="B214" t="str">
            <v>SACRAMENTO, CA</v>
          </cell>
        </row>
        <row r="215">
          <cell r="A215">
            <v>6069</v>
          </cell>
          <cell r="B215" t="str">
            <v>SAN BENITO, CA</v>
          </cell>
        </row>
        <row r="216">
          <cell r="A216">
            <v>6071</v>
          </cell>
          <cell r="B216" t="str">
            <v>SAN BERNARDINO, CA</v>
          </cell>
        </row>
        <row r="217">
          <cell r="A217">
            <v>6073</v>
          </cell>
          <cell r="B217" t="str">
            <v>SAN DIEGO, CA</v>
          </cell>
        </row>
        <row r="218">
          <cell r="A218">
            <v>6075</v>
          </cell>
          <cell r="B218" t="str">
            <v>SAN FRANCISCO, CA</v>
          </cell>
        </row>
        <row r="219">
          <cell r="A219">
            <v>6077</v>
          </cell>
          <cell r="B219" t="str">
            <v>SAN JOAQUIN, CA</v>
          </cell>
        </row>
        <row r="220">
          <cell r="A220">
            <v>6079</v>
          </cell>
          <cell r="B220" t="str">
            <v>SAN LUIS OBISPO, CA</v>
          </cell>
        </row>
        <row r="221">
          <cell r="A221">
            <v>6081</v>
          </cell>
          <cell r="B221" t="str">
            <v>SAN MATEO, CA</v>
          </cell>
        </row>
        <row r="222">
          <cell r="A222">
            <v>6083</v>
          </cell>
          <cell r="B222" t="str">
            <v>SANTA BARBARA, CA</v>
          </cell>
        </row>
        <row r="223">
          <cell r="A223">
            <v>6085</v>
          </cell>
          <cell r="B223" t="str">
            <v>SANTA CLARA, CA</v>
          </cell>
        </row>
        <row r="224">
          <cell r="A224">
            <v>6087</v>
          </cell>
          <cell r="B224" t="str">
            <v>SANTA CRUZ, CA</v>
          </cell>
        </row>
        <row r="225">
          <cell r="A225">
            <v>6089</v>
          </cell>
          <cell r="B225" t="str">
            <v>SHASTA, CA</v>
          </cell>
        </row>
        <row r="226">
          <cell r="A226">
            <v>6091</v>
          </cell>
          <cell r="B226" t="str">
            <v>SIERRA, CA</v>
          </cell>
        </row>
        <row r="227">
          <cell r="A227">
            <v>6093</v>
          </cell>
          <cell r="B227" t="str">
            <v>SISKIYOU, CA</v>
          </cell>
        </row>
        <row r="228">
          <cell r="A228">
            <v>6095</v>
          </cell>
          <cell r="B228" t="str">
            <v>SOLANO, CA</v>
          </cell>
        </row>
        <row r="229">
          <cell r="A229">
            <v>6097</v>
          </cell>
          <cell r="B229" t="str">
            <v>SONOMA, CA</v>
          </cell>
        </row>
        <row r="230">
          <cell r="A230">
            <v>6099</v>
          </cell>
          <cell r="B230" t="str">
            <v>STANISLAUS, CA</v>
          </cell>
        </row>
        <row r="231">
          <cell r="A231">
            <v>6101</v>
          </cell>
          <cell r="B231" t="str">
            <v>SUTTER, CA</v>
          </cell>
        </row>
        <row r="232">
          <cell r="A232">
            <v>6103</v>
          </cell>
          <cell r="B232" t="str">
            <v>TEHAMA, CA</v>
          </cell>
        </row>
        <row r="233">
          <cell r="A233">
            <v>6105</v>
          </cell>
          <cell r="B233" t="str">
            <v>TRINITY, CA</v>
          </cell>
        </row>
        <row r="234">
          <cell r="A234">
            <v>6107</v>
          </cell>
          <cell r="B234" t="str">
            <v>TULARE, CA</v>
          </cell>
        </row>
        <row r="235">
          <cell r="A235">
            <v>6109</v>
          </cell>
          <cell r="B235" t="str">
            <v>TUOLUMNE, CA</v>
          </cell>
        </row>
        <row r="236">
          <cell r="A236">
            <v>6111</v>
          </cell>
          <cell r="B236" t="str">
            <v>VENTURA, CA</v>
          </cell>
        </row>
        <row r="237">
          <cell r="A237">
            <v>6113</v>
          </cell>
          <cell r="B237" t="str">
            <v>YOLO, CA</v>
          </cell>
        </row>
        <row r="238">
          <cell r="A238">
            <v>6115</v>
          </cell>
          <cell r="B238" t="str">
            <v>YUBA, CA</v>
          </cell>
        </row>
        <row r="239">
          <cell r="A239">
            <v>8001</v>
          </cell>
          <cell r="B239" t="str">
            <v>ADAMS, CO</v>
          </cell>
        </row>
        <row r="240">
          <cell r="A240">
            <v>8003</v>
          </cell>
          <cell r="B240" t="str">
            <v>ALAMOSA, CO</v>
          </cell>
        </row>
        <row r="241">
          <cell r="A241">
            <v>8005</v>
          </cell>
          <cell r="B241" t="str">
            <v>ARAPAHOE, CO</v>
          </cell>
        </row>
        <row r="242">
          <cell r="A242">
            <v>8007</v>
          </cell>
          <cell r="B242" t="str">
            <v>ARCHULETA, CO</v>
          </cell>
        </row>
        <row r="243">
          <cell r="A243">
            <v>8009</v>
          </cell>
          <cell r="B243" t="str">
            <v>BACA, CO</v>
          </cell>
        </row>
        <row r="244">
          <cell r="A244">
            <v>8011</v>
          </cell>
          <cell r="B244" t="str">
            <v>BENT, CO</v>
          </cell>
        </row>
        <row r="245">
          <cell r="A245">
            <v>8013</v>
          </cell>
          <cell r="B245" t="str">
            <v>BOULDER, CO</v>
          </cell>
        </row>
        <row r="246">
          <cell r="A246">
            <v>8015</v>
          </cell>
          <cell r="B246" t="str">
            <v>CHAFFEE, CO</v>
          </cell>
        </row>
        <row r="247">
          <cell r="A247">
            <v>8017</v>
          </cell>
          <cell r="B247" t="str">
            <v>CHEYENNE, CO</v>
          </cell>
        </row>
        <row r="248">
          <cell r="A248">
            <v>8019</v>
          </cell>
          <cell r="B248" t="str">
            <v>CLEAR CREEK, CO</v>
          </cell>
        </row>
        <row r="249">
          <cell r="A249">
            <v>8021</v>
          </cell>
          <cell r="B249" t="str">
            <v>CONEJOS, CO</v>
          </cell>
        </row>
        <row r="250">
          <cell r="A250">
            <v>8023</v>
          </cell>
          <cell r="B250" t="str">
            <v>COSTILLA, CO</v>
          </cell>
        </row>
        <row r="251">
          <cell r="A251">
            <v>8025</v>
          </cell>
          <cell r="B251" t="str">
            <v>CROWLEY, CO</v>
          </cell>
        </row>
        <row r="252">
          <cell r="A252">
            <v>8027</v>
          </cell>
          <cell r="B252" t="str">
            <v>CUSTER, CO</v>
          </cell>
        </row>
        <row r="253">
          <cell r="A253">
            <v>8029</v>
          </cell>
          <cell r="B253" t="str">
            <v>DELTA, CO</v>
          </cell>
        </row>
        <row r="254">
          <cell r="A254">
            <v>8031</v>
          </cell>
          <cell r="B254" t="str">
            <v>DENVER, CO</v>
          </cell>
        </row>
        <row r="255">
          <cell r="A255">
            <v>8033</v>
          </cell>
          <cell r="B255" t="str">
            <v>DOLORES, CO</v>
          </cell>
        </row>
        <row r="256">
          <cell r="A256">
            <v>8035</v>
          </cell>
          <cell r="B256" t="str">
            <v>DOUGLAS, CO</v>
          </cell>
        </row>
        <row r="257">
          <cell r="A257">
            <v>8037</v>
          </cell>
          <cell r="B257" t="str">
            <v>EAGLE, CO</v>
          </cell>
        </row>
        <row r="258">
          <cell r="A258">
            <v>8039</v>
          </cell>
          <cell r="B258" t="str">
            <v>ELBERT, CO</v>
          </cell>
        </row>
        <row r="259">
          <cell r="A259">
            <v>8041</v>
          </cell>
          <cell r="B259" t="str">
            <v>EL PASO, CO</v>
          </cell>
        </row>
        <row r="260">
          <cell r="A260">
            <v>8043</v>
          </cell>
          <cell r="B260" t="str">
            <v>FREMONT, CO</v>
          </cell>
        </row>
        <row r="261">
          <cell r="A261">
            <v>8045</v>
          </cell>
          <cell r="B261" t="str">
            <v>GARFIELD, CO</v>
          </cell>
        </row>
        <row r="262">
          <cell r="A262">
            <v>8047</v>
          </cell>
          <cell r="B262" t="str">
            <v>GILPIN, CO</v>
          </cell>
        </row>
        <row r="263">
          <cell r="A263">
            <v>8049</v>
          </cell>
          <cell r="B263" t="str">
            <v>GRAND, CO</v>
          </cell>
        </row>
        <row r="264">
          <cell r="A264">
            <v>8051</v>
          </cell>
          <cell r="B264" t="str">
            <v>GUNNISON, CO</v>
          </cell>
        </row>
        <row r="265">
          <cell r="A265">
            <v>8053</v>
          </cell>
          <cell r="B265" t="str">
            <v>HINSDALE, CO</v>
          </cell>
        </row>
        <row r="266">
          <cell r="A266">
            <v>8055</v>
          </cell>
          <cell r="B266" t="str">
            <v>HUERFANO, CO</v>
          </cell>
        </row>
        <row r="267">
          <cell r="A267">
            <v>8057</v>
          </cell>
          <cell r="B267" t="str">
            <v>JACKSON, CO</v>
          </cell>
        </row>
        <row r="268">
          <cell r="A268">
            <v>8059</v>
          </cell>
          <cell r="B268" t="str">
            <v>JEFFERSON, CO</v>
          </cell>
        </row>
        <row r="269">
          <cell r="A269">
            <v>8061</v>
          </cell>
          <cell r="B269" t="str">
            <v>KIOWA, CO</v>
          </cell>
        </row>
        <row r="270">
          <cell r="A270">
            <v>8063</v>
          </cell>
          <cell r="B270" t="str">
            <v>KIT CARSON, CO</v>
          </cell>
        </row>
        <row r="271">
          <cell r="A271">
            <v>8065</v>
          </cell>
          <cell r="B271" t="str">
            <v>LAKE, CO</v>
          </cell>
        </row>
        <row r="272">
          <cell r="A272">
            <v>8067</v>
          </cell>
          <cell r="B272" t="str">
            <v>LA PLATA, CO</v>
          </cell>
        </row>
        <row r="273">
          <cell r="A273">
            <v>8069</v>
          </cell>
          <cell r="B273" t="str">
            <v>LARIMER, CO</v>
          </cell>
        </row>
        <row r="274">
          <cell r="A274">
            <v>8071</v>
          </cell>
          <cell r="B274" t="str">
            <v>LAS ANIMAS, CO</v>
          </cell>
        </row>
        <row r="275">
          <cell r="A275">
            <v>8073</v>
          </cell>
          <cell r="B275" t="str">
            <v>LINCOLN, CO</v>
          </cell>
        </row>
        <row r="276">
          <cell r="A276">
            <v>8075</v>
          </cell>
          <cell r="B276" t="str">
            <v>LOGAN, CO</v>
          </cell>
        </row>
        <row r="277">
          <cell r="A277">
            <v>8077</v>
          </cell>
          <cell r="B277" t="str">
            <v>MESA, CO</v>
          </cell>
        </row>
        <row r="278">
          <cell r="A278">
            <v>8079</v>
          </cell>
          <cell r="B278" t="str">
            <v>MINERAL, CO</v>
          </cell>
        </row>
        <row r="279">
          <cell r="A279">
            <v>8081</v>
          </cell>
          <cell r="B279" t="str">
            <v>MOFFAT, CO</v>
          </cell>
        </row>
        <row r="280">
          <cell r="A280">
            <v>8083</v>
          </cell>
          <cell r="B280" t="str">
            <v>MONTEZUMA, CO</v>
          </cell>
        </row>
        <row r="281">
          <cell r="A281">
            <v>8085</v>
          </cell>
          <cell r="B281" t="str">
            <v>MONTROSE, CO</v>
          </cell>
        </row>
        <row r="282">
          <cell r="A282">
            <v>8087</v>
          </cell>
          <cell r="B282" t="str">
            <v>MORGAN, CO</v>
          </cell>
        </row>
        <row r="283">
          <cell r="A283">
            <v>8089</v>
          </cell>
          <cell r="B283" t="str">
            <v>OTERO, CO</v>
          </cell>
        </row>
        <row r="284">
          <cell r="A284">
            <v>8091</v>
          </cell>
          <cell r="B284" t="str">
            <v>OURAY, CO</v>
          </cell>
        </row>
        <row r="285">
          <cell r="A285">
            <v>8093</v>
          </cell>
          <cell r="B285" t="str">
            <v>PARK, CO</v>
          </cell>
        </row>
        <row r="286">
          <cell r="A286">
            <v>8095</v>
          </cell>
          <cell r="B286" t="str">
            <v>PHILLIPS, CO</v>
          </cell>
        </row>
        <row r="287">
          <cell r="A287">
            <v>8097</v>
          </cell>
          <cell r="B287" t="str">
            <v>PITKIN, CO</v>
          </cell>
        </row>
        <row r="288">
          <cell r="A288">
            <v>8099</v>
          </cell>
          <cell r="B288" t="str">
            <v>PROWERS, CO</v>
          </cell>
        </row>
        <row r="289">
          <cell r="A289">
            <v>8101</v>
          </cell>
          <cell r="B289" t="str">
            <v>PUEBLO, CO</v>
          </cell>
        </row>
        <row r="290">
          <cell r="A290">
            <v>8103</v>
          </cell>
          <cell r="B290" t="str">
            <v>RIO BLANCO, CO</v>
          </cell>
        </row>
        <row r="291">
          <cell r="A291">
            <v>8105</v>
          </cell>
          <cell r="B291" t="str">
            <v>RIO GRANDE, CO</v>
          </cell>
        </row>
        <row r="292">
          <cell r="A292">
            <v>8107</v>
          </cell>
          <cell r="B292" t="str">
            <v>ROUTT, CO</v>
          </cell>
        </row>
        <row r="293">
          <cell r="A293">
            <v>8109</v>
          </cell>
          <cell r="B293" t="str">
            <v>SAGUACHE, CO</v>
          </cell>
        </row>
        <row r="294">
          <cell r="A294">
            <v>8111</v>
          </cell>
          <cell r="B294" t="str">
            <v>SAN JUAN, CO</v>
          </cell>
        </row>
        <row r="295">
          <cell r="A295">
            <v>8113</v>
          </cell>
          <cell r="B295" t="str">
            <v>SAN MIGUEL, CO</v>
          </cell>
        </row>
        <row r="296">
          <cell r="A296">
            <v>8115</v>
          </cell>
          <cell r="B296" t="str">
            <v>SEDGWICK, CO</v>
          </cell>
        </row>
        <row r="297">
          <cell r="A297">
            <v>8117</v>
          </cell>
          <cell r="B297" t="str">
            <v>SUMMIT, CO</v>
          </cell>
        </row>
        <row r="298">
          <cell r="A298">
            <v>8119</v>
          </cell>
          <cell r="B298" t="str">
            <v>TELLER, CO</v>
          </cell>
        </row>
        <row r="299">
          <cell r="A299">
            <v>8121</v>
          </cell>
          <cell r="B299" t="str">
            <v>WASHINGTON, CO</v>
          </cell>
        </row>
        <row r="300">
          <cell r="A300">
            <v>8123</v>
          </cell>
          <cell r="B300" t="str">
            <v>WELD, CO</v>
          </cell>
        </row>
        <row r="301">
          <cell r="A301">
            <v>8125</v>
          </cell>
          <cell r="B301" t="str">
            <v>YUMA, CO</v>
          </cell>
        </row>
        <row r="302">
          <cell r="A302">
            <v>9001</v>
          </cell>
          <cell r="B302" t="str">
            <v>FAIRFIELD, CT</v>
          </cell>
        </row>
        <row r="303">
          <cell r="A303">
            <v>9003</v>
          </cell>
          <cell r="B303" t="str">
            <v>HARTFORD, CT</v>
          </cell>
        </row>
        <row r="304">
          <cell r="A304">
            <v>9005</v>
          </cell>
          <cell r="B304" t="str">
            <v>LITCHFIELD, CT</v>
          </cell>
        </row>
        <row r="305">
          <cell r="A305">
            <v>9007</v>
          </cell>
          <cell r="B305" t="str">
            <v>MIDDLESEX, CT</v>
          </cell>
        </row>
        <row r="306">
          <cell r="A306">
            <v>9009</v>
          </cell>
          <cell r="B306" t="str">
            <v>NEW HAVEN, CT</v>
          </cell>
        </row>
        <row r="307">
          <cell r="A307">
            <v>9011</v>
          </cell>
          <cell r="B307" t="str">
            <v>NEW LONDON, CT</v>
          </cell>
        </row>
        <row r="308">
          <cell r="A308">
            <v>9013</v>
          </cell>
          <cell r="B308" t="str">
            <v>TOLLAND, CT</v>
          </cell>
        </row>
        <row r="309">
          <cell r="A309">
            <v>9015</v>
          </cell>
          <cell r="B309" t="str">
            <v>WINDHAM, CT</v>
          </cell>
        </row>
        <row r="310">
          <cell r="A310">
            <v>10001</v>
          </cell>
          <cell r="B310" t="str">
            <v>KENT, DE</v>
          </cell>
        </row>
        <row r="311">
          <cell r="A311">
            <v>10003</v>
          </cell>
          <cell r="B311" t="str">
            <v>NEW CASTLE, DE</v>
          </cell>
        </row>
        <row r="312">
          <cell r="A312">
            <v>10005</v>
          </cell>
          <cell r="B312" t="str">
            <v>SUSSEX, DE</v>
          </cell>
        </row>
        <row r="313">
          <cell r="A313">
            <v>11001</v>
          </cell>
          <cell r="B313" t="str">
            <v>DISTRICT OF COLUMBIA, DC</v>
          </cell>
        </row>
        <row r="314">
          <cell r="A314">
            <v>12001</v>
          </cell>
          <cell r="B314" t="str">
            <v>ALACHUA, FL</v>
          </cell>
        </row>
        <row r="315">
          <cell r="A315">
            <v>12003</v>
          </cell>
          <cell r="B315" t="str">
            <v>BAKER, FL</v>
          </cell>
        </row>
        <row r="316">
          <cell r="A316">
            <v>12005</v>
          </cell>
          <cell r="B316" t="str">
            <v>BAY, FL</v>
          </cell>
        </row>
        <row r="317">
          <cell r="A317">
            <v>12007</v>
          </cell>
          <cell r="B317" t="str">
            <v>BRADFORD, FL</v>
          </cell>
        </row>
        <row r="318">
          <cell r="A318">
            <v>12009</v>
          </cell>
          <cell r="B318" t="str">
            <v>BREVARD, FL</v>
          </cell>
        </row>
        <row r="319">
          <cell r="A319">
            <v>12011</v>
          </cell>
          <cell r="B319" t="str">
            <v>BROWARD, FL</v>
          </cell>
        </row>
        <row r="320">
          <cell r="A320">
            <v>12013</v>
          </cell>
          <cell r="B320" t="str">
            <v>CALHOUN, FL</v>
          </cell>
        </row>
        <row r="321">
          <cell r="A321">
            <v>12015</v>
          </cell>
          <cell r="B321" t="str">
            <v>CHARLOTTE, FL</v>
          </cell>
        </row>
        <row r="322">
          <cell r="A322">
            <v>12017</v>
          </cell>
          <cell r="B322" t="str">
            <v>CITRUS, FL</v>
          </cell>
        </row>
        <row r="323">
          <cell r="A323">
            <v>12019</v>
          </cell>
          <cell r="B323" t="str">
            <v>CLAY, FL</v>
          </cell>
        </row>
        <row r="324">
          <cell r="A324">
            <v>12021</v>
          </cell>
          <cell r="B324" t="str">
            <v>COLLIER, FL</v>
          </cell>
        </row>
        <row r="325">
          <cell r="A325">
            <v>12023</v>
          </cell>
          <cell r="B325" t="str">
            <v>COLUMBIA, FL</v>
          </cell>
        </row>
        <row r="326">
          <cell r="A326">
            <v>12025</v>
          </cell>
          <cell r="B326" t="str">
            <v>DADE, FL</v>
          </cell>
        </row>
        <row r="327">
          <cell r="A327">
            <v>12027</v>
          </cell>
          <cell r="B327" t="str">
            <v>DE SOTO, FL</v>
          </cell>
        </row>
        <row r="328">
          <cell r="A328">
            <v>12029</v>
          </cell>
          <cell r="B328" t="str">
            <v>DIXIE, FL</v>
          </cell>
        </row>
        <row r="329">
          <cell r="A329">
            <v>12031</v>
          </cell>
          <cell r="B329" t="str">
            <v>DUVAL, FL</v>
          </cell>
        </row>
        <row r="330">
          <cell r="A330">
            <v>12033</v>
          </cell>
          <cell r="B330" t="str">
            <v>ESCAMBIA, FL</v>
          </cell>
        </row>
        <row r="331">
          <cell r="A331">
            <v>12035</v>
          </cell>
          <cell r="B331" t="str">
            <v>FLAGLER, FL</v>
          </cell>
        </row>
        <row r="332">
          <cell r="A332">
            <v>12037</v>
          </cell>
          <cell r="B332" t="str">
            <v>FRANKLIN, FL</v>
          </cell>
        </row>
        <row r="333">
          <cell r="A333">
            <v>12039</v>
          </cell>
          <cell r="B333" t="str">
            <v>GADSDEN, FL</v>
          </cell>
        </row>
        <row r="334">
          <cell r="A334">
            <v>12041</v>
          </cell>
          <cell r="B334" t="str">
            <v>GILCHRIST, FL</v>
          </cell>
        </row>
        <row r="335">
          <cell r="A335">
            <v>12043</v>
          </cell>
          <cell r="B335" t="str">
            <v>GLADES, FL</v>
          </cell>
        </row>
        <row r="336">
          <cell r="A336">
            <v>12045</v>
          </cell>
          <cell r="B336" t="str">
            <v>GULF, FL</v>
          </cell>
        </row>
        <row r="337">
          <cell r="A337">
            <v>12047</v>
          </cell>
          <cell r="B337" t="str">
            <v>HAMILTON, FL</v>
          </cell>
        </row>
        <row r="338">
          <cell r="A338">
            <v>12049</v>
          </cell>
          <cell r="B338" t="str">
            <v>HARDEE, FL</v>
          </cell>
        </row>
        <row r="339">
          <cell r="A339">
            <v>12051</v>
          </cell>
          <cell r="B339" t="str">
            <v>HENDRY, FL</v>
          </cell>
        </row>
        <row r="340">
          <cell r="A340">
            <v>12053</v>
          </cell>
          <cell r="B340" t="str">
            <v>HERNANDO, FL</v>
          </cell>
        </row>
        <row r="341">
          <cell r="A341">
            <v>12055</v>
          </cell>
          <cell r="B341" t="str">
            <v>HIGHLANDS, FL</v>
          </cell>
        </row>
        <row r="342">
          <cell r="A342">
            <v>12057</v>
          </cell>
          <cell r="B342" t="str">
            <v>HILLSBOROUGH, FL</v>
          </cell>
        </row>
        <row r="343">
          <cell r="A343">
            <v>12059</v>
          </cell>
          <cell r="B343" t="str">
            <v>HOLMES, FL</v>
          </cell>
        </row>
        <row r="344">
          <cell r="A344">
            <v>12061</v>
          </cell>
          <cell r="B344" t="str">
            <v>INDIAN RIVER, FL</v>
          </cell>
        </row>
        <row r="345">
          <cell r="A345">
            <v>12063</v>
          </cell>
          <cell r="B345" t="str">
            <v>JACKSON, FL</v>
          </cell>
        </row>
        <row r="346">
          <cell r="A346">
            <v>12065</v>
          </cell>
          <cell r="B346" t="str">
            <v>JEFFERSON, FL</v>
          </cell>
        </row>
        <row r="347">
          <cell r="A347">
            <v>12067</v>
          </cell>
          <cell r="B347" t="str">
            <v>LAFAYETTE, FL</v>
          </cell>
        </row>
        <row r="348">
          <cell r="A348">
            <v>12069</v>
          </cell>
          <cell r="B348" t="str">
            <v>LAKE, FL</v>
          </cell>
        </row>
        <row r="349">
          <cell r="A349">
            <v>12071</v>
          </cell>
          <cell r="B349" t="str">
            <v>LEE, FL</v>
          </cell>
        </row>
        <row r="350">
          <cell r="A350">
            <v>12073</v>
          </cell>
          <cell r="B350" t="str">
            <v>LEON, FL</v>
          </cell>
        </row>
        <row r="351">
          <cell r="A351">
            <v>12075</v>
          </cell>
          <cell r="B351" t="str">
            <v>LEVY, FL</v>
          </cell>
        </row>
        <row r="352">
          <cell r="A352">
            <v>12077</v>
          </cell>
          <cell r="B352" t="str">
            <v>LIBERTY, FL</v>
          </cell>
        </row>
        <row r="353">
          <cell r="A353">
            <v>12079</v>
          </cell>
          <cell r="B353" t="str">
            <v>MADISON, FL</v>
          </cell>
        </row>
        <row r="354">
          <cell r="A354">
            <v>12081</v>
          </cell>
          <cell r="B354" t="str">
            <v>MANATEE, FL</v>
          </cell>
        </row>
        <row r="355">
          <cell r="A355">
            <v>12083</v>
          </cell>
          <cell r="B355" t="str">
            <v>MARION, FL</v>
          </cell>
        </row>
        <row r="356">
          <cell r="A356">
            <v>12085</v>
          </cell>
          <cell r="B356" t="str">
            <v>MARTIN, FL</v>
          </cell>
        </row>
        <row r="357">
          <cell r="A357">
            <v>12087</v>
          </cell>
          <cell r="B357" t="str">
            <v>MONROE, FL</v>
          </cell>
        </row>
        <row r="358">
          <cell r="A358">
            <v>12089</v>
          </cell>
          <cell r="B358" t="str">
            <v>NASSAU, FL</v>
          </cell>
        </row>
        <row r="359">
          <cell r="A359">
            <v>12091</v>
          </cell>
          <cell r="B359" t="str">
            <v>OKALOOSA, FL</v>
          </cell>
        </row>
        <row r="360">
          <cell r="A360">
            <v>12093</v>
          </cell>
          <cell r="B360" t="str">
            <v>OKEECHOBEE, FL</v>
          </cell>
        </row>
        <row r="361">
          <cell r="A361">
            <v>12095</v>
          </cell>
          <cell r="B361" t="str">
            <v>ORANGE, FL</v>
          </cell>
        </row>
        <row r="362">
          <cell r="A362">
            <v>12097</v>
          </cell>
          <cell r="B362" t="str">
            <v>OSCEOLA, FL</v>
          </cell>
        </row>
        <row r="363">
          <cell r="A363">
            <v>12099</v>
          </cell>
          <cell r="B363" t="str">
            <v>PALM BEACH, FL</v>
          </cell>
        </row>
        <row r="364">
          <cell r="A364">
            <v>12101</v>
          </cell>
          <cell r="B364" t="str">
            <v>PASCO, FL</v>
          </cell>
        </row>
        <row r="365">
          <cell r="A365">
            <v>12103</v>
          </cell>
          <cell r="B365" t="str">
            <v>PINELLAS, FL</v>
          </cell>
        </row>
        <row r="366">
          <cell r="A366">
            <v>12105</v>
          </cell>
          <cell r="B366" t="str">
            <v>POLK, FL</v>
          </cell>
        </row>
        <row r="367">
          <cell r="A367">
            <v>12107</v>
          </cell>
          <cell r="B367" t="str">
            <v>PUTNAM, FL</v>
          </cell>
        </row>
        <row r="368">
          <cell r="A368">
            <v>12109</v>
          </cell>
          <cell r="B368" t="str">
            <v>ST JOHNS, FL</v>
          </cell>
        </row>
        <row r="369">
          <cell r="A369">
            <v>12111</v>
          </cell>
          <cell r="B369" t="str">
            <v>ST LUCIE, FL</v>
          </cell>
        </row>
        <row r="370">
          <cell r="A370">
            <v>12113</v>
          </cell>
          <cell r="B370" t="str">
            <v>SANTA ROSA, FL</v>
          </cell>
        </row>
        <row r="371">
          <cell r="A371">
            <v>12115</v>
          </cell>
          <cell r="B371" t="str">
            <v>SARASOTA, FL</v>
          </cell>
        </row>
        <row r="372">
          <cell r="A372">
            <v>12117</v>
          </cell>
          <cell r="B372" t="str">
            <v>SEMINOLE, FL</v>
          </cell>
        </row>
        <row r="373">
          <cell r="A373">
            <v>12119</v>
          </cell>
          <cell r="B373" t="str">
            <v>SUMTER, FL</v>
          </cell>
        </row>
        <row r="374">
          <cell r="A374">
            <v>12121</v>
          </cell>
          <cell r="B374" t="str">
            <v>SUWANNEE, FL</v>
          </cell>
        </row>
        <row r="375">
          <cell r="A375">
            <v>12123</v>
          </cell>
          <cell r="B375" t="str">
            <v>TAYLOR, FL</v>
          </cell>
        </row>
        <row r="376">
          <cell r="A376">
            <v>12125</v>
          </cell>
          <cell r="B376" t="str">
            <v>UNION, FL</v>
          </cell>
        </row>
        <row r="377">
          <cell r="A377">
            <v>12127</v>
          </cell>
          <cell r="B377" t="str">
            <v>VOLUSIA, FL</v>
          </cell>
        </row>
        <row r="378">
          <cell r="A378">
            <v>12129</v>
          </cell>
          <cell r="B378" t="str">
            <v>WAKULLA, FL</v>
          </cell>
        </row>
        <row r="379">
          <cell r="A379">
            <v>12131</v>
          </cell>
          <cell r="B379" t="str">
            <v>WALTON, FL</v>
          </cell>
        </row>
        <row r="380">
          <cell r="A380">
            <v>12133</v>
          </cell>
          <cell r="B380" t="str">
            <v>WASHINGTON, FL</v>
          </cell>
        </row>
        <row r="381">
          <cell r="A381">
            <v>13001</v>
          </cell>
          <cell r="B381" t="str">
            <v>APPLING, GA</v>
          </cell>
        </row>
        <row r="382">
          <cell r="A382">
            <v>13003</v>
          </cell>
          <cell r="B382" t="str">
            <v>ATKINSON, GA</v>
          </cell>
        </row>
        <row r="383">
          <cell r="A383">
            <v>13005</v>
          </cell>
          <cell r="B383" t="str">
            <v>BACON, GA</v>
          </cell>
        </row>
        <row r="384">
          <cell r="A384">
            <v>13007</v>
          </cell>
          <cell r="B384" t="str">
            <v>BAKER, GA</v>
          </cell>
        </row>
        <row r="385">
          <cell r="A385">
            <v>13009</v>
          </cell>
          <cell r="B385" t="str">
            <v>BALDWIN, GA</v>
          </cell>
        </row>
        <row r="386">
          <cell r="A386">
            <v>13011</v>
          </cell>
          <cell r="B386" t="str">
            <v>BANKS, GA</v>
          </cell>
        </row>
        <row r="387">
          <cell r="A387">
            <v>13013</v>
          </cell>
          <cell r="B387" t="str">
            <v>BARROW, GA</v>
          </cell>
        </row>
        <row r="388">
          <cell r="A388">
            <v>13015</v>
          </cell>
          <cell r="B388" t="str">
            <v>BARTOW, GA</v>
          </cell>
        </row>
        <row r="389">
          <cell r="A389">
            <v>13017</v>
          </cell>
          <cell r="B389" t="str">
            <v>BEN HILL, GA</v>
          </cell>
        </row>
        <row r="390">
          <cell r="A390">
            <v>13019</v>
          </cell>
          <cell r="B390" t="str">
            <v>BERRIEN, GA</v>
          </cell>
        </row>
        <row r="391">
          <cell r="A391">
            <v>13021</v>
          </cell>
          <cell r="B391" t="str">
            <v>BIBB, GA</v>
          </cell>
        </row>
        <row r="392">
          <cell r="A392">
            <v>13023</v>
          </cell>
          <cell r="B392" t="str">
            <v>BLECKLEY, GA</v>
          </cell>
        </row>
        <row r="393">
          <cell r="A393">
            <v>13025</v>
          </cell>
          <cell r="B393" t="str">
            <v>BRANTLEY, GA</v>
          </cell>
        </row>
        <row r="394">
          <cell r="A394">
            <v>13027</v>
          </cell>
          <cell r="B394" t="str">
            <v>BROOKS, GA</v>
          </cell>
        </row>
        <row r="395">
          <cell r="A395">
            <v>13029</v>
          </cell>
          <cell r="B395" t="str">
            <v>BRYAN, GA</v>
          </cell>
        </row>
        <row r="396">
          <cell r="A396">
            <v>13031</v>
          </cell>
          <cell r="B396" t="str">
            <v>BULLOCH, GA</v>
          </cell>
        </row>
        <row r="397">
          <cell r="A397">
            <v>13033</v>
          </cell>
          <cell r="B397" t="str">
            <v>BURKE, GA</v>
          </cell>
        </row>
        <row r="398">
          <cell r="A398">
            <v>13035</v>
          </cell>
          <cell r="B398" t="str">
            <v>BUTTS, GA</v>
          </cell>
        </row>
        <row r="399">
          <cell r="A399">
            <v>13037</v>
          </cell>
          <cell r="B399" t="str">
            <v>CALHOUN, GA</v>
          </cell>
        </row>
        <row r="400">
          <cell r="A400">
            <v>13039</v>
          </cell>
          <cell r="B400" t="str">
            <v>CAMDEN, GA</v>
          </cell>
        </row>
        <row r="401">
          <cell r="A401">
            <v>13043</v>
          </cell>
          <cell r="B401" t="str">
            <v>CANDLER, GA</v>
          </cell>
        </row>
        <row r="402">
          <cell r="A402">
            <v>13045</v>
          </cell>
          <cell r="B402" t="str">
            <v>CARROLL, GA</v>
          </cell>
        </row>
        <row r="403">
          <cell r="A403">
            <v>13047</v>
          </cell>
          <cell r="B403" t="str">
            <v>CATOOSA, GA</v>
          </cell>
        </row>
        <row r="404">
          <cell r="A404">
            <v>13049</v>
          </cell>
          <cell r="B404" t="str">
            <v>CHARLTON, GA</v>
          </cell>
        </row>
        <row r="405">
          <cell r="A405">
            <v>13051</v>
          </cell>
          <cell r="B405" t="str">
            <v>CHATHAM, GA</v>
          </cell>
        </row>
        <row r="406">
          <cell r="A406">
            <v>13053</v>
          </cell>
          <cell r="B406" t="str">
            <v>CHATTAHOOCHEE, GA</v>
          </cell>
        </row>
        <row r="407">
          <cell r="A407">
            <v>13055</v>
          </cell>
          <cell r="B407" t="str">
            <v>CHATTOOGA, GA</v>
          </cell>
        </row>
        <row r="408">
          <cell r="A408">
            <v>13057</v>
          </cell>
          <cell r="B408" t="str">
            <v>CHEROKEE, GA</v>
          </cell>
        </row>
        <row r="409">
          <cell r="A409">
            <v>13059</v>
          </cell>
          <cell r="B409" t="str">
            <v>CLARKE, GA</v>
          </cell>
        </row>
        <row r="410">
          <cell r="A410">
            <v>13061</v>
          </cell>
          <cell r="B410" t="str">
            <v>CLAY, GA</v>
          </cell>
        </row>
        <row r="411">
          <cell r="A411">
            <v>13063</v>
          </cell>
          <cell r="B411" t="str">
            <v>CLAYTON, GA</v>
          </cell>
        </row>
        <row r="412">
          <cell r="A412">
            <v>13065</v>
          </cell>
          <cell r="B412" t="str">
            <v>CLINCH, GA</v>
          </cell>
        </row>
        <row r="413">
          <cell r="A413">
            <v>13067</v>
          </cell>
          <cell r="B413" t="str">
            <v>COBB, GA</v>
          </cell>
        </row>
        <row r="414">
          <cell r="A414">
            <v>13069</v>
          </cell>
          <cell r="B414" t="str">
            <v>COFFEE, GA</v>
          </cell>
        </row>
        <row r="415">
          <cell r="A415">
            <v>13071</v>
          </cell>
          <cell r="B415" t="str">
            <v>COLQUITT, GA</v>
          </cell>
        </row>
        <row r="416">
          <cell r="A416">
            <v>13073</v>
          </cell>
          <cell r="B416" t="str">
            <v>COLUMBIA, GA</v>
          </cell>
        </row>
        <row r="417">
          <cell r="A417">
            <v>13075</v>
          </cell>
          <cell r="B417" t="str">
            <v>COOK, GA</v>
          </cell>
        </row>
        <row r="418">
          <cell r="A418">
            <v>13077</v>
          </cell>
          <cell r="B418" t="str">
            <v>COWETA, GA</v>
          </cell>
        </row>
        <row r="419">
          <cell r="A419">
            <v>13079</v>
          </cell>
          <cell r="B419" t="str">
            <v>CRAWFORD, GA</v>
          </cell>
        </row>
        <row r="420">
          <cell r="A420">
            <v>13081</v>
          </cell>
          <cell r="B420" t="str">
            <v>CRISP, GA</v>
          </cell>
        </row>
        <row r="421">
          <cell r="A421">
            <v>13083</v>
          </cell>
          <cell r="B421" t="str">
            <v>DADE, GA</v>
          </cell>
        </row>
        <row r="422">
          <cell r="A422">
            <v>13085</v>
          </cell>
          <cell r="B422" t="str">
            <v>DAWSON, GA</v>
          </cell>
        </row>
        <row r="423">
          <cell r="A423">
            <v>13087</v>
          </cell>
          <cell r="B423" t="str">
            <v>DECATUR, GA</v>
          </cell>
        </row>
        <row r="424">
          <cell r="A424">
            <v>13089</v>
          </cell>
          <cell r="B424" t="str">
            <v>DE KALB, GA</v>
          </cell>
        </row>
        <row r="425">
          <cell r="A425">
            <v>13091</v>
          </cell>
          <cell r="B425" t="str">
            <v>DODGE, GA</v>
          </cell>
        </row>
        <row r="426">
          <cell r="A426">
            <v>13093</v>
          </cell>
          <cell r="B426" t="str">
            <v>DOOLY, GA</v>
          </cell>
        </row>
        <row r="427">
          <cell r="A427">
            <v>13095</v>
          </cell>
          <cell r="B427" t="str">
            <v>DOUGHERTY, GA</v>
          </cell>
        </row>
        <row r="428">
          <cell r="A428">
            <v>13097</v>
          </cell>
          <cell r="B428" t="str">
            <v>DOUGLAS, GA</v>
          </cell>
        </row>
        <row r="429">
          <cell r="A429">
            <v>13099</v>
          </cell>
          <cell r="B429" t="str">
            <v>EARLY, GA</v>
          </cell>
        </row>
        <row r="430">
          <cell r="A430">
            <v>13101</v>
          </cell>
          <cell r="B430" t="str">
            <v>ECHOLS, GA</v>
          </cell>
        </row>
        <row r="431">
          <cell r="A431">
            <v>13103</v>
          </cell>
          <cell r="B431" t="str">
            <v>EFFINGHAM, GA</v>
          </cell>
        </row>
        <row r="432">
          <cell r="A432">
            <v>13105</v>
          </cell>
          <cell r="B432" t="str">
            <v>ELBERT, GA</v>
          </cell>
        </row>
        <row r="433">
          <cell r="A433">
            <v>13107</v>
          </cell>
          <cell r="B433" t="str">
            <v>EMANUEL, GA</v>
          </cell>
        </row>
        <row r="434">
          <cell r="A434">
            <v>13109</v>
          </cell>
          <cell r="B434" t="str">
            <v>EVANS, GA</v>
          </cell>
        </row>
        <row r="435">
          <cell r="A435">
            <v>13111</v>
          </cell>
          <cell r="B435" t="str">
            <v>FANNIN, GA</v>
          </cell>
        </row>
        <row r="436">
          <cell r="A436">
            <v>13113</v>
          </cell>
          <cell r="B436" t="str">
            <v>FAYETTE, GA</v>
          </cell>
        </row>
        <row r="437">
          <cell r="A437">
            <v>13115</v>
          </cell>
          <cell r="B437" t="str">
            <v>FLOYD, GA</v>
          </cell>
        </row>
        <row r="438">
          <cell r="A438">
            <v>13117</v>
          </cell>
          <cell r="B438" t="str">
            <v>FORSYTH, GA</v>
          </cell>
        </row>
        <row r="439">
          <cell r="A439">
            <v>13119</v>
          </cell>
          <cell r="B439" t="str">
            <v>FRANKLIN, GA</v>
          </cell>
        </row>
        <row r="440">
          <cell r="A440">
            <v>13121</v>
          </cell>
          <cell r="B440" t="str">
            <v>FULTON, GA</v>
          </cell>
        </row>
        <row r="441">
          <cell r="A441">
            <v>13123</v>
          </cell>
          <cell r="B441" t="str">
            <v>GILMER, GA</v>
          </cell>
        </row>
        <row r="442">
          <cell r="A442">
            <v>13125</v>
          </cell>
          <cell r="B442" t="str">
            <v>GLASCOCK, GA</v>
          </cell>
        </row>
        <row r="443">
          <cell r="A443">
            <v>13127</v>
          </cell>
          <cell r="B443" t="str">
            <v>GLYNN, GA</v>
          </cell>
        </row>
        <row r="444">
          <cell r="A444">
            <v>13129</v>
          </cell>
          <cell r="B444" t="str">
            <v>GORDON, GA</v>
          </cell>
        </row>
        <row r="445">
          <cell r="A445">
            <v>13131</v>
          </cell>
          <cell r="B445" t="str">
            <v>GRADY, GA</v>
          </cell>
        </row>
        <row r="446">
          <cell r="A446">
            <v>13133</v>
          </cell>
          <cell r="B446" t="str">
            <v>GREENE, GA</v>
          </cell>
        </row>
        <row r="447">
          <cell r="A447">
            <v>13135</v>
          </cell>
          <cell r="B447" t="str">
            <v>GWINNETT, GA</v>
          </cell>
        </row>
        <row r="448">
          <cell r="A448">
            <v>13137</v>
          </cell>
          <cell r="B448" t="str">
            <v>HABERSHAM, GA</v>
          </cell>
        </row>
        <row r="449">
          <cell r="A449">
            <v>13139</v>
          </cell>
          <cell r="B449" t="str">
            <v>HALL, GA</v>
          </cell>
        </row>
        <row r="450">
          <cell r="A450">
            <v>13141</v>
          </cell>
          <cell r="B450" t="str">
            <v>HANCOCK, GA</v>
          </cell>
        </row>
        <row r="451">
          <cell r="A451">
            <v>13143</v>
          </cell>
          <cell r="B451" t="str">
            <v>HARALSON, GA</v>
          </cell>
        </row>
        <row r="452">
          <cell r="A452">
            <v>13145</v>
          </cell>
          <cell r="B452" t="str">
            <v>HARRIS, GA</v>
          </cell>
        </row>
        <row r="453">
          <cell r="A453">
            <v>13147</v>
          </cell>
          <cell r="B453" t="str">
            <v>HART, GA</v>
          </cell>
        </row>
        <row r="454">
          <cell r="A454">
            <v>13149</v>
          </cell>
          <cell r="B454" t="str">
            <v>HEARD, GA</v>
          </cell>
        </row>
        <row r="455">
          <cell r="A455">
            <v>13151</v>
          </cell>
          <cell r="B455" t="str">
            <v>HENRY, GA</v>
          </cell>
        </row>
        <row r="456">
          <cell r="A456">
            <v>13153</v>
          </cell>
          <cell r="B456" t="str">
            <v>HOUSTON, GA</v>
          </cell>
        </row>
        <row r="457">
          <cell r="A457">
            <v>13155</v>
          </cell>
          <cell r="B457" t="str">
            <v>IRWIN, GA</v>
          </cell>
        </row>
        <row r="458">
          <cell r="A458">
            <v>13157</v>
          </cell>
          <cell r="B458" t="str">
            <v>JACKSON, GA</v>
          </cell>
        </row>
        <row r="459">
          <cell r="A459">
            <v>13159</v>
          </cell>
          <cell r="B459" t="str">
            <v>JASPER, GA</v>
          </cell>
        </row>
        <row r="460">
          <cell r="A460">
            <v>13161</v>
          </cell>
          <cell r="B460" t="str">
            <v>JEFF DAVIS, GA</v>
          </cell>
        </row>
        <row r="461">
          <cell r="A461">
            <v>13163</v>
          </cell>
          <cell r="B461" t="str">
            <v>JEFFERSON, GA</v>
          </cell>
        </row>
        <row r="462">
          <cell r="A462">
            <v>13165</v>
          </cell>
          <cell r="B462" t="str">
            <v>JENKINS, GA</v>
          </cell>
        </row>
        <row r="463">
          <cell r="A463">
            <v>13167</v>
          </cell>
          <cell r="B463" t="str">
            <v>JOHNSON, GA</v>
          </cell>
        </row>
        <row r="464">
          <cell r="A464">
            <v>13169</v>
          </cell>
          <cell r="B464" t="str">
            <v>JONES, GA</v>
          </cell>
        </row>
        <row r="465">
          <cell r="A465">
            <v>13171</v>
          </cell>
          <cell r="B465" t="str">
            <v>LAMAR, GA</v>
          </cell>
        </row>
        <row r="466">
          <cell r="A466">
            <v>13173</v>
          </cell>
          <cell r="B466" t="str">
            <v>LANIER, GA</v>
          </cell>
        </row>
        <row r="467">
          <cell r="A467">
            <v>13175</v>
          </cell>
          <cell r="B467" t="str">
            <v>LAURENS, GA</v>
          </cell>
        </row>
        <row r="468">
          <cell r="A468">
            <v>13177</v>
          </cell>
          <cell r="B468" t="str">
            <v>LEE, GA</v>
          </cell>
        </row>
        <row r="469">
          <cell r="A469">
            <v>13179</v>
          </cell>
          <cell r="B469" t="str">
            <v>LIBERTY, GA</v>
          </cell>
        </row>
        <row r="470">
          <cell r="A470">
            <v>13181</v>
          </cell>
          <cell r="B470" t="str">
            <v>LINCOLN, GA</v>
          </cell>
        </row>
        <row r="471">
          <cell r="A471">
            <v>13183</v>
          </cell>
          <cell r="B471" t="str">
            <v>LONG, GA</v>
          </cell>
        </row>
        <row r="472">
          <cell r="A472">
            <v>13185</v>
          </cell>
          <cell r="B472" t="str">
            <v>LOWNDES, GA</v>
          </cell>
        </row>
        <row r="473">
          <cell r="A473">
            <v>13187</v>
          </cell>
          <cell r="B473" t="str">
            <v>LUMPKIN, GA</v>
          </cell>
        </row>
        <row r="474">
          <cell r="A474">
            <v>13189</v>
          </cell>
          <cell r="B474" t="str">
            <v>MCDUFFIE, GA</v>
          </cell>
        </row>
        <row r="475">
          <cell r="A475">
            <v>13191</v>
          </cell>
          <cell r="B475" t="str">
            <v>MCINTOSH, GA</v>
          </cell>
        </row>
        <row r="476">
          <cell r="A476">
            <v>13193</v>
          </cell>
          <cell r="B476" t="str">
            <v>MACON, GA</v>
          </cell>
        </row>
        <row r="477">
          <cell r="A477">
            <v>13195</v>
          </cell>
          <cell r="B477" t="str">
            <v>MADISON, GA</v>
          </cell>
        </row>
        <row r="478">
          <cell r="A478">
            <v>13197</v>
          </cell>
          <cell r="B478" t="str">
            <v>MARION, GA</v>
          </cell>
        </row>
        <row r="479">
          <cell r="A479">
            <v>13199</v>
          </cell>
          <cell r="B479" t="str">
            <v>MERIWETHER, GA</v>
          </cell>
        </row>
        <row r="480">
          <cell r="A480">
            <v>13201</v>
          </cell>
          <cell r="B480" t="str">
            <v>MILLER, GA</v>
          </cell>
        </row>
        <row r="481">
          <cell r="A481">
            <v>13205</v>
          </cell>
          <cell r="B481" t="str">
            <v>MITCHELL, GA</v>
          </cell>
        </row>
        <row r="482">
          <cell r="A482">
            <v>13207</v>
          </cell>
          <cell r="B482" t="str">
            <v>MONROE, GA</v>
          </cell>
        </row>
        <row r="483">
          <cell r="A483">
            <v>13209</v>
          </cell>
          <cell r="B483" t="str">
            <v>MONTGOMERY, GA</v>
          </cell>
        </row>
        <row r="484">
          <cell r="A484">
            <v>13211</v>
          </cell>
          <cell r="B484" t="str">
            <v>MORGAN, GA</v>
          </cell>
        </row>
        <row r="485">
          <cell r="A485">
            <v>13213</v>
          </cell>
          <cell r="B485" t="str">
            <v>MURRAY, GA</v>
          </cell>
        </row>
        <row r="486">
          <cell r="A486">
            <v>13215</v>
          </cell>
          <cell r="B486" t="str">
            <v>MUSCOGEE, GA</v>
          </cell>
        </row>
        <row r="487">
          <cell r="A487">
            <v>13217</v>
          </cell>
          <cell r="B487" t="str">
            <v>NEWTON, GA</v>
          </cell>
        </row>
        <row r="488">
          <cell r="A488">
            <v>13219</v>
          </cell>
          <cell r="B488" t="str">
            <v>OCONEE, GA</v>
          </cell>
        </row>
        <row r="489">
          <cell r="A489">
            <v>13221</v>
          </cell>
          <cell r="B489" t="str">
            <v>OGLETHORPE, GA</v>
          </cell>
        </row>
        <row r="490">
          <cell r="A490">
            <v>13223</v>
          </cell>
          <cell r="B490" t="str">
            <v>PAULDING, GA</v>
          </cell>
        </row>
        <row r="491">
          <cell r="A491">
            <v>13225</v>
          </cell>
          <cell r="B491" t="str">
            <v>PEACH, GA</v>
          </cell>
        </row>
        <row r="492">
          <cell r="A492">
            <v>13227</v>
          </cell>
          <cell r="B492" t="str">
            <v>PICKENS, GA</v>
          </cell>
        </row>
        <row r="493">
          <cell r="A493">
            <v>13229</v>
          </cell>
          <cell r="B493" t="str">
            <v>PIERCE, GA</v>
          </cell>
        </row>
        <row r="494">
          <cell r="A494">
            <v>13231</v>
          </cell>
          <cell r="B494" t="str">
            <v>PIKE, GA</v>
          </cell>
        </row>
        <row r="495">
          <cell r="A495">
            <v>13233</v>
          </cell>
          <cell r="B495" t="str">
            <v>POLK, GA</v>
          </cell>
        </row>
        <row r="496">
          <cell r="A496">
            <v>13235</v>
          </cell>
          <cell r="B496" t="str">
            <v>PULASKI, GA</v>
          </cell>
        </row>
        <row r="497">
          <cell r="A497">
            <v>13237</v>
          </cell>
          <cell r="B497" t="str">
            <v>PUTNAM, GA</v>
          </cell>
        </row>
        <row r="498">
          <cell r="A498">
            <v>13239</v>
          </cell>
          <cell r="B498" t="str">
            <v>QUITMAN, GA</v>
          </cell>
        </row>
        <row r="499">
          <cell r="A499">
            <v>13241</v>
          </cell>
          <cell r="B499" t="str">
            <v>RABUN, GA</v>
          </cell>
        </row>
        <row r="500">
          <cell r="A500">
            <v>13243</v>
          </cell>
          <cell r="B500" t="str">
            <v>RANDOLPH, GA</v>
          </cell>
        </row>
        <row r="501">
          <cell r="A501">
            <v>13245</v>
          </cell>
          <cell r="B501" t="str">
            <v>RICHMOND, GA</v>
          </cell>
        </row>
        <row r="502">
          <cell r="A502">
            <v>13247</v>
          </cell>
          <cell r="B502" t="str">
            <v>ROCKDALE, GA</v>
          </cell>
        </row>
        <row r="503">
          <cell r="A503">
            <v>13249</v>
          </cell>
          <cell r="B503" t="str">
            <v>SCHLEY, GA</v>
          </cell>
        </row>
        <row r="504">
          <cell r="A504">
            <v>13251</v>
          </cell>
          <cell r="B504" t="str">
            <v>SCREVEN, GA</v>
          </cell>
        </row>
        <row r="505">
          <cell r="A505">
            <v>13253</v>
          </cell>
          <cell r="B505" t="str">
            <v>SEMINOLE, GA</v>
          </cell>
        </row>
        <row r="506">
          <cell r="A506">
            <v>13255</v>
          </cell>
          <cell r="B506" t="str">
            <v>SPALDING, GA</v>
          </cell>
        </row>
        <row r="507">
          <cell r="A507">
            <v>13257</v>
          </cell>
          <cell r="B507" t="str">
            <v>STEPHENS, GA</v>
          </cell>
        </row>
        <row r="508">
          <cell r="A508">
            <v>13259</v>
          </cell>
          <cell r="B508" t="str">
            <v>STEWART, GA</v>
          </cell>
        </row>
        <row r="509">
          <cell r="A509">
            <v>13261</v>
          </cell>
          <cell r="B509" t="str">
            <v>SUMTER, GA</v>
          </cell>
        </row>
        <row r="510">
          <cell r="A510">
            <v>13263</v>
          </cell>
          <cell r="B510" t="str">
            <v>TALBOT, GA</v>
          </cell>
        </row>
        <row r="511">
          <cell r="A511">
            <v>13265</v>
          </cell>
          <cell r="B511" t="str">
            <v>TALIAFERRO, GA</v>
          </cell>
        </row>
        <row r="512">
          <cell r="A512">
            <v>13267</v>
          </cell>
          <cell r="B512" t="str">
            <v>TATTNALL, GA</v>
          </cell>
        </row>
        <row r="513">
          <cell r="A513">
            <v>13269</v>
          </cell>
          <cell r="B513" t="str">
            <v>TAYLOR, GA</v>
          </cell>
        </row>
        <row r="514">
          <cell r="A514">
            <v>13271</v>
          </cell>
          <cell r="B514" t="str">
            <v>TELFAIR, GA</v>
          </cell>
        </row>
        <row r="515">
          <cell r="A515">
            <v>13273</v>
          </cell>
          <cell r="B515" t="str">
            <v>TERRELL, GA</v>
          </cell>
        </row>
        <row r="516">
          <cell r="A516">
            <v>13275</v>
          </cell>
          <cell r="B516" t="str">
            <v>THOMAS, GA</v>
          </cell>
        </row>
        <row r="517">
          <cell r="A517">
            <v>13277</v>
          </cell>
          <cell r="B517" t="str">
            <v>TIFT, GA</v>
          </cell>
        </row>
        <row r="518">
          <cell r="A518">
            <v>13279</v>
          </cell>
          <cell r="B518" t="str">
            <v>TOOMBS, GA</v>
          </cell>
        </row>
        <row r="519">
          <cell r="A519">
            <v>13281</v>
          </cell>
          <cell r="B519" t="str">
            <v>TOWNS, GA</v>
          </cell>
        </row>
        <row r="520">
          <cell r="A520">
            <v>13283</v>
          </cell>
          <cell r="B520" t="str">
            <v>TREUTLEN, GA</v>
          </cell>
        </row>
        <row r="521">
          <cell r="A521">
            <v>13285</v>
          </cell>
          <cell r="B521" t="str">
            <v>TROUP, GA</v>
          </cell>
        </row>
        <row r="522">
          <cell r="A522">
            <v>13287</v>
          </cell>
          <cell r="B522" t="str">
            <v>TURNER, GA</v>
          </cell>
        </row>
        <row r="523">
          <cell r="A523">
            <v>13289</v>
          </cell>
          <cell r="B523" t="str">
            <v>TWIGGS, GA</v>
          </cell>
        </row>
        <row r="524">
          <cell r="A524">
            <v>13291</v>
          </cell>
          <cell r="B524" t="str">
            <v>UNION, GA</v>
          </cell>
        </row>
        <row r="525">
          <cell r="A525">
            <v>13293</v>
          </cell>
          <cell r="B525" t="str">
            <v>UPSON, GA</v>
          </cell>
        </row>
        <row r="526">
          <cell r="A526">
            <v>13295</v>
          </cell>
          <cell r="B526" t="str">
            <v>WALKER, GA</v>
          </cell>
        </row>
        <row r="527">
          <cell r="A527">
            <v>13297</v>
          </cell>
          <cell r="B527" t="str">
            <v>WALTON, GA</v>
          </cell>
        </row>
        <row r="528">
          <cell r="A528">
            <v>13299</v>
          </cell>
          <cell r="B528" t="str">
            <v>WARE, GA</v>
          </cell>
        </row>
        <row r="529">
          <cell r="A529">
            <v>13301</v>
          </cell>
          <cell r="B529" t="str">
            <v>WARREN, GA</v>
          </cell>
        </row>
        <row r="530">
          <cell r="A530">
            <v>13303</v>
          </cell>
          <cell r="B530" t="str">
            <v>WASHINGTON, GA</v>
          </cell>
        </row>
        <row r="531">
          <cell r="A531">
            <v>13305</v>
          </cell>
          <cell r="B531" t="str">
            <v>WAYNE, GA</v>
          </cell>
        </row>
        <row r="532">
          <cell r="A532">
            <v>13307</v>
          </cell>
          <cell r="B532" t="str">
            <v>WEBSTER, GA</v>
          </cell>
        </row>
        <row r="533">
          <cell r="A533">
            <v>13309</v>
          </cell>
          <cell r="B533" t="str">
            <v>WHEELER, GA</v>
          </cell>
        </row>
        <row r="534">
          <cell r="A534">
            <v>13311</v>
          </cell>
          <cell r="B534" t="str">
            <v>WHITE, GA</v>
          </cell>
        </row>
        <row r="535">
          <cell r="A535">
            <v>13313</v>
          </cell>
          <cell r="B535" t="str">
            <v>WHITFIELD, GA</v>
          </cell>
        </row>
        <row r="536">
          <cell r="A536">
            <v>13315</v>
          </cell>
          <cell r="B536" t="str">
            <v>WILCOX, GA</v>
          </cell>
        </row>
        <row r="537">
          <cell r="A537">
            <v>13317</v>
          </cell>
          <cell r="B537" t="str">
            <v>WILKES, GA</v>
          </cell>
        </row>
        <row r="538">
          <cell r="A538">
            <v>13319</v>
          </cell>
          <cell r="B538" t="str">
            <v>WILKINSON, GA</v>
          </cell>
        </row>
        <row r="539">
          <cell r="A539">
            <v>13321</v>
          </cell>
          <cell r="B539" t="str">
            <v>WORTH, GA</v>
          </cell>
        </row>
        <row r="540">
          <cell r="A540">
            <v>15001</v>
          </cell>
          <cell r="B540" t="str">
            <v>HAWAII, HI</v>
          </cell>
        </row>
        <row r="541">
          <cell r="A541">
            <v>15003</v>
          </cell>
          <cell r="B541" t="str">
            <v>HONOLULU, HI</v>
          </cell>
        </row>
        <row r="542">
          <cell r="A542">
            <v>15005</v>
          </cell>
          <cell r="B542" t="str">
            <v>KALAWAO, HI</v>
          </cell>
        </row>
        <row r="543">
          <cell r="A543">
            <v>15007</v>
          </cell>
          <cell r="B543" t="str">
            <v>KAUAI, HI</v>
          </cell>
        </row>
        <row r="544">
          <cell r="A544">
            <v>15009</v>
          </cell>
          <cell r="B544" t="str">
            <v>MAUI, HI</v>
          </cell>
        </row>
        <row r="545">
          <cell r="A545">
            <v>16001</v>
          </cell>
          <cell r="B545" t="str">
            <v>ADA, ID</v>
          </cell>
        </row>
        <row r="546">
          <cell r="A546">
            <v>16003</v>
          </cell>
          <cell r="B546" t="str">
            <v>ADAMS, ID</v>
          </cell>
        </row>
        <row r="547">
          <cell r="A547">
            <v>16005</v>
          </cell>
          <cell r="B547" t="str">
            <v>BANNOCK, ID</v>
          </cell>
        </row>
        <row r="548">
          <cell r="A548">
            <v>16007</v>
          </cell>
          <cell r="B548" t="str">
            <v>BEAR LAKE, ID</v>
          </cell>
        </row>
        <row r="549">
          <cell r="A549">
            <v>16009</v>
          </cell>
          <cell r="B549" t="str">
            <v>BENEWAH, ID</v>
          </cell>
        </row>
        <row r="550">
          <cell r="A550">
            <v>16011</v>
          </cell>
          <cell r="B550" t="str">
            <v>BINGHAM, ID</v>
          </cell>
        </row>
        <row r="551">
          <cell r="A551">
            <v>16013</v>
          </cell>
          <cell r="B551" t="str">
            <v>BLAINE, ID</v>
          </cell>
        </row>
        <row r="552">
          <cell r="A552">
            <v>16015</v>
          </cell>
          <cell r="B552" t="str">
            <v>BOISE, ID</v>
          </cell>
        </row>
        <row r="553">
          <cell r="A553">
            <v>16017</v>
          </cell>
          <cell r="B553" t="str">
            <v>BONNER, ID</v>
          </cell>
        </row>
        <row r="554">
          <cell r="A554">
            <v>16019</v>
          </cell>
          <cell r="B554" t="str">
            <v>BONNEVILLE, ID</v>
          </cell>
        </row>
        <row r="555">
          <cell r="A555">
            <v>16021</v>
          </cell>
          <cell r="B555" t="str">
            <v>BOUNDARY, ID</v>
          </cell>
        </row>
        <row r="556">
          <cell r="A556">
            <v>16023</v>
          </cell>
          <cell r="B556" t="str">
            <v>BUTTE, ID</v>
          </cell>
        </row>
        <row r="557">
          <cell r="A557">
            <v>16025</v>
          </cell>
          <cell r="B557" t="str">
            <v>CAMAS, ID</v>
          </cell>
        </row>
        <row r="558">
          <cell r="A558">
            <v>16027</v>
          </cell>
          <cell r="B558" t="str">
            <v>CANYON, ID</v>
          </cell>
        </row>
        <row r="559">
          <cell r="A559">
            <v>16029</v>
          </cell>
          <cell r="B559" t="str">
            <v>CARIBOU, ID</v>
          </cell>
        </row>
        <row r="560">
          <cell r="A560">
            <v>16031</v>
          </cell>
          <cell r="B560" t="str">
            <v>CASSIA, ID</v>
          </cell>
        </row>
        <row r="561">
          <cell r="A561">
            <v>16033</v>
          </cell>
          <cell r="B561" t="str">
            <v>CLARK, ID</v>
          </cell>
        </row>
        <row r="562">
          <cell r="A562">
            <v>16035</v>
          </cell>
          <cell r="B562" t="str">
            <v>CLEARWATER, ID</v>
          </cell>
        </row>
        <row r="563">
          <cell r="A563">
            <v>16037</v>
          </cell>
          <cell r="B563" t="str">
            <v>CUSTER, ID</v>
          </cell>
        </row>
        <row r="564">
          <cell r="A564">
            <v>16039</v>
          </cell>
          <cell r="B564" t="str">
            <v>ELMORE, ID</v>
          </cell>
        </row>
        <row r="565">
          <cell r="A565">
            <v>16041</v>
          </cell>
          <cell r="B565" t="str">
            <v>FRANKLIN, ID</v>
          </cell>
        </row>
        <row r="566">
          <cell r="A566">
            <v>16043</v>
          </cell>
          <cell r="B566" t="str">
            <v>FREMONT, ID</v>
          </cell>
        </row>
        <row r="567">
          <cell r="A567">
            <v>16045</v>
          </cell>
          <cell r="B567" t="str">
            <v>GEM, ID</v>
          </cell>
        </row>
        <row r="568">
          <cell r="A568">
            <v>16047</v>
          </cell>
          <cell r="B568" t="str">
            <v>GOODING, ID</v>
          </cell>
        </row>
        <row r="569">
          <cell r="A569">
            <v>16049</v>
          </cell>
          <cell r="B569" t="str">
            <v>IDAHO, ID</v>
          </cell>
        </row>
        <row r="570">
          <cell r="A570">
            <v>16051</v>
          </cell>
          <cell r="B570" t="str">
            <v>JEFFERSON, ID</v>
          </cell>
        </row>
        <row r="571">
          <cell r="A571">
            <v>16053</v>
          </cell>
          <cell r="B571" t="str">
            <v>JEROME, ID</v>
          </cell>
        </row>
        <row r="572">
          <cell r="A572">
            <v>16055</v>
          </cell>
          <cell r="B572" t="str">
            <v>KOOTENAI, ID</v>
          </cell>
        </row>
        <row r="573">
          <cell r="A573">
            <v>16057</v>
          </cell>
          <cell r="B573" t="str">
            <v>LATAH, ID</v>
          </cell>
        </row>
        <row r="574">
          <cell r="A574">
            <v>16059</v>
          </cell>
          <cell r="B574" t="str">
            <v>LEMHI, ID</v>
          </cell>
        </row>
        <row r="575">
          <cell r="A575">
            <v>16061</v>
          </cell>
          <cell r="B575" t="str">
            <v>LEWIS, ID</v>
          </cell>
        </row>
        <row r="576">
          <cell r="A576">
            <v>16063</v>
          </cell>
          <cell r="B576" t="str">
            <v>LINCOLN, ID</v>
          </cell>
        </row>
        <row r="577">
          <cell r="A577">
            <v>16065</v>
          </cell>
          <cell r="B577" t="str">
            <v>MADISON, ID</v>
          </cell>
        </row>
        <row r="578">
          <cell r="A578">
            <v>16067</v>
          </cell>
          <cell r="B578" t="str">
            <v>MINIDOKA, ID</v>
          </cell>
        </row>
        <row r="579">
          <cell r="A579">
            <v>16069</v>
          </cell>
          <cell r="B579" t="str">
            <v>NEZ PERCE, ID</v>
          </cell>
        </row>
        <row r="580">
          <cell r="A580">
            <v>16071</v>
          </cell>
          <cell r="B580" t="str">
            <v>ONEIDA, ID</v>
          </cell>
        </row>
        <row r="581">
          <cell r="A581">
            <v>16073</v>
          </cell>
          <cell r="B581" t="str">
            <v>OWYHEE, ID</v>
          </cell>
        </row>
        <row r="582">
          <cell r="A582">
            <v>16075</v>
          </cell>
          <cell r="B582" t="str">
            <v>PAYETTE, ID</v>
          </cell>
        </row>
        <row r="583">
          <cell r="A583">
            <v>16077</v>
          </cell>
          <cell r="B583" t="str">
            <v>POWER, ID</v>
          </cell>
        </row>
        <row r="584">
          <cell r="A584">
            <v>16079</v>
          </cell>
          <cell r="B584" t="str">
            <v>SHOSHONE, ID</v>
          </cell>
        </row>
        <row r="585">
          <cell r="A585">
            <v>16081</v>
          </cell>
          <cell r="B585" t="str">
            <v>TETON, ID</v>
          </cell>
        </row>
        <row r="586">
          <cell r="A586">
            <v>16083</v>
          </cell>
          <cell r="B586" t="str">
            <v>TWIN FALLS, ID</v>
          </cell>
        </row>
        <row r="587">
          <cell r="A587">
            <v>16085</v>
          </cell>
          <cell r="B587" t="str">
            <v>VALLEY, ID</v>
          </cell>
        </row>
        <row r="588">
          <cell r="A588">
            <v>16087</v>
          </cell>
          <cell r="B588" t="str">
            <v>WASHINGTON, ID</v>
          </cell>
        </row>
        <row r="589">
          <cell r="A589">
            <v>17001</v>
          </cell>
          <cell r="B589" t="str">
            <v>ADAMS, IL</v>
          </cell>
        </row>
        <row r="590">
          <cell r="A590">
            <v>17003</v>
          </cell>
          <cell r="B590" t="str">
            <v>ALEXANDER, IL</v>
          </cell>
        </row>
        <row r="591">
          <cell r="A591">
            <v>17005</v>
          </cell>
          <cell r="B591" t="str">
            <v>BOND, IL</v>
          </cell>
        </row>
        <row r="592">
          <cell r="A592">
            <v>17007</v>
          </cell>
          <cell r="B592" t="str">
            <v>BOONE, IL</v>
          </cell>
        </row>
        <row r="593">
          <cell r="A593">
            <v>17009</v>
          </cell>
          <cell r="B593" t="str">
            <v>BROWN, IL</v>
          </cell>
        </row>
        <row r="594">
          <cell r="A594">
            <v>17011</v>
          </cell>
          <cell r="B594" t="str">
            <v>BUREAU, IL</v>
          </cell>
        </row>
        <row r="595">
          <cell r="A595">
            <v>17013</v>
          </cell>
          <cell r="B595" t="str">
            <v>CALHOUN, IL</v>
          </cell>
        </row>
        <row r="596">
          <cell r="A596">
            <v>17015</v>
          </cell>
          <cell r="B596" t="str">
            <v>CARROLL, IL</v>
          </cell>
        </row>
        <row r="597">
          <cell r="A597">
            <v>17017</v>
          </cell>
          <cell r="B597" t="str">
            <v>CASS, IL</v>
          </cell>
        </row>
        <row r="598">
          <cell r="A598">
            <v>17019</v>
          </cell>
          <cell r="B598" t="str">
            <v>CHAMPAIGN, IL</v>
          </cell>
        </row>
        <row r="599">
          <cell r="A599">
            <v>17021</v>
          </cell>
          <cell r="B599" t="str">
            <v>CHRISTIAN, IL</v>
          </cell>
        </row>
        <row r="600">
          <cell r="A600">
            <v>17023</v>
          </cell>
          <cell r="B600" t="str">
            <v>CLARK, IL</v>
          </cell>
        </row>
        <row r="601">
          <cell r="A601">
            <v>17025</v>
          </cell>
          <cell r="B601" t="str">
            <v>CLAY, IL</v>
          </cell>
        </row>
        <row r="602">
          <cell r="A602">
            <v>17027</v>
          </cell>
          <cell r="B602" t="str">
            <v>CLINTON, IL</v>
          </cell>
        </row>
        <row r="603">
          <cell r="A603">
            <v>17029</v>
          </cell>
          <cell r="B603" t="str">
            <v>COLES, IL</v>
          </cell>
        </row>
        <row r="604">
          <cell r="A604">
            <v>17031</v>
          </cell>
          <cell r="B604" t="str">
            <v>COOK, IL</v>
          </cell>
        </row>
        <row r="605">
          <cell r="A605">
            <v>17033</v>
          </cell>
          <cell r="B605" t="str">
            <v>CRAWFORD, IL</v>
          </cell>
        </row>
        <row r="606">
          <cell r="A606">
            <v>17035</v>
          </cell>
          <cell r="B606" t="str">
            <v>CUMBERLAND, IL</v>
          </cell>
        </row>
        <row r="607">
          <cell r="A607">
            <v>17037</v>
          </cell>
          <cell r="B607" t="str">
            <v>DE KALB, IL</v>
          </cell>
        </row>
        <row r="608">
          <cell r="A608">
            <v>17039</v>
          </cell>
          <cell r="B608" t="str">
            <v>DE WITT, IL</v>
          </cell>
        </row>
        <row r="609">
          <cell r="A609">
            <v>17041</v>
          </cell>
          <cell r="B609" t="str">
            <v>DOUGLAS, IL</v>
          </cell>
        </row>
        <row r="610">
          <cell r="A610">
            <v>17043</v>
          </cell>
          <cell r="B610" t="str">
            <v>DU PAGE, IL</v>
          </cell>
        </row>
        <row r="611">
          <cell r="A611">
            <v>17045</v>
          </cell>
          <cell r="B611" t="str">
            <v>EDGAR, IL</v>
          </cell>
        </row>
        <row r="612">
          <cell r="A612">
            <v>17047</v>
          </cell>
          <cell r="B612" t="str">
            <v>EDWARDS, IL</v>
          </cell>
        </row>
        <row r="613">
          <cell r="A613">
            <v>17049</v>
          </cell>
          <cell r="B613" t="str">
            <v>EFFINGHAM, IL</v>
          </cell>
        </row>
        <row r="614">
          <cell r="A614">
            <v>17051</v>
          </cell>
          <cell r="B614" t="str">
            <v>FAYETTE, IL</v>
          </cell>
        </row>
        <row r="615">
          <cell r="A615">
            <v>17053</v>
          </cell>
          <cell r="B615" t="str">
            <v>FORD, IL</v>
          </cell>
        </row>
        <row r="616">
          <cell r="A616">
            <v>17055</v>
          </cell>
          <cell r="B616" t="str">
            <v>FRANKLIN, IL</v>
          </cell>
        </row>
        <row r="617">
          <cell r="A617">
            <v>17057</v>
          </cell>
          <cell r="B617" t="str">
            <v>FULTON, IL</v>
          </cell>
        </row>
        <row r="618">
          <cell r="A618">
            <v>17059</v>
          </cell>
          <cell r="B618" t="str">
            <v>GALLATIN, IL</v>
          </cell>
        </row>
        <row r="619">
          <cell r="A619">
            <v>17061</v>
          </cell>
          <cell r="B619" t="str">
            <v>GREENE, IL</v>
          </cell>
        </row>
        <row r="620">
          <cell r="A620">
            <v>17063</v>
          </cell>
          <cell r="B620" t="str">
            <v>GRUNDY, IL</v>
          </cell>
        </row>
        <row r="621">
          <cell r="A621">
            <v>17065</v>
          </cell>
          <cell r="B621" t="str">
            <v>HAMILTON, IL</v>
          </cell>
        </row>
        <row r="622">
          <cell r="A622">
            <v>17067</v>
          </cell>
          <cell r="B622" t="str">
            <v>HANCOCK, IL</v>
          </cell>
        </row>
        <row r="623">
          <cell r="A623">
            <v>17069</v>
          </cell>
          <cell r="B623" t="str">
            <v>HARDIN, IL</v>
          </cell>
        </row>
        <row r="624">
          <cell r="A624">
            <v>17071</v>
          </cell>
          <cell r="B624" t="str">
            <v>HENDERSON, IL</v>
          </cell>
        </row>
        <row r="625">
          <cell r="A625">
            <v>17073</v>
          </cell>
          <cell r="B625" t="str">
            <v>HENRY, IL</v>
          </cell>
        </row>
        <row r="626">
          <cell r="A626">
            <v>17075</v>
          </cell>
          <cell r="B626" t="str">
            <v>IROQUOIS, IL</v>
          </cell>
        </row>
        <row r="627">
          <cell r="A627">
            <v>17077</v>
          </cell>
          <cell r="B627" t="str">
            <v>JACKSON, IL</v>
          </cell>
        </row>
        <row r="628">
          <cell r="A628">
            <v>17079</v>
          </cell>
          <cell r="B628" t="str">
            <v>JASPER, IL</v>
          </cell>
        </row>
        <row r="629">
          <cell r="A629">
            <v>17081</v>
          </cell>
          <cell r="B629" t="str">
            <v>JEFFERSON, IL</v>
          </cell>
        </row>
        <row r="630">
          <cell r="A630">
            <v>17083</v>
          </cell>
          <cell r="B630" t="str">
            <v>JERSEY, IL</v>
          </cell>
        </row>
        <row r="631">
          <cell r="A631">
            <v>17085</v>
          </cell>
          <cell r="B631" t="str">
            <v>JO DAVIESS, IL</v>
          </cell>
        </row>
        <row r="632">
          <cell r="A632">
            <v>17087</v>
          </cell>
          <cell r="B632" t="str">
            <v>JOHNSON, IL</v>
          </cell>
        </row>
        <row r="633">
          <cell r="A633">
            <v>17089</v>
          </cell>
          <cell r="B633" t="str">
            <v>KANE, IL</v>
          </cell>
        </row>
        <row r="634">
          <cell r="A634">
            <v>17091</v>
          </cell>
          <cell r="B634" t="str">
            <v>KANKAKEE, IL</v>
          </cell>
        </row>
        <row r="635">
          <cell r="A635">
            <v>17093</v>
          </cell>
          <cell r="B635" t="str">
            <v>KENDALL, IL</v>
          </cell>
        </row>
        <row r="636">
          <cell r="A636">
            <v>17095</v>
          </cell>
          <cell r="B636" t="str">
            <v>KNOX, IL</v>
          </cell>
        </row>
        <row r="637">
          <cell r="A637">
            <v>17097</v>
          </cell>
          <cell r="B637" t="str">
            <v>LAKE, IL</v>
          </cell>
        </row>
        <row r="638">
          <cell r="A638">
            <v>17099</v>
          </cell>
          <cell r="B638" t="str">
            <v>LA SALLE, IL</v>
          </cell>
        </row>
        <row r="639">
          <cell r="A639">
            <v>17101</v>
          </cell>
          <cell r="B639" t="str">
            <v>LAWRENCE, IL</v>
          </cell>
        </row>
        <row r="640">
          <cell r="A640">
            <v>17103</v>
          </cell>
          <cell r="B640" t="str">
            <v>LEE, IL</v>
          </cell>
        </row>
        <row r="641">
          <cell r="A641">
            <v>17105</v>
          </cell>
          <cell r="B641" t="str">
            <v>LIVINGSTON, IL</v>
          </cell>
        </row>
        <row r="642">
          <cell r="A642">
            <v>17107</v>
          </cell>
          <cell r="B642" t="str">
            <v>LOGAN, IL</v>
          </cell>
        </row>
        <row r="643">
          <cell r="A643">
            <v>17109</v>
          </cell>
          <cell r="B643" t="str">
            <v>MCDONOUGH, IL</v>
          </cell>
        </row>
        <row r="644">
          <cell r="A644">
            <v>17111</v>
          </cell>
          <cell r="B644" t="str">
            <v>MCHENRY, IL</v>
          </cell>
        </row>
        <row r="645">
          <cell r="A645">
            <v>17113</v>
          </cell>
          <cell r="B645" t="str">
            <v>MCLEAN, IL</v>
          </cell>
        </row>
        <row r="646">
          <cell r="A646">
            <v>17115</v>
          </cell>
          <cell r="B646" t="str">
            <v>MACON, IL</v>
          </cell>
        </row>
        <row r="647">
          <cell r="A647">
            <v>17117</v>
          </cell>
          <cell r="B647" t="str">
            <v>MACOUPIN, IL</v>
          </cell>
        </row>
        <row r="648">
          <cell r="A648">
            <v>17119</v>
          </cell>
          <cell r="B648" t="str">
            <v>MADISON, IL</v>
          </cell>
        </row>
        <row r="649">
          <cell r="A649">
            <v>17121</v>
          </cell>
          <cell r="B649" t="str">
            <v>MARION, IL</v>
          </cell>
        </row>
        <row r="650">
          <cell r="A650">
            <v>17123</v>
          </cell>
          <cell r="B650" t="str">
            <v>MARSHALL, IL</v>
          </cell>
        </row>
        <row r="651">
          <cell r="A651">
            <v>17125</v>
          </cell>
          <cell r="B651" t="str">
            <v>MASON, IL</v>
          </cell>
        </row>
        <row r="652">
          <cell r="A652">
            <v>17127</v>
          </cell>
          <cell r="B652" t="str">
            <v>MASSAC, IL</v>
          </cell>
        </row>
        <row r="653">
          <cell r="A653">
            <v>17129</v>
          </cell>
          <cell r="B653" t="str">
            <v>MENARD, IL</v>
          </cell>
        </row>
        <row r="654">
          <cell r="A654">
            <v>17131</v>
          </cell>
          <cell r="B654" t="str">
            <v>MERCER, IL</v>
          </cell>
        </row>
        <row r="655">
          <cell r="A655">
            <v>17133</v>
          </cell>
          <cell r="B655" t="str">
            <v>MONROE, IL</v>
          </cell>
        </row>
        <row r="656">
          <cell r="A656">
            <v>17135</v>
          </cell>
          <cell r="B656" t="str">
            <v>MONTGOMERY, IL</v>
          </cell>
        </row>
        <row r="657">
          <cell r="A657">
            <v>17137</v>
          </cell>
          <cell r="B657" t="str">
            <v>MORGAN, IL</v>
          </cell>
        </row>
        <row r="658">
          <cell r="A658">
            <v>17139</v>
          </cell>
          <cell r="B658" t="str">
            <v>MOULTRIE, IL</v>
          </cell>
        </row>
        <row r="659">
          <cell r="A659">
            <v>17141</v>
          </cell>
          <cell r="B659" t="str">
            <v>OGLE, IL</v>
          </cell>
        </row>
        <row r="660">
          <cell r="A660">
            <v>17143</v>
          </cell>
          <cell r="B660" t="str">
            <v>PEORIA, IL</v>
          </cell>
        </row>
        <row r="661">
          <cell r="A661">
            <v>17145</v>
          </cell>
          <cell r="B661" t="str">
            <v>PERRY, IL</v>
          </cell>
        </row>
        <row r="662">
          <cell r="A662">
            <v>17147</v>
          </cell>
          <cell r="B662" t="str">
            <v>PIATT, IL</v>
          </cell>
        </row>
        <row r="663">
          <cell r="A663">
            <v>17149</v>
          </cell>
          <cell r="B663" t="str">
            <v>PIKE, IL</v>
          </cell>
        </row>
        <row r="664">
          <cell r="A664">
            <v>17151</v>
          </cell>
          <cell r="B664" t="str">
            <v>POPE, IL</v>
          </cell>
        </row>
        <row r="665">
          <cell r="A665">
            <v>17153</v>
          </cell>
          <cell r="B665" t="str">
            <v>PULASKI, IL</v>
          </cell>
        </row>
        <row r="666">
          <cell r="A666">
            <v>17155</v>
          </cell>
          <cell r="B666" t="str">
            <v>PUTNAM, IL</v>
          </cell>
        </row>
        <row r="667">
          <cell r="A667">
            <v>17157</v>
          </cell>
          <cell r="B667" t="str">
            <v>RANDOLPH, IL</v>
          </cell>
        </row>
        <row r="668">
          <cell r="A668">
            <v>17159</v>
          </cell>
          <cell r="B668" t="str">
            <v>RICHLAND, IL</v>
          </cell>
        </row>
        <row r="669">
          <cell r="A669">
            <v>17161</v>
          </cell>
          <cell r="B669" t="str">
            <v>ROCK ISLAND, IL</v>
          </cell>
        </row>
        <row r="670">
          <cell r="A670">
            <v>17163</v>
          </cell>
          <cell r="B670" t="str">
            <v>ST CLAIR, IL</v>
          </cell>
        </row>
        <row r="671">
          <cell r="A671">
            <v>17165</v>
          </cell>
          <cell r="B671" t="str">
            <v>SALINE, IL</v>
          </cell>
        </row>
        <row r="672">
          <cell r="A672">
            <v>17167</v>
          </cell>
          <cell r="B672" t="str">
            <v>SANGAMON, IL</v>
          </cell>
        </row>
        <row r="673">
          <cell r="A673">
            <v>17169</v>
          </cell>
          <cell r="B673" t="str">
            <v>SCHUYLER, IL</v>
          </cell>
        </row>
        <row r="674">
          <cell r="A674">
            <v>17171</v>
          </cell>
          <cell r="B674" t="str">
            <v>SCOTT, IL</v>
          </cell>
        </row>
        <row r="675">
          <cell r="A675">
            <v>17173</v>
          </cell>
          <cell r="B675" t="str">
            <v>SHELBY, IL</v>
          </cell>
        </row>
        <row r="676">
          <cell r="A676">
            <v>17175</v>
          </cell>
          <cell r="B676" t="str">
            <v>STARK, IL</v>
          </cell>
        </row>
        <row r="677">
          <cell r="A677">
            <v>17177</v>
          </cell>
          <cell r="B677" t="str">
            <v>STEPHENSON, IL</v>
          </cell>
        </row>
        <row r="678">
          <cell r="A678">
            <v>17179</v>
          </cell>
          <cell r="B678" t="str">
            <v>TAZEWELL, IL</v>
          </cell>
        </row>
        <row r="679">
          <cell r="A679">
            <v>17181</v>
          </cell>
          <cell r="B679" t="str">
            <v>UNION, IL</v>
          </cell>
        </row>
        <row r="680">
          <cell r="A680">
            <v>17183</v>
          </cell>
          <cell r="B680" t="str">
            <v>VERMILION, IL</v>
          </cell>
        </row>
        <row r="681">
          <cell r="A681">
            <v>17185</v>
          </cell>
          <cell r="B681" t="str">
            <v>WABASH, IL</v>
          </cell>
        </row>
        <row r="682">
          <cell r="A682">
            <v>17187</v>
          </cell>
          <cell r="B682" t="str">
            <v>WARREN, IL</v>
          </cell>
        </row>
        <row r="683">
          <cell r="A683">
            <v>17189</v>
          </cell>
          <cell r="B683" t="str">
            <v>WASHINGTON, IL</v>
          </cell>
        </row>
        <row r="684">
          <cell r="A684">
            <v>17191</v>
          </cell>
          <cell r="B684" t="str">
            <v>WAYNE, IL</v>
          </cell>
        </row>
        <row r="685">
          <cell r="A685">
            <v>17193</v>
          </cell>
          <cell r="B685" t="str">
            <v>WHITE, IL</v>
          </cell>
        </row>
        <row r="686">
          <cell r="A686">
            <v>17195</v>
          </cell>
          <cell r="B686" t="str">
            <v>WHITESIDE, IL</v>
          </cell>
        </row>
        <row r="687">
          <cell r="A687">
            <v>17197</v>
          </cell>
          <cell r="B687" t="str">
            <v>WILL, IL</v>
          </cell>
        </row>
        <row r="688">
          <cell r="A688">
            <v>17199</v>
          </cell>
          <cell r="B688" t="str">
            <v>WILLIAMSON, IL</v>
          </cell>
        </row>
        <row r="689">
          <cell r="A689">
            <v>17201</v>
          </cell>
          <cell r="B689" t="str">
            <v>WINNEBAGO, IL</v>
          </cell>
        </row>
        <row r="690">
          <cell r="A690">
            <v>17203</v>
          </cell>
          <cell r="B690" t="str">
            <v>WOODFORD, IL</v>
          </cell>
        </row>
        <row r="691">
          <cell r="A691">
            <v>18001</v>
          </cell>
          <cell r="B691" t="str">
            <v>ADAMS, IN</v>
          </cell>
        </row>
        <row r="692">
          <cell r="A692">
            <v>18003</v>
          </cell>
          <cell r="B692" t="str">
            <v>ALLEN, IN</v>
          </cell>
        </row>
        <row r="693">
          <cell r="A693">
            <v>18005</v>
          </cell>
          <cell r="B693" t="str">
            <v>BARTHOLOMEW, IN</v>
          </cell>
        </row>
        <row r="694">
          <cell r="A694">
            <v>18007</v>
          </cell>
          <cell r="B694" t="str">
            <v>BENTON, IN</v>
          </cell>
        </row>
        <row r="695">
          <cell r="A695">
            <v>18009</v>
          </cell>
          <cell r="B695" t="str">
            <v>BLACKFORD, IN</v>
          </cell>
        </row>
        <row r="696">
          <cell r="A696">
            <v>18011</v>
          </cell>
          <cell r="B696" t="str">
            <v>BOONE, IN</v>
          </cell>
        </row>
        <row r="697">
          <cell r="A697">
            <v>18013</v>
          </cell>
          <cell r="B697" t="str">
            <v>BROWN, IN</v>
          </cell>
        </row>
        <row r="698">
          <cell r="A698">
            <v>18015</v>
          </cell>
          <cell r="B698" t="str">
            <v>CARROLL, IN</v>
          </cell>
        </row>
        <row r="699">
          <cell r="A699">
            <v>18017</v>
          </cell>
          <cell r="B699" t="str">
            <v>CASS, IN</v>
          </cell>
        </row>
        <row r="700">
          <cell r="A700">
            <v>18019</v>
          </cell>
          <cell r="B700" t="str">
            <v>CLARK, IN</v>
          </cell>
        </row>
        <row r="701">
          <cell r="A701">
            <v>18021</v>
          </cell>
          <cell r="B701" t="str">
            <v>CLAY, IN</v>
          </cell>
        </row>
        <row r="702">
          <cell r="A702">
            <v>18023</v>
          </cell>
          <cell r="B702" t="str">
            <v>CLINTON, IN</v>
          </cell>
        </row>
        <row r="703">
          <cell r="A703">
            <v>18025</v>
          </cell>
          <cell r="B703" t="str">
            <v>CRAWFORD, IN</v>
          </cell>
        </row>
        <row r="704">
          <cell r="A704">
            <v>18027</v>
          </cell>
          <cell r="B704" t="str">
            <v>DAVIESS, IN</v>
          </cell>
        </row>
        <row r="705">
          <cell r="A705">
            <v>18029</v>
          </cell>
          <cell r="B705" t="str">
            <v>DEARBORN, IN</v>
          </cell>
        </row>
        <row r="706">
          <cell r="A706">
            <v>18031</v>
          </cell>
          <cell r="B706" t="str">
            <v>DECATUR, IN</v>
          </cell>
        </row>
        <row r="707">
          <cell r="A707">
            <v>18033</v>
          </cell>
          <cell r="B707" t="str">
            <v>DE KALB, IN</v>
          </cell>
        </row>
        <row r="708">
          <cell r="A708">
            <v>18035</v>
          </cell>
          <cell r="B708" t="str">
            <v>DELAWARE, IN</v>
          </cell>
        </row>
        <row r="709">
          <cell r="A709">
            <v>18037</v>
          </cell>
          <cell r="B709" t="str">
            <v>DUBOIS, IN</v>
          </cell>
        </row>
        <row r="710">
          <cell r="A710">
            <v>18039</v>
          </cell>
          <cell r="B710" t="str">
            <v>ELKHART, IN</v>
          </cell>
        </row>
        <row r="711">
          <cell r="A711">
            <v>18041</v>
          </cell>
          <cell r="B711" t="str">
            <v>FAYETTE, IN</v>
          </cell>
        </row>
        <row r="712">
          <cell r="A712">
            <v>18043</v>
          </cell>
          <cell r="B712" t="str">
            <v>FLOYD, IN</v>
          </cell>
        </row>
        <row r="713">
          <cell r="A713">
            <v>18045</v>
          </cell>
          <cell r="B713" t="str">
            <v>FOUNTAIN, IN</v>
          </cell>
        </row>
        <row r="714">
          <cell r="A714">
            <v>18047</v>
          </cell>
          <cell r="B714" t="str">
            <v>FRANKLIN, IN</v>
          </cell>
        </row>
        <row r="715">
          <cell r="A715">
            <v>18049</v>
          </cell>
          <cell r="B715" t="str">
            <v>FULTON, IN</v>
          </cell>
        </row>
        <row r="716">
          <cell r="A716">
            <v>18051</v>
          </cell>
          <cell r="B716" t="str">
            <v>GIBSON, IN</v>
          </cell>
        </row>
        <row r="717">
          <cell r="A717">
            <v>18053</v>
          </cell>
          <cell r="B717" t="str">
            <v>GRANT, IN</v>
          </cell>
        </row>
        <row r="718">
          <cell r="A718">
            <v>18055</v>
          </cell>
          <cell r="B718" t="str">
            <v>GREENE, IN</v>
          </cell>
        </row>
        <row r="719">
          <cell r="A719">
            <v>18057</v>
          </cell>
          <cell r="B719" t="str">
            <v>HAMILTON, IN</v>
          </cell>
        </row>
        <row r="720">
          <cell r="A720">
            <v>18059</v>
          </cell>
          <cell r="B720" t="str">
            <v>HANCOCK, IN</v>
          </cell>
        </row>
        <row r="721">
          <cell r="A721">
            <v>18061</v>
          </cell>
          <cell r="B721" t="str">
            <v>HARRISON, IN</v>
          </cell>
        </row>
        <row r="722">
          <cell r="A722">
            <v>18063</v>
          </cell>
          <cell r="B722" t="str">
            <v>HENDRICKS, IN</v>
          </cell>
        </row>
        <row r="723">
          <cell r="A723">
            <v>18065</v>
          </cell>
          <cell r="B723" t="str">
            <v>HENRY, IN</v>
          </cell>
        </row>
        <row r="724">
          <cell r="A724">
            <v>18067</v>
          </cell>
          <cell r="B724" t="str">
            <v>HOWARD, IN</v>
          </cell>
        </row>
        <row r="725">
          <cell r="A725">
            <v>18069</v>
          </cell>
          <cell r="B725" t="str">
            <v>HUNTINGTON, IN</v>
          </cell>
        </row>
        <row r="726">
          <cell r="A726">
            <v>18071</v>
          </cell>
          <cell r="B726" t="str">
            <v>JACKSON, IN</v>
          </cell>
        </row>
        <row r="727">
          <cell r="A727">
            <v>18073</v>
          </cell>
          <cell r="B727" t="str">
            <v>JASPER, IN</v>
          </cell>
        </row>
        <row r="728">
          <cell r="A728">
            <v>18075</v>
          </cell>
          <cell r="B728" t="str">
            <v>JAY, IN</v>
          </cell>
        </row>
        <row r="729">
          <cell r="A729">
            <v>18077</v>
          </cell>
          <cell r="B729" t="str">
            <v>JEFFERSON, IN</v>
          </cell>
        </row>
        <row r="730">
          <cell r="A730">
            <v>18079</v>
          </cell>
          <cell r="B730" t="str">
            <v>JENNINGS, IN</v>
          </cell>
        </row>
        <row r="731">
          <cell r="A731">
            <v>18081</v>
          </cell>
          <cell r="B731" t="str">
            <v>JOHNSON, IN</v>
          </cell>
        </row>
        <row r="732">
          <cell r="A732">
            <v>18083</v>
          </cell>
          <cell r="B732" t="str">
            <v>KNOX, IN</v>
          </cell>
        </row>
        <row r="733">
          <cell r="A733">
            <v>18085</v>
          </cell>
          <cell r="B733" t="str">
            <v>KOSCIUSKO, IN</v>
          </cell>
        </row>
        <row r="734">
          <cell r="A734">
            <v>18087</v>
          </cell>
          <cell r="B734" t="str">
            <v>LAGRANGE, IN</v>
          </cell>
        </row>
        <row r="735">
          <cell r="A735">
            <v>18089</v>
          </cell>
          <cell r="B735" t="str">
            <v>LAKE, IN</v>
          </cell>
        </row>
        <row r="736">
          <cell r="A736">
            <v>18091</v>
          </cell>
          <cell r="B736" t="str">
            <v>LA PORTE, IN</v>
          </cell>
        </row>
        <row r="737">
          <cell r="A737">
            <v>18093</v>
          </cell>
          <cell r="B737" t="str">
            <v>LAWRENCE, IN</v>
          </cell>
        </row>
        <row r="738">
          <cell r="A738">
            <v>18095</v>
          </cell>
          <cell r="B738" t="str">
            <v>MADISON, IN</v>
          </cell>
        </row>
        <row r="739">
          <cell r="A739">
            <v>18097</v>
          </cell>
          <cell r="B739" t="str">
            <v>MARION, IN</v>
          </cell>
        </row>
        <row r="740">
          <cell r="A740">
            <v>18099</v>
          </cell>
          <cell r="B740" t="str">
            <v>MARSHALL, IN</v>
          </cell>
        </row>
        <row r="741">
          <cell r="A741">
            <v>18101</v>
          </cell>
          <cell r="B741" t="str">
            <v>MARTIN, IN</v>
          </cell>
        </row>
        <row r="742">
          <cell r="A742">
            <v>18103</v>
          </cell>
          <cell r="B742" t="str">
            <v>MIAMI, IN</v>
          </cell>
        </row>
        <row r="743">
          <cell r="A743">
            <v>18105</v>
          </cell>
          <cell r="B743" t="str">
            <v>MONROE, IN</v>
          </cell>
        </row>
        <row r="744">
          <cell r="A744">
            <v>18107</v>
          </cell>
          <cell r="B744" t="str">
            <v>MONTGOMERY, IN</v>
          </cell>
        </row>
        <row r="745">
          <cell r="A745">
            <v>18109</v>
          </cell>
          <cell r="B745" t="str">
            <v>MORGAN, IN</v>
          </cell>
        </row>
        <row r="746">
          <cell r="A746">
            <v>18111</v>
          </cell>
          <cell r="B746" t="str">
            <v>NEWTON, IN</v>
          </cell>
        </row>
        <row r="747">
          <cell r="A747">
            <v>18113</v>
          </cell>
          <cell r="B747" t="str">
            <v>NOBLE, IN</v>
          </cell>
        </row>
        <row r="748">
          <cell r="A748">
            <v>18115</v>
          </cell>
          <cell r="B748" t="str">
            <v>OHIO, IN</v>
          </cell>
        </row>
        <row r="749">
          <cell r="A749">
            <v>18117</v>
          </cell>
          <cell r="B749" t="str">
            <v>ORANGE, IN</v>
          </cell>
        </row>
        <row r="750">
          <cell r="A750">
            <v>18119</v>
          </cell>
          <cell r="B750" t="str">
            <v>OWEN, IN</v>
          </cell>
        </row>
        <row r="751">
          <cell r="A751">
            <v>18121</v>
          </cell>
          <cell r="B751" t="str">
            <v>PARKE, IN</v>
          </cell>
        </row>
        <row r="752">
          <cell r="A752">
            <v>18123</v>
          </cell>
          <cell r="B752" t="str">
            <v>PERRY, IN</v>
          </cell>
        </row>
        <row r="753">
          <cell r="A753">
            <v>18125</v>
          </cell>
          <cell r="B753" t="str">
            <v>PIKE, IN</v>
          </cell>
        </row>
        <row r="754">
          <cell r="A754">
            <v>18127</v>
          </cell>
          <cell r="B754" t="str">
            <v>PORTER, IN</v>
          </cell>
        </row>
        <row r="755">
          <cell r="A755">
            <v>18129</v>
          </cell>
          <cell r="B755" t="str">
            <v>POSEY, IN</v>
          </cell>
        </row>
        <row r="756">
          <cell r="A756">
            <v>18131</v>
          </cell>
          <cell r="B756" t="str">
            <v>PULASKI, IN</v>
          </cell>
        </row>
        <row r="757">
          <cell r="A757">
            <v>18133</v>
          </cell>
          <cell r="B757" t="str">
            <v>PUTNAM, IN</v>
          </cell>
        </row>
        <row r="758">
          <cell r="A758">
            <v>18135</v>
          </cell>
          <cell r="B758" t="str">
            <v>RANDOLPH, IN</v>
          </cell>
        </row>
        <row r="759">
          <cell r="A759">
            <v>18137</v>
          </cell>
          <cell r="B759" t="str">
            <v>RIPLEY, IN</v>
          </cell>
        </row>
        <row r="760">
          <cell r="A760">
            <v>18139</v>
          </cell>
          <cell r="B760" t="str">
            <v>RUSH, IN</v>
          </cell>
        </row>
        <row r="761">
          <cell r="A761">
            <v>18141</v>
          </cell>
          <cell r="B761" t="str">
            <v>ST JOSEPH, IN</v>
          </cell>
        </row>
        <row r="762">
          <cell r="A762">
            <v>18143</v>
          </cell>
          <cell r="B762" t="str">
            <v>SCOTT, IN</v>
          </cell>
        </row>
        <row r="763">
          <cell r="A763">
            <v>18145</v>
          </cell>
          <cell r="B763" t="str">
            <v>SHELBY, IN</v>
          </cell>
        </row>
        <row r="764">
          <cell r="A764">
            <v>18147</v>
          </cell>
          <cell r="B764" t="str">
            <v>SPENCER, IN</v>
          </cell>
        </row>
        <row r="765">
          <cell r="A765">
            <v>18149</v>
          </cell>
          <cell r="B765" t="str">
            <v>STARKE, IN</v>
          </cell>
        </row>
        <row r="766">
          <cell r="A766">
            <v>18151</v>
          </cell>
          <cell r="B766" t="str">
            <v>STEUBEN, IN</v>
          </cell>
        </row>
        <row r="767">
          <cell r="A767">
            <v>18153</v>
          </cell>
          <cell r="B767" t="str">
            <v>SULLIVAN, IN</v>
          </cell>
        </row>
        <row r="768">
          <cell r="A768">
            <v>18155</v>
          </cell>
          <cell r="B768" t="str">
            <v>SWITZERLAND, IN</v>
          </cell>
        </row>
        <row r="769">
          <cell r="A769">
            <v>18157</v>
          </cell>
          <cell r="B769" t="str">
            <v>TIPPECANOE, IN</v>
          </cell>
        </row>
        <row r="770">
          <cell r="A770">
            <v>18159</v>
          </cell>
          <cell r="B770" t="str">
            <v>TIPTON, IN</v>
          </cell>
        </row>
        <row r="771">
          <cell r="A771">
            <v>18161</v>
          </cell>
          <cell r="B771" t="str">
            <v>UNION, IN</v>
          </cell>
        </row>
        <row r="772">
          <cell r="A772">
            <v>18163</v>
          </cell>
          <cell r="B772" t="str">
            <v>VANDERBURGH, IN</v>
          </cell>
        </row>
        <row r="773">
          <cell r="A773">
            <v>18165</v>
          </cell>
          <cell r="B773" t="str">
            <v>VERMILLION, IN</v>
          </cell>
        </row>
        <row r="774">
          <cell r="A774">
            <v>18167</v>
          </cell>
          <cell r="B774" t="str">
            <v>VIGO, IN</v>
          </cell>
        </row>
        <row r="775">
          <cell r="A775">
            <v>18169</v>
          </cell>
          <cell r="B775" t="str">
            <v>WABASH, IN</v>
          </cell>
        </row>
        <row r="776">
          <cell r="A776">
            <v>18171</v>
          </cell>
          <cell r="B776" t="str">
            <v>WARREN, IN</v>
          </cell>
        </row>
        <row r="777">
          <cell r="A777">
            <v>18173</v>
          </cell>
          <cell r="B777" t="str">
            <v>WARRICK, IN</v>
          </cell>
        </row>
        <row r="778">
          <cell r="A778">
            <v>18175</v>
          </cell>
          <cell r="B778" t="str">
            <v>WASHINGTON, IN</v>
          </cell>
        </row>
        <row r="779">
          <cell r="A779">
            <v>18177</v>
          </cell>
          <cell r="B779" t="str">
            <v>WAYNE, IN</v>
          </cell>
        </row>
        <row r="780">
          <cell r="A780">
            <v>18179</v>
          </cell>
          <cell r="B780" t="str">
            <v>WELLS, IN</v>
          </cell>
        </row>
        <row r="781">
          <cell r="A781">
            <v>18181</v>
          </cell>
          <cell r="B781" t="str">
            <v>WHITE, IN</v>
          </cell>
        </row>
        <row r="782">
          <cell r="A782">
            <v>18183</v>
          </cell>
          <cell r="B782" t="str">
            <v>WHITLEY, IN</v>
          </cell>
        </row>
        <row r="783">
          <cell r="A783">
            <v>19001</v>
          </cell>
          <cell r="B783" t="str">
            <v>ADAIR, IA</v>
          </cell>
        </row>
        <row r="784">
          <cell r="A784">
            <v>19003</v>
          </cell>
          <cell r="B784" t="str">
            <v>ADAMS, IA</v>
          </cell>
        </row>
        <row r="785">
          <cell r="A785">
            <v>19005</v>
          </cell>
          <cell r="B785" t="str">
            <v>ALLAMAKEE, IA</v>
          </cell>
        </row>
        <row r="786">
          <cell r="A786">
            <v>19007</v>
          </cell>
          <cell r="B786" t="str">
            <v>APPANOOSE, IA</v>
          </cell>
        </row>
        <row r="787">
          <cell r="A787">
            <v>19009</v>
          </cell>
          <cell r="B787" t="str">
            <v>AUDUBON, IA</v>
          </cell>
        </row>
        <row r="788">
          <cell r="A788">
            <v>19011</v>
          </cell>
          <cell r="B788" t="str">
            <v>BENTON, IA</v>
          </cell>
        </row>
        <row r="789">
          <cell r="A789">
            <v>19013</v>
          </cell>
          <cell r="B789" t="str">
            <v>BLACK HAWK, IA</v>
          </cell>
        </row>
        <row r="790">
          <cell r="A790">
            <v>19015</v>
          </cell>
          <cell r="B790" t="str">
            <v>BOONE, IA</v>
          </cell>
        </row>
        <row r="791">
          <cell r="A791">
            <v>19017</v>
          </cell>
          <cell r="B791" t="str">
            <v>BREMER, IA</v>
          </cell>
        </row>
        <row r="792">
          <cell r="A792">
            <v>19019</v>
          </cell>
          <cell r="B792" t="str">
            <v>BUCHANAN, IA</v>
          </cell>
        </row>
        <row r="793">
          <cell r="A793">
            <v>19021</v>
          </cell>
          <cell r="B793" t="str">
            <v>BUENA VISTA, IA</v>
          </cell>
        </row>
        <row r="794">
          <cell r="A794">
            <v>19023</v>
          </cell>
          <cell r="B794" t="str">
            <v>BUTLER, IA</v>
          </cell>
        </row>
        <row r="795">
          <cell r="A795">
            <v>19025</v>
          </cell>
          <cell r="B795" t="str">
            <v>CALHOUN, IA</v>
          </cell>
        </row>
        <row r="796">
          <cell r="A796">
            <v>19027</v>
          </cell>
          <cell r="B796" t="str">
            <v>CARROLL, IA</v>
          </cell>
        </row>
        <row r="797">
          <cell r="A797">
            <v>19029</v>
          </cell>
          <cell r="B797" t="str">
            <v>CASS, IA</v>
          </cell>
        </row>
        <row r="798">
          <cell r="A798">
            <v>19031</v>
          </cell>
          <cell r="B798" t="str">
            <v>CEDAR, IA</v>
          </cell>
        </row>
        <row r="799">
          <cell r="A799">
            <v>19033</v>
          </cell>
          <cell r="B799" t="str">
            <v>CERRO GORDO, IA</v>
          </cell>
        </row>
        <row r="800">
          <cell r="A800">
            <v>19035</v>
          </cell>
          <cell r="B800" t="str">
            <v>CHEROKEE, IA</v>
          </cell>
        </row>
        <row r="801">
          <cell r="A801">
            <v>19037</v>
          </cell>
          <cell r="B801" t="str">
            <v>CHICKASAW, IA</v>
          </cell>
        </row>
        <row r="802">
          <cell r="A802">
            <v>19039</v>
          </cell>
          <cell r="B802" t="str">
            <v>CLARKE, IA</v>
          </cell>
        </row>
        <row r="803">
          <cell r="A803">
            <v>19041</v>
          </cell>
          <cell r="B803" t="str">
            <v>CLAY, IA</v>
          </cell>
        </row>
        <row r="804">
          <cell r="A804">
            <v>19043</v>
          </cell>
          <cell r="B804" t="str">
            <v>CLAYTON, IA</v>
          </cell>
        </row>
        <row r="805">
          <cell r="A805">
            <v>19045</v>
          </cell>
          <cell r="B805" t="str">
            <v>CLINTON, IA</v>
          </cell>
        </row>
        <row r="806">
          <cell r="A806">
            <v>19047</v>
          </cell>
          <cell r="B806" t="str">
            <v>CRAWFORD, IA</v>
          </cell>
        </row>
        <row r="807">
          <cell r="A807">
            <v>19049</v>
          </cell>
          <cell r="B807" t="str">
            <v>DALLAS, IA</v>
          </cell>
        </row>
        <row r="808">
          <cell r="A808">
            <v>19051</v>
          </cell>
          <cell r="B808" t="str">
            <v>DAVIS, IA</v>
          </cell>
        </row>
        <row r="809">
          <cell r="A809">
            <v>19053</v>
          </cell>
          <cell r="B809" t="str">
            <v>DECATUR, IA</v>
          </cell>
        </row>
        <row r="810">
          <cell r="A810">
            <v>19055</v>
          </cell>
          <cell r="B810" t="str">
            <v>DELAWARE, IA</v>
          </cell>
        </row>
        <row r="811">
          <cell r="A811">
            <v>19057</v>
          </cell>
          <cell r="B811" t="str">
            <v>DES MOINES, IA</v>
          </cell>
        </row>
        <row r="812">
          <cell r="A812">
            <v>19059</v>
          </cell>
          <cell r="B812" t="str">
            <v>DICKINSON, IA</v>
          </cell>
        </row>
        <row r="813">
          <cell r="A813">
            <v>19061</v>
          </cell>
          <cell r="B813" t="str">
            <v>DUBUQUE, IA</v>
          </cell>
        </row>
        <row r="814">
          <cell r="A814">
            <v>19063</v>
          </cell>
          <cell r="B814" t="str">
            <v>EMMET, IA</v>
          </cell>
        </row>
        <row r="815">
          <cell r="A815">
            <v>19065</v>
          </cell>
          <cell r="B815" t="str">
            <v>FAYETTE, IA</v>
          </cell>
        </row>
        <row r="816">
          <cell r="A816">
            <v>19067</v>
          </cell>
          <cell r="B816" t="str">
            <v>FLOYD, IA</v>
          </cell>
        </row>
        <row r="817">
          <cell r="A817">
            <v>19069</v>
          </cell>
          <cell r="B817" t="str">
            <v>FRANKLIN, IA</v>
          </cell>
        </row>
        <row r="818">
          <cell r="A818">
            <v>19071</v>
          </cell>
          <cell r="B818" t="str">
            <v>FREMONT, IA</v>
          </cell>
        </row>
        <row r="819">
          <cell r="A819">
            <v>19073</v>
          </cell>
          <cell r="B819" t="str">
            <v>GREENE, IA</v>
          </cell>
        </row>
        <row r="820">
          <cell r="A820">
            <v>19075</v>
          </cell>
          <cell r="B820" t="str">
            <v>GRUNDY, IA</v>
          </cell>
        </row>
        <row r="821">
          <cell r="A821">
            <v>19077</v>
          </cell>
          <cell r="B821" t="str">
            <v>GUTHRIE, IA</v>
          </cell>
        </row>
        <row r="822">
          <cell r="A822">
            <v>19079</v>
          </cell>
          <cell r="B822" t="str">
            <v>HAMILTON, IA</v>
          </cell>
        </row>
        <row r="823">
          <cell r="A823">
            <v>19081</v>
          </cell>
          <cell r="B823" t="str">
            <v>HANCOCK, IA</v>
          </cell>
        </row>
        <row r="824">
          <cell r="A824">
            <v>19083</v>
          </cell>
          <cell r="B824" t="str">
            <v>HARDIN, IA</v>
          </cell>
        </row>
        <row r="825">
          <cell r="A825">
            <v>19085</v>
          </cell>
          <cell r="B825" t="str">
            <v>HARRISON, IA</v>
          </cell>
        </row>
        <row r="826">
          <cell r="A826">
            <v>19087</v>
          </cell>
          <cell r="B826" t="str">
            <v>HENRY, IA</v>
          </cell>
        </row>
        <row r="827">
          <cell r="A827">
            <v>19089</v>
          </cell>
          <cell r="B827" t="str">
            <v>HOWARD, IA</v>
          </cell>
        </row>
        <row r="828">
          <cell r="A828">
            <v>19091</v>
          </cell>
          <cell r="B828" t="str">
            <v>HUMBOLDT, IA</v>
          </cell>
        </row>
        <row r="829">
          <cell r="A829">
            <v>19093</v>
          </cell>
          <cell r="B829" t="str">
            <v>IDA, IA</v>
          </cell>
        </row>
        <row r="830">
          <cell r="A830">
            <v>19095</v>
          </cell>
          <cell r="B830" t="str">
            <v>IOWA, IA</v>
          </cell>
        </row>
        <row r="831">
          <cell r="A831">
            <v>19097</v>
          </cell>
          <cell r="B831" t="str">
            <v>JACKSON, IA</v>
          </cell>
        </row>
        <row r="832">
          <cell r="A832">
            <v>19099</v>
          </cell>
          <cell r="B832" t="str">
            <v>JASPER, IA</v>
          </cell>
        </row>
        <row r="833">
          <cell r="A833">
            <v>19101</v>
          </cell>
          <cell r="B833" t="str">
            <v>JEFFERSON, IA</v>
          </cell>
        </row>
        <row r="834">
          <cell r="A834">
            <v>19103</v>
          </cell>
          <cell r="B834" t="str">
            <v>JOHNSON, IA</v>
          </cell>
        </row>
        <row r="835">
          <cell r="A835">
            <v>19105</v>
          </cell>
          <cell r="B835" t="str">
            <v>JONES, IA</v>
          </cell>
        </row>
        <row r="836">
          <cell r="A836">
            <v>19107</v>
          </cell>
          <cell r="B836" t="str">
            <v>KEOKUK, IA</v>
          </cell>
        </row>
        <row r="837">
          <cell r="A837">
            <v>19109</v>
          </cell>
          <cell r="B837" t="str">
            <v>KOSSUTH, IA</v>
          </cell>
        </row>
        <row r="838">
          <cell r="A838">
            <v>19111</v>
          </cell>
          <cell r="B838" t="str">
            <v>LEE, IA</v>
          </cell>
        </row>
        <row r="839">
          <cell r="A839">
            <v>19113</v>
          </cell>
          <cell r="B839" t="str">
            <v>LINN, IA</v>
          </cell>
        </row>
        <row r="840">
          <cell r="A840">
            <v>19115</v>
          </cell>
          <cell r="B840" t="str">
            <v>LOUISA, IA</v>
          </cell>
        </row>
        <row r="841">
          <cell r="A841">
            <v>19117</v>
          </cell>
          <cell r="B841" t="str">
            <v>LUCAS, IA</v>
          </cell>
        </row>
        <row r="842">
          <cell r="A842">
            <v>19119</v>
          </cell>
          <cell r="B842" t="str">
            <v>LYON, IA</v>
          </cell>
        </row>
        <row r="843">
          <cell r="A843">
            <v>19121</v>
          </cell>
          <cell r="B843" t="str">
            <v>MADISON, IA</v>
          </cell>
        </row>
        <row r="844">
          <cell r="A844">
            <v>19123</v>
          </cell>
          <cell r="B844" t="str">
            <v>MAHASKA, IA</v>
          </cell>
        </row>
        <row r="845">
          <cell r="A845">
            <v>19125</v>
          </cell>
          <cell r="B845" t="str">
            <v>MARION, IA</v>
          </cell>
        </row>
        <row r="846">
          <cell r="A846">
            <v>19127</v>
          </cell>
          <cell r="B846" t="str">
            <v>MARSHALL, IA</v>
          </cell>
        </row>
        <row r="847">
          <cell r="A847">
            <v>19129</v>
          </cell>
          <cell r="B847" t="str">
            <v>MILLS, IA</v>
          </cell>
        </row>
        <row r="848">
          <cell r="A848">
            <v>19131</v>
          </cell>
          <cell r="B848" t="str">
            <v>MITCHELL, IA</v>
          </cell>
        </row>
        <row r="849">
          <cell r="A849">
            <v>19133</v>
          </cell>
          <cell r="B849" t="str">
            <v>MONONA, IA</v>
          </cell>
        </row>
        <row r="850">
          <cell r="A850">
            <v>19135</v>
          </cell>
          <cell r="B850" t="str">
            <v>MONROE, IA</v>
          </cell>
        </row>
        <row r="851">
          <cell r="A851">
            <v>19137</v>
          </cell>
          <cell r="B851" t="str">
            <v>MONTGOMERY, IA</v>
          </cell>
        </row>
        <row r="852">
          <cell r="A852">
            <v>19139</v>
          </cell>
          <cell r="B852" t="str">
            <v>MUSCATINE, IA</v>
          </cell>
        </row>
        <row r="853">
          <cell r="A853">
            <v>19141</v>
          </cell>
          <cell r="B853" t="str">
            <v>OBRIEN, IA</v>
          </cell>
        </row>
        <row r="854">
          <cell r="A854">
            <v>19143</v>
          </cell>
          <cell r="B854" t="str">
            <v>OSCEOLA, IA</v>
          </cell>
        </row>
        <row r="855">
          <cell r="A855">
            <v>19145</v>
          </cell>
          <cell r="B855" t="str">
            <v>PAGE, IA</v>
          </cell>
        </row>
        <row r="856">
          <cell r="A856">
            <v>19147</v>
          </cell>
          <cell r="B856" t="str">
            <v>PALO ALTO, IA</v>
          </cell>
        </row>
        <row r="857">
          <cell r="A857">
            <v>19149</v>
          </cell>
          <cell r="B857" t="str">
            <v>PLYMOUTH, IA</v>
          </cell>
        </row>
        <row r="858">
          <cell r="A858">
            <v>19151</v>
          </cell>
          <cell r="B858" t="str">
            <v>POCAHONTAS, IA</v>
          </cell>
        </row>
        <row r="859">
          <cell r="A859">
            <v>19153</v>
          </cell>
          <cell r="B859" t="str">
            <v>POLK, IA</v>
          </cell>
        </row>
        <row r="860">
          <cell r="A860">
            <v>19155</v>
          </cell>
          <cell r="B860" t="str">
            <v>POTTAWATTAMIE, IA</v>
          </cell>
        </row>
        <row r="861">
          <cell r="A861">
            <v>19157</v>
          </cell>
          <cell r="B861" t="str">
            <v>POWESHIEK, IA</v>
          </cell>
        </row>
        <row r="862">
          <cell r="A862">
            <v>19159</v>
          </cell>
          <cell r="B862" t="str">
            <v>RINGGOLD, IA</v>
          </cell>
        </row>
        <row r="863">
          <cell r="A863">
            <v>19161</v>
          </cell>
          <cell r="B863" t="str">
            <v>SAC, IA</v>
          </cell>
        </row>
        <row r="864">
          <cell r="A864">
            <v>19163</v>
          </cell>
          <cell r="B864" t="str">
            <v>SCOTT, IA</v>
          </cell>
        </row>
        <row r="865">
          <cell r="A865">
            <v>19165</v>
          </cell>
          <cell r="B865" t="str">
            <v>SHELBY, IA</v>
          </cell>
        </row>
        <row r="866">
          <cell r="A866">
            <v>19167</v>
          </cell>
          <cell r="B866" t="str">
            <v>SIOUX, IA</v>
          </cell>
        </row>
        <row r="867">
          <cell r="A867">
            <v>19169</v>
          </cell>
          <cell r="B867" t="str">
            <v>STORY, IA</v>
          </cell>
        </row>
        <row r="868">
          <cell r="A868">
            <v>19171</v>
          </cell>
          <cell r="B868" t="str">
            <v>TAMA, IA</v>
          </cell>
        </row>
        <row r="869">
          <cell r="A869">
            <v>19173</v>
          </cell>
          <cell r="B869" t="str">
            <v>TAYLOR, IA</v>
          </cell>
        </row>
        <row r="870">
          <cell r="A870">
            <v>19175</v>
          </cell>
          <cell r="B870" t="str">
            <v>UNION, IA</v>
          </cell>
        </row>
        <row r="871">
          <cell r="A871">
            <v>19177</v>
          </cell>
          <cell r="B871" t="str">
            <v>VAN BUREN, IA</v>
          </cell>
        </row>
        <row r="872">
          <cell r="A872">
            <v>19179</v>
          </cell>
          <cell r="B872" t="str">
            <v>WAPELLO, IA</v>
          </cell>
        </row>
        <row r="873">
          <cell r="A873">
            <v>19181</v>
          </cell>
          <cell r="B873" t="str">
            <v>WARREN, IA</v>
          </cell>
        </row>
        <row r="874">
          <cell r="A874">
            <v>19183</v>
          </cell>
          <cell r="B874" t="str">
            <v>WASHINGTON, IA</v>
          </cell>
        </row>
        <row r="875">
          <cell r="A875">
            <v>19185</v>
          </cell>
          <cell r="B875" t="str">
            <v>WAYNE, IA</v>
          </cell>
        </row>
        <row r="876">
          <cell r="A876">
            <v>19187</v>
          </cell>
          <cell r="B876" t="str">
            <v>WEBSTER, IA</v>
          </cell>
        </row>
        <row r="877">
          <cell r="A877">
            <v>19189</v>
          </cell>
          <cell r="B877" t="str">
            <v>WINNEBAGO, IA</v>
          </cell>
        </row>
        <row r="878">
          <cell r="A878">
            <v>19191</v>
          </cell>
          <cell r="B878" t="str">
            <v>WINNESHIEK, IA</v>
          </cell>
        </row>
        <row r="879">
          <cell r="A879">
            <v>19193</v>
          </cell>
          <cell r="B879" t="str">
            <v>WOODBURY, IA</v>
          </cell>
        </row>
        <row r="880">
          <cell r="A880">
            <v>19195</v>
          </cell>
          <cell r="B880" t="str">
            <v>WORTH, IA</v>
          </cell>
        </row>
        <row r="881">
          <cell r="A881">
            <v>19197</v>
          </cell>
          <cell r="B881" t="str">
            <v>WRIGHT, IA</v>
          </cell>
        </row>
        <row r="882">
          <cell r="A882">
            <v>20001</v>
          </cell>
          <cell r="B882" t="str">
            <v>ALLEN, KS</v>
          </cell>
        </row>
        <row r="883">
          <cell r="A883">
            <v>20003</v>
          </cell>
          <cell r="B883" t="str">
            <v>ANDERSON, KS</v>
          </cell>
        </row>
        <row r="884">
          <cell r="A884">
            <v>20005</v>
          </cell>
          <cell r="B884" t="str">
            <v>ATCHISON, KS</v>
          </cell>
        </row>
        <row r="885">
          <cell r="A885">
            <v>20007</v>
          </cell>
          <cell r="B885" t="str">
            <v>BARBER, KS</v>
          </cell>
        </row>
        <row r="886">
          <cell r="A886">
            <v>20009</v>
          </cell>
          <cell r="B886" t="str">
            <v>BARTON, KS</v>
          </cell>
        </row>
        <row r="887">
          <cell r="A887">
            <v>20011</v>
          </cell>
          <cell r="B887" t="str">
            <v>BOURBON, KS</v>
          </cell>
        </row>
        <row r="888">
          <cell r="A888">
            <v>20013</v>
          </cell>
          <cell r="B888" t="str">
            <v>BROWN, KS</v>
          </cell>
        </row>
        <row r="889">
          <cell r="A889">
            <v>20015</v>
          </cell>
          <cell r="B889" t="str">
            <v>BUTLER, KS</v>
          </cell>
        </row>
        <row r="890">
          <cell r="A890">
            <v>20017</v>
          </cell>
          <cell r="B890" t="str">
            <v>CHASE, KS</v>
          </cell>
        </row>
        <row r="891">
          <cell r="A891">
            <v>20019</v>
          </cell>
          <cell r="B891" t="str">
            <v>CHAUTAUQUA, KS</v>
          </cell>
        </row>
        <row r="892">
          <cell r="A892">
            <v>20021</v>
          </cell>
          <cell r="B892" t="str">
            <v>CHEROKEE, KS</v>
          </cell>
        </row>
        <row r="893">
          <cell r="A893">
            <v>20023</v>
          </cell>
          <cell r="B893" t="str">
            <v>CHEYENNE, KS</v>
          </cell>
        </row>
        <row r="894">
          <cell r="A894">
            <v>20025</v>
          </cell>
          <cell r="B894" t="str">
            <v>CLARK, KS</v>
          </cell>
        </row>
        <row r="895">
          <cell r="A895">
            <v>20027</v>
          </cell>
          <cell r="B895" t="str">
            <v>CLAY, KS</v>
          </cell>
        </row>
        <row r="896">
          <cell r="A896">
            <v>20029</v>
          </cell>
          <cell r="B896" t="str">
            <v>CLOUD, KS</v>
          </cell>
        </row>
        <row r="897">
          <cell r="A897">
            <v>20031</v>
          </cell>
          <cell r="B897" t="str">
            <v>COFFEY, KS</v>
          </cell>
        </row>
        <row r="898">
          <cell r="A898">
            <v>20033</v>
          </cell>
          <cell r="B898" t="str">
            <v>COMANCHE, KS</v>
          </cell>
        </row>
        <row r="899">
          <cell r="A899">
            <v>20035</v>
          </cell>
          <cell r="B899" t="str">
            <v>COWLEY, KS</v>
          </cell>
        </row>
        <row r="900">
          <cell r="A900">
            <v>20037</v>
          </cell>
          <cell r="B900" t="str">
            <v>CRAWFORD, KS</v>
          </cell>
        </row>
        <row r="901">
          <cell r="A901">
            <v>20039</v>
          </cell>
          <cell r="B901" t="str">
            <v>DECATUR, KS</v>
          </cell>
        </row>
        <row r="902">
          <cell r="A902">
            <v>20041</v>
          </cell>
          <cell r="B902" t="str">
            <v>DICKINSON, KS</v>
          </cell>
        </row>
        <row r="903">
          <cell r="A903">
            <v>20043</v>
          </cell>
          <cell r="B903" t="str">
            <v>DONIPHAN, KS</v>
          </cell>
        </row>
        <row r="904">
          <cell r="A904">
            <v>20045</v>
          </cell>
          <cell r="B904" t="str">
            <v>DOUGLAS, KS</v>
          </cell>
        </row>
        <row r="905">
          <cell r="A905">
            <v>20047</v>
          </cell>
          <cell r="B905" t="str">
            <v>EDWARDS, KS</v>
          </cell>
        </row>
        <row r="906">
          <cell r="A906">
            <v>20049</v>
          </cell>
          <cell r="B906" t="str">
            <v>ELK, KS</v>
          </cell>
        </row>
        <row r="907">
          <cell r="A907">
            <v>20051</v>
          </cell>
          <cell r="B907" t="str">
            <v>ELLIS, KS</v>
          </cell>
        </row>
        <row r="908">
          <cell r="A908">
            <v>20053</v>
          </cell>
          <cell r="B908" t="str">
            <v>ELLSWORTH, KS</v>
          </cell>
        </row>
        <row r="909">
          <cell r="A909">
            <v>20055</v>
          </cell>
          <cell r="B909" t="str">
            <v>FINNEY, KS</v>
          </cell>
        </row>
        <row r="910">
          <cell r="A910">
            <v>20057</v>
          </cell>
          <cell r="B910" t="str">
            <v>FORD, KS</v>
          </cell>
        </row>
        <row r="911">
          <cell r="A911">
            <v>20059</v>
          </cell>
          <cell r="B911" t="str">
            <v>FRANKLIN, KS</v>
          </cell>
        </row>
        <row r="912">
          <cell r="A912">
            <v>20061</v>
          </cell>
          <cell r="B912" t="str">
            <v>GEARY, KS</v>
          </cell>
        </row>
        <row r="913">
          <cell r="A913">
            <v>20063</v>
          </cell>
          <cell r="B913" t="str">
            <v>GOVE, KS</v>
          </cell>
        </row>
        <row r="914">
          <cell r="A914">
            <v>20065</v>
          </cell>
          <cell r="B914" t="str">
            <v>GRAHAM, KS</v>
          </cell>
        </row>
        <row r="915">
          <cell r="A915">
            <v>20067</v>
          </cell>
          <cell r="B915" t="str">
            <v>GRANT, KS</v>
          </cell>
        </row>
        <row r="916">
          <cell r="A916">
            <v>20069</v>
          </cell>
          <cell r="B916" t="str">
            <v>GRAY, KS</v>
          </cell>
        </row>
        <row r="917">
          <cell r="A917">
            <v>20071</v>
          </cell>
          <cell r="B917" t="str">
            <v>GREELEY, KS</v>
          </cell>
        </row>
        <row r="918">
          <cell r="A918">
            <v>20073</v>
          </cell>
          <cell r="B918" t="str">
            <v>GREENWOOD, KS</v>
          </cell>
        </row>
        <row r="919">
          <cell r="A919">
            <v>20075</v>
          </cell>
          <cell r="B919" t="str">
            <v>HAMILTON, KS</v>
          </cell>
        </row>
        <row r="920">
          <cell r="A920">
            <v>20077</v>
          </cell>
          <cell r="B920" t="str">
            <v>HARPER, KS</v>
          </cell>
        </row>
        <row r="921">
          <cell r="A921">
            <v>20079</v>
          </cell>
          <cell r="B921" t="str">
            <v>HARVEY, KS</v>
          </cell>
        </row>
        <row r="922">
          <cell r="A922">
            <v>20081</v>
          </cell>
          <cell r="B922" t="str">
            <v>HASKELL, KS</v>
          </cell>
        </row>
        <row r="923">
          <cell r="A923">
            <v>20083</v>
          </cell>
          <cell r="B923" t="str">
            <v>HODGEMAN, KS</v>
          </cell>
        </row>
        <row r="924">
          <cell r="A924">
            <v>20085</v>
          </cell>
          <cell r="B924" t="str">
            <v>JACKSON, KS</v>
          </cell>
        </row>
        <row r="925">
          <cell r="A925">
            <v>20087</v>
          </cell>
          <cell r="B925" t="str">
            <v>JEFFERSON, KS</v>
          </cell>
        </row>
        <row r="926">
          <cell r="A926">
            <v>20089</v>
          </cell>
          <cell r="B926" t="str">
            <v>JEWELL, KS</v>
          </cell>
        </row>
        <row r="927">
          <cell r="A927">
            <v>20091</v>
          </cell>
          <cell r="B927" t="str">
            <v>JOHNSON, KS</v>
          </cell>
        </row>
        <row r="928">
          <cell r="A928">
            <v>20093</v>
          </cell>
          <cell r="B928" t="str">
            <v>KEARNY, KS</v>
          </cell>
        </row>
        <row r="929">
          <cell r="A929">
            <v>20095</v>
          </cell>
          <cell r="B929" t="str">
            <v>KINGMAN, KS</v>
          </cell>
        </row>
        <row r="930">
          <cell r="A930">
            <v>20097</v>
          </cell>
          <cell r="B930" t="str">
            <v>KIOWA, KS</v>
          </cell>
        </row>
        <row r="931">
          <cell r="A931">
            <v>20099</v>
          </cell>
          <cell r="B931" t="str">
            <v>LABETTE, KS</v>
          </cell>
        </row>
        <row r="932">
          <cell r="A932">
            <v>20101</v>
          </cell>
          <cell r="B932" t="str">
            <v>LANE, KS</v>
          </cell>
        </row>
        <row r="933">
          <cell r="A933">
            <v>20103</v>
          </cell>
          <cell r="B933" t="str">
            <v>LEAVENWORTH, KS</v>
          </cell>
        </row>
        <row r="934">
          <cell r="A934">
            <v>20105</v>
          </cell>
          <cell r="B934" t="str">
            <v>LINCOLN, KS</v>
          </cell>
        </row>
        <row r="935">
          <cell r="A935">
            <v>20107</v>
          </cell>
          <cell r="B935" t="str">
            <v>LINN, KS</v>
          </cell>
        </row>
        <row r="936">
          <cell r="A936">
            <v>20109</v>
          </cell>
          <cell r="B936" t="str">
            <v>LOGAN, KS</v>
          </cell>
        </row>
        <row r="937">
          <cell r="A937">
            <v>20111</v>
          </cell>
          <cell r="B937" t="str">
            <v>LYON, KS</v>
          </cell>
        </row>
        <row r="938">
          <cell r="A938">
            <v>20113</v>
          </cell>
          <cell r="B938" t="str">
            <v>MCPHERSON, KS</v>
          </cell>
        </row>
        <row r="939">
          <cell r="A939">
            <v>20115</v>
          </cell>
          <cell r="B939" t="str">
            <v>MARION, KS</v>
          </cell>
        </row>
        <row r="940">
          <cell r="A940">
            <v>20117</v>
          </cell>
          <cell r="B940" t="str">
            <v>MARSHALL, KS</v>
          </cell>
        </row>
        <row r="941">
          <cell r="A941">
            <v>20119</v>
          </cell>
          <cell r="B941" t="str">
            <v>MEADE, KS</v>
          </cell>
        </row>
        <row r="942">
          <cell r="A942">
            <v>20121</v>
          </cell>
          <cell r="B942" t="str">
            <v>MIAMI, KS</v>
          </cell>
        </row>
        <row r="943">
          <cell r="A943">
            <v>20123</v>
          </cell>
          <cell r="B943" t="str">
            <v>MITCHELL, KS</v>
          </cell>
        </row>
        <row r="944">
          <cell r="A944">
            <v>20125</v>
          </cell>
          <cell r="B944" t="str">
            <v>MONTGOMERY, KS</v>
          </cell>
        </row>
        <row r="945">
          <cell r="A945">
            <v>20127</v>
          </cell>
          <cell r="B945" t="str">
            <v>MORRIS, KS</v>
          </cell>
        </row>
        <row r="946">
          <cell r="A946">
            <v>20129</v>
          </cell>
          <cell r="B946" t="str">
            <v>MORTON, KS</v>
          </cell>
        </row>
        <row r="947">
          <cell r="A947">
            <v>20131</v>
          </cell>
          <cell r="B947" t="str">
            <v>NEMAHA, KS</v>
          </cell>
        </row>
        <row r="948">
          <cell r="A948">
            <v>20133</v>
          </cell>
          <cell r="B948" t="str">
            <v>NEOSHO, KS</v>
          </cell>
        </row>
        <row r="949">
          <cell r="A949">
            <v>20135</v>
          </cell>
          <cell r="B949" t="str">
            <v>NESS, KS</v>
          </cell>
        </row>
        <row r="950">
          <cell r="A950">
            <v>20137</v>
          </cell>
          <cell r="B950" t="str">
            <v>NORTON, KS</v>
          </cell>
        </row>
        <row r="951">
          <cell r="A951">
            <v>20139</v>
          </cell>
          <cell r="B951" t="str">
            <v>OSAGE, KS</v>
          </cell>
        </row>
        <row r="952">
          <cell r="A952">
            <v>20141</v>
          </cell>
          <cell r="B952" t="str">
            <v>OSBORNE, KS</v>
          </cell>
        </row>
        <row r="953">
          <cell r="A953">
            <v>20143</v>
          </cell>
          <cell r="B953" t="str">
            <v>OTTAWA, KS</v>
          </cell>
        </row>
        <row r="954">
          <cell r="A954">
            <v>20145</v>
          </cell>
          <cell r="B954" t="str">
            <v>PAWNEE, KS</v>
          </cell>
        </row>
        <row r="955">
          <cell r="A955">
            <v>20147</v>
          </cell>
          <cell r="B955" t="str">
            <v>PHILLIPS, KS</v>
          </cell>
        </row>
        <row r="956">
          <cell r="A956">
            <v>20149</v>
          </cell>
          <cell r="B956" t="str">
            <v>POTTAWATOMIE, KS</v>
          </cell>
        </row>
        <row r="957">
          <cell r="A957">
            <v>20151</v>
          </cell>
          <cell r="B957" t="str">
            <v>PRATT, KS</v>
          </cell>
        </row>
        <row r="958">
          <cell r="A958">
            <v>20153</v>
          </cell>
          <cell r="B958" t="str">
            <v>RAWLINS, KS</v>
          </cell>
        </row>
        <row r="959">
          <cell r="A959">
            <v>20155</v>
          </cell>
          <cell r="B959" t="str">
            <v>RENO, KS</v>
          </cell>
        </row>
        <row r="960">
          <cell r="A960">
            <v>20157</v>
          </cell>
          <cell r="B960" t="str">
            <v>REPUBLIC, KS</v>
          </cell>
        </row>
        <row r="961">
          <cell r="A961">
            <v>20159</v>
          </cell>
          <cell r="B961" t="str">
            <v>RICE, KS</v>
          </cell>
        </row>
        <row r="962">
          <cell r="A962">
            <v>20161</v>
          </cell>
          <cell r="B962" t="str">
            <v>RILEY, KS</v>
          </cell>
        </row>
        <row r="963">
          <cell r="A963">
            <v>20163</v>
          </cell>
          <cell r="B963" t="str">
            <v>ROOKS, KS</v>
          </cell>
        </row>
        <row r="964">
          <cell r="A964">
            <v>20165</v>
          </cell>
          <cell r="B964" t="str">
            <v>RUSH, KS</v>
          </cell>
        </row>
        <row r="965">
          <cell r="A965">
            <v>20167</v>
          </cell>
          <cell r="B965" t="str">
            <v>RUSSELL, KS</v>
          </cell>
        </row>
        <row r="966">
          <cell r="A966">
            <v>20169</v>
          </cell>
          <cell r="B966" t="str">
            <v>SALINE, KS</v>
          </cell>
        </row>
        <row r="967">
          <cell r="A967">
            <v>20171</v>
          </cell>
          <cell r="B967" t="str">
            <v>SCOTT, KS</v>
          </cell>
        </row>
        <row r="968">
          <cell r="A968">
            <v>20173</v>
          </cell>
          <cell r="B968" t="str">
            <v>SEDGWICK, KS</v>
          </cell>
        </row>
        <row r="969">
          <cell r="A969">
            <v>20175</v>
          </cell>
          <cell r="B969" t="str">
            <v>SEWARD, KS</v>
          </cell>
        </row>
        <row r="970">
          <cell r="A970">
            <v>20177</v>
          </cell>
          <cell r="B970" t="str">
            <v>SHAWNEE, KS</v>
          </cell>
        </row>
        <row r="971">
          <cell r="A971">
            <v>20179</v>
          </cell>
          <cell r="B971" t="str">
            <v>SHERIDAN, KS</v>
          </cell>
        </row>
        <row r="972">
          <cell r="A972">
            <v>20181</v>
          </cell>
          <cell r="B972" t="str">
            <v>SHERMAN, KS</v>
          </cell>
        </row>
        <row r="973">
          <cell r="A973">
            <v>20183</v>
          </cell>
          <cell r="B973" t="str">
            <v>SMITH, KS</v>
          </cell>
        </row>
        <row r="974">
          <cell r="A974">
            <v>20185</v>
          </cell>
          <cell r="B974" t="str">
            <v>STAFFORD, KS</v>
          </cell>
        </row>
        <row r="975">
          <cell r="A975">
            <v>20187</v>
          </cell>
          <cell r="B975" t="str">
            <v>STANTON, KS</v>
          </cell>
        </row>
        <row r="976">
          <cell r="A976">
            <v>20189</v>
          </cell>
          <cell r="B976" t="str">
            <v>STEVENS, KS</v>
          </cell>
        </row>
        <row r="977">
          <cell r="A977">
            <v>20191</v>
          </cell>
          <cell r="B977" t="str">
            <v>SUMNER, KS</v>
          </cell>
        </row>
        <row r="978">
          <cell r="A978">
            <v>20193</v>
          </cell>
          <cell r="B978" t="str">
            <v>THOMAS, KS</v>
          </cell>
        </row>
        <row r="979">
          <cell r="A979">
            <v>20195</v>
          </cell>
          <cell r="B979" t="str">
            <v>TREGO, KS</v>
          </cell>
        </row>
        <row r="980">
          <cell r="A980">
            <v>20197</v>
          </cell>
          <cell r="B980" t="str">
            <v>WABAUNSEE, KS</v>
          </cell>
        </row>
        <row r="981">
          <cell r="A981">
            <v>20199</v>
          </cell>
          <cell r="B981" t="str">
            <v>WALLACE, KS</v>
          </cell>
        </row>
        <row r="982">
          <cell r="A982">
            <v>20201</v>
          </cell>
          <cell r="B982" t="str">
            <v>WASHINGTON, KS</v>
          </cell>
        </row>
        <row r="983">
          <cell r="A983">
            <v>20203</v>
          </cell>
          <cell r="B983" t="str">
            <v>WICHITA, KS</v>
          </cell>
        </row>
        <row r="984">
          <cell r="A984">
            <v>20205</v>
          </cell>
          <cell r="B984" t="str">
            <v>WILSON, KS</v>
          </cell>
        </row>
        <row r="985">
          <cell r="A985">
            <v>20207</v>
          </cell>
          <cell r="B985" t="str">
            <v>WOODSON, KS</v>
          </cell>
        </row>
        <row r="986">
          <cell r="A986">
            <v>20209</v>
          </cell>
          <cell r="B986" t="str">
            <v>WYANDOTTE, KS</v>
          </cell>
        </row>
        <row r="987">
          <cell r="A987">
            <v>21001</v>
          </cell>
          <cell r="B987" t="str">
            <v>ADAIR, KY</v>
          </cell>
        </row>
        <row r="988">
          <cell r="A988">
            <v>21003</v>
          </cell>
          <cell r="B988" t="str">
            <v>ALLEN, KY</v>
          </cell>
        </row>
        <row r="989">
          <cell r="A989">
            <v>21005</v>
          </cell>
          <cell r="B989" t="str">
            <v>ANDERSON, KY</v>
          </cell>
        </row>
        <row r="990">
          <cell r="A990">
            <v>21007</v>
          </cell>
          <cell r="B990" t="str">
            <v>BALLARD, KY</v>
          </cell>
        </row>
        <row r="991">
          <cell r="A991">
            <v>21009</v>
          </cell>
          <cell r="B991" t="str">
            <v>BARREN, KY</v>
          </cell>
        </row>
        <row r="992">
          <cell r="A992">
            <v>21011</v>
          </cell>
          <cell r="B992" t="str">
            <v>BATH, KY</v>
          </cell>
        </row>
        <row r="993">
          <cell r="A993">
            <v>21013</v>
          </cell>
          <cell r="B993" t="str">
            <v>BELL, KY</v>
          </cell>
        </row>
        <row r="994">
          <cell r="A994">
            <v>21015</v>
          </cell>
          <cell r="B994" t="str">
            <v>BOONE, KY</v>
          </cell>
        </row>
        <row r="995">
          <cell r="A995">
            <v>21017</v>
          </cell>
          <cell r="B995" t="str">
            <v>BOURBON, KY</v>
          </cell>
        </row>
        <row r="996">
          <cell r="A996">
            <v>21019</v>
          </cell>
          <cell r="B996" t="str">
            <v>BOYD, KY</v>
          </cell>
        </row>
        <row r="997">
          <cell r="A997">
            <v>21021</v>
          </cell>
          <cell r="B997" t="str">
            <v>BOYLE, KY</v>
          </cell>
        </row>
        <row r="998">
          <cell r="A998">
            <v>21023</v>
          </cell>
          <cell r="B998" t="str">
            <v>BRACKEN, KY</v>
          </cell>
        </row>
        <row r="999">
          <cell r="A999">
            <v>21025</v>
          </cell>
          <cell r="B999" t="str">
            <v>BREATHITT, KY</v>
          </cell>
        </row>
        <row r="1000">
          <cell r="A1000">
            <v>21027</v>
          </cell>
          <cell r="B1000" t="str">
            <v>BRECKINRIDGE, KY</v>
          </cell>
        </row>
        <row r="1001">
          <cell r="A1001">
            <v>21029</v>
          </cell>
          <cell r="B1001" t="str">
            <v>BULLITT, KY</v>
          </cell>
        </row>
        <row r="1002">
          <cell r="A1002">
            <v>21031</v>
          </cell>
          <cell r="B1002" t="str">
            <v>BUTLER, KY</v>
          </cell>
        </row>
        <row r="1003">
          <cell r="A1003">
            <v>21033</v>
          </cell>
          <cell r="B1003" t="str">
            <v>CALDWELL, KY</v>
          </cell>
        </row>
        <row r="1004">
          <cell r="A1004">
            <v>21035</v>
          </cell>
          <cell r="B1004" t="str">
            <v>CALLOWAY, KY</v>
          </cell>
        </row>
        <row r="1005">
          <cell r="A1005">
            <v>21037</v>
          </cell>
          <cell r="B1005" t="str">
            <v>CAMPBELL, KY</v>
          </cell>
        </row>
        <row r="1006">
          <cell r="A1006">
            <v>21039</v>
          </cell>
          <cell r="B1006" t="str">
            <v>CARLISLE, KY</v>
          </cell>
        </row>
        <row r="1007">
          <cell r="A1007">
            <v>21041</v>
          </cell>
          <cell r="B1007" t="str">
            <v>CARROLL, KY</v>
          </cell>
        </row>
        <row r="1008">
          <cell r="A1008">
            <v>21043</v>
          </cell>
          <cell r="B1008" t="str">
            <v>CARTER, KY</v>
          </cell>
        </row>
        <row r="1009">
          <cell r="A1009">
            <v>21045</v>
          </cell>
          <cell r="B1009" t="str">
            <v>CASEY, KY</v>
          </cell>
        </row>
        <row r="1010">
          <cell r="A1010">
            <v>21047</v>
          </cell>
          <cell r="B1010" t="str">
            <v>CHRISTIAN, KY</v>
          </cell>
        </row>
        <row r="1011">
          <cell r="A1011">
            <v>21049</v>
          </cell>
          <cell r="B1011" t="str">
            <v>CLARK, KY</v>
          </cell>
        </row>
        <row r="1012">
          <cell r="A1012">
            <v>21051</v>
          </cell>
          <cell r="B1012" t="str">
            <v>CLAY, KY</v>
          </cell>
        </row>
        <row r="1013">
          <cell r="A1013">
            <v>21053</v>
          </cell>
          <cell r="B1013" t="str">
            <v>CLINTON, KY</v>
          </cell>
        </row>
        <row r="1014">
          <cell r="A1014">
            <v>21055</v>
          </cell>
          <cell r="B1014" t="str">
            <v>CRITTENDEN, KY</v>
          </cell>
        </row>
        <row r="1015">
          <cell r="A1015">
            <v>21057</v>
          </cell>
          <cell r="B1015" t="str">
            <v>CUMBERLAND, KY</v>
          </cell>
        </row>
        <row r="1016">
          <cell r="A1016">
            <v>21059</v>
          </cell>
          <cell r="B1016" t="str">
            <v>DAVIESS, KY</v>
          </cell>
        </row>
        <row r="1017">
          <cell r="A1017">
            <v>21061</v>
          </cell>
          <cell r="B1017" t="str">
            <v>EDMONSON, KY</v>
          </cell>
        </row>
        <row r="1018">
          <cell r="A1018">
            <v>21063</v>
          </cell>
          <cell r="B1018" t="str">
            <v>ELLIOTT, KY</v>
          </cell>
        </row>
        <row r="1019">
          <cell r="A1019">
            <v>21065</v>
          </cell>
          <cell r="B1019" t="str">
            <v>ESTILL, KY</v>
          </cell>
        </row>
        <row r="1020">
          <cell r="A1020">
            <v>21067</v>
          </cell>
          <cell r="B1020" t="str">
            <v>FAYETTE, KY</v>
          </cell>
        </row>
        <row r="1021">
          <cell r="A1021">
            <v>21069</v>
          </cell>
          <cell r="B1021" t="str">
            <v>FLEMING, KY</v>
          </cell>
        </row>
        <row r="1022">
          <cell r="A1022">
            <v>21071</v>
          </cell>
          <cell r="B1022" t="str">
            <v>FLOYD, KY</v>
          </cell>
        </row>
        <row r="1023">
          <cell r="A1023">
            <v>21073</v>
          </cell>
          <cell r="B1023" t="str">
            <v>FRANKLIN, KY</v>
          </cell>
        </row>
        <row r="1024">
          <cell r="A1024">
            <v>21075</v>
          </cell>
          <cell r="B1024" t="str">
            <v>FULTON, KY</v>
          </cell>
        </row>
        <row r="1025">
          <cell r="A1025">
            <v>21077</v>
          </cell>
          <cell r="B1025" t="str">
            <v>GALLATIN, KY</v>
          </cell>
        </row>
        <row r="1026">
          <cell r="A1026">
            <v>21079</v>
          </cell>
          <cell r="B1026" t="str">
            <v>GARRARD, KY</v>
          </cell>
        </row>
        <row r="1027">
          <cell r="A1027">
            <v>21081</v>
          </cell>
          <cell r="B1027" t="str">
            <v>GRANT, KY</v>
          </cell>
        </row>
        <row r="1028">
          <cell r="A1028">
            <v>21083</v>
          </cell>
          <cell r="B1028" t="str">
            <v>GRAVES, KY</v>
          </cell>
        </row>
        <row r="1029">
          <cell r="A1029">
            <v>21085</v>
          </cell>
          <cell r="B1029" t="str">
            <v>GRAYSON, KY</v>
          </cell>
        </row>
        <row r="1030">
          <cell r="A1030">
            <v>21087</v>
          </cell>
          <cell r="B1030" t="str">
            <v>GREEN, KY</v>
          </cell>
        </row>
        <row r="1031">
          <cell r="A1031">
            <v>21089</v>
          </cell>
          <cell r="B1031" t="str">
            <v>GREENUP, KY</v>
          </cell>
        </row>
        <row r="1032">
          <cell r="A1032">
            <v>21091</v>
          </cell>
          <cell r="B1032" t="str">
            <v>HANCOCK, KY</v>
          </cell>
        </row>
        <row r="1033">
          <cell r="A1033">
            <v>21093</v>
          </cell>
          <cell r="B1033" t="str">
            <v>HARDIN, KY</v>
          </cell>
        </row>
        <row r="1034">
          <cell r="A1034">
            <v>21095</v>
          </cell>
          <cell r="B1034" t="str">
            <v>HARLAN, KY</v>
          </cell>
        </row>
        <row r="1035">
          <cell r="A1035">
            <v>21097</v>
          </cell>
          <cell r="B1035" t="str">
            <v>HARRISON, KY</v>
          </cell>
        </row>
        <row r="1036">
          <cell r="A1036">
            <v>21099</v>
          </cell>
          <cell r="B1036" t="str">
            <v>HART, KY</v>
          </cell>
        </row>
        <row r="1037">
          <cell r="A1037">
            <v>21101</v>
          </cell>
          <cell r="B1037" t="str">
            <v>HENDERSON, KY</v>
          </cell>
        </row>
        <row r="1038">
          <cell r="A1038">
            <v>21103</v>
          </cell>
          <cell r="B1038" t="str">
            <v>HENRY, KY</v>
          </cell>
        </row>
        <row r="1039">
          <cell r="A1039">
            <v>21105</v>
          </cell>
          <cell r="B1039" t="str">
            <v>HICKMAN, KY</v>
          </cell>
        </row>
        <row r="1040">
          <cell r="A1040">
            <v>21107</v>
          </cell>
          <cell r="B1040" t="str">
            <v>HOPKINS, KY</v>
          </cell>
        </row>
        <row r="1041">
          <cell r="A1041">
            <v>21109</v>
          </cell>
          <cell r="B1041" t="str">
            <v>JACKSON, KY</v>
          </cell>
        </row>
        <row r="1042">
          <cell r="A1042">
            <v>21111</v>
          </cell>
          <cell r="B1042" t="str">
            <v>JEFFERSON, KY</v>
          </cell>
        </row>
        <row r="1043">
          <cell r="A1043">
            <v>21113</v>
          </cell>
          <cell r="B1043" t="str">
            <v>JESSAMINE, KY</v>
          </cell>
        </row>
        <row r="1044">
          <cell r="A1044">
            <v>21115</v>
          </cell>
          <cell r="B1044" t="str">
            <v>JOHNSON, KY</v>
          </cell>
        </row>
        <row r="1045">
          <cell r="A1045">
            <v>21117</v>
          </cell>
          <cell r="B1045" t="str">
            <v>KENTON, KY</v>
          </cell>
        </row>
        <row r="1046">
          <cell r="A1046">
            <v>21119</v>
          </cell>
          <cell r="B1046" t="str">
            <v>KNOTT, KY</v>
          </cell>
        </row>
        <row r="1047">
          <cell r="A1047">
            <v>21121</v>
          </cell>
          <cell r="B1047" t="str">
            <v>KNOX, KY</v>
          </cell>
        </row>
        <row r="1048">
          <cell r="A1048">
            <v>21123</v>
          </cell>
          <cell r="B1048" t="str">
            <v>LARUE, KY</v>
          </cell>
        </row>
        <row r="1049">
          <cell r="A1049">
            <v>21125</v>
          </cell>
          <cell r="B1049" t="str">
            <v>LAUREL, KY</v>
          </cell>
        </row>
        <row r="1050">
          <cell r="A1050">
            <v>21127</v>
          </cell>
          <cell r="B1050" t="str">
            <v>LAWRENCE, KY</v>
          </cell>
        </row>
        <row r="1051">
          <cell r="A1051">
            <v>21129</v>
          </cell>
          <cell r="B1051" t="str">
            <v>LEE, KY</v>
          </cell>
        </row>
        <row r="1052">
          <cell r="A1052">
            <v>21131</v>
          </cell>
          <cell r="B1052" t="str">
            <v>LESLIE, KY</v>
          </cell>
        </row>
        <row r="1053">
          <cell r="A1053">
            <v>21133</v>
          </cell>
          <cell r="B1053" t="str">
            <v>LETCHER, KY</v>
          </cell>
        </row>
        <row r="1054">
          <cell r="A1054">
            <v>21135</v>
          </cell>
          <cell r="B1054" t="str">
            <v>LEWIS, KY</v>
          </cell>
        </row>
        <row r="1055">
          <cell r="A1055">
            <v>21137</v>
          </cell>
          <cell r="B1055" t="str">
            <v>LINCOLN, KY</v>
          </cell>
        </row>
        <row r="1056">
          <cell r="A1056">
            <v>21139</v>
          </cell>
          <cell r="B1056" t="str">
            <v>LIVINGSTON, KY</v>
          </cell>
        </row>
        <row r="1057">
          <cell r="A1057">
            <v>21141</v>
          </cell>
          <cell r="B1057" t="str">
            <v>LOGAN, KY</v>
          </cell>
        </row>
        <row r="1058">
          <cell r="A1058">
            <v>21143</v>
          </cell>
          <cell r="B1058" t="str">
            <v>LYON, KY</v>
          </cell>
        </row>
        <row r="1059">
          <cell r="A1059">
            <v>21145</v>
          </cell>
          <cell r="B1059" t="str">
            <v>MCCRACKEN, KY</v>
          </cell>
        </row>
        <row r="1060">
          <cell r="A1060">
            <v>21147</v>
          </cell>
          <cell r="B1060" t="str">
            <v>MCCREARY, KY</v>
          </cell>
        </row>
        <row r="1061">
          <cell r="A1061">
            <v>21149</v>
          </cell>
          <cell r="B1061" t="str">
            <v>MCLEAN, KY</v>
          </cell>
        </row>
        <row r="1062">
          <cell r="A1062">
            <v>21151</v>
          </cell>
          <cell r="B1062" t="str">
            <v>MADISON, KY</v>
          </cell>
        </row>
        <row r="1063">
          <cell r="A1063">
            <v>21153</v>
          </cell>
          <cell r="B1063" t="str">
            <v>MAGOFFIN, KY</v>
          </cell>
        </row>
        <row r="1064">
          <cell r="A1064">
            <v>21155</v>
          </cell>
          <cell r="B1064" t="str">
            <v>MARION, KY</v>
          </cell>
        </row>
        <row r="1065">
          <cell r="A1065">
            <v>21157</v>
          </cell>
          <cell r="B1065" t="str">
            <v>MARSHALL, KY</v>
          </cell>
        </row>
        <row r="1066">
          <cell r="A1066">
            <v>21159</v>
          </cell>
          <cell r="B1066" t="str">
            <v>MARTIN, KY</v>
          </cell>
        </row>
        <row r="1067">
          <cell r="A1067">
            <v>21161</v>
          </cell>
          <cell r="B1067" t="str">
            <v>MASON, KY</v>
          </cell>
        </row>
        <row r="1068">
          <cell r="A1068">
            <v>21163</v>
          </cell>
          <cell r="B1068" t="str">
            <v>MEADE, KY</v>
          </cell>
        </row>
        <row r="1069">
          <cell r="A1069">
            <v>21165</v>
          </cell>
          <cell r="B1069" t="str">
            <v>MENIFEE, KY</v>
          </cell>
        </row>
        <row r="1070">
          <cell r="A1070">
            <v>21167</v>
          </cell>
          <cell r="B1070" t="str">
            <v>MERCER, KY</v>
          </cell>
        </row>
        <row r="1071">
          <cell r="A1071">
            <v>21169</v>
          </cell>
          <cell r="B1071" t="str">
            <v>METCALFE, KY</v>
          </cell>
        </row>
        <row r="1072">
          <cell r="A1072">
            <v>21171</v>
          </cell>
          <cell r="B1072" t="str">
            <v>MONROE, KY</v>
          </cell>
        </row>
        <row r="1073">
          <cell r="A1073">
            <v>21173</v>
          </cell>
          <cell r="B1073" t="str">
            <v>MONTGOMERY, KY</v>
          </cell>
        </row>
        <row r="1074">
          <cell r="A1074">
            <v>21175</v>
          </cell>
          <cell r="B1074" t="str">
            <v>MORGAN, KY</v>
          </cell>
        </row>
        <row r="1075">
          <cell r="A1075">
            <v>21177</v>
          </cell>
          <cell r="B1075" t="str">
            <v>MUHLENBERG, KY</v>
          </cell>
        </row>
        <row r="1076">
          <cell r="A1076">
            <v>21179</v>
          </cell>
          <cell r="B1076" t="str">
            <v>NELSON, KY</v>
          </cell>
        </row>
        <row r="1077">
          <cell r="A1077">
            <v>21181</v>
          </cell>
          <cell r="B1077" t="str">
            <v>NICHOLAS, KY</v>
          </cell>
        </row>
        <row r="1078">
          <cell r="A1078">
            <v>21183</v>
          </cell>
          <cell r="B1078" t="str">
            <v>OHIO, KY</v>
          </cell>
        </row>
        <row r="1079">
          <cell r="A1079">
            <v>21185</v>
          </cell>
          <cell r="B1079" t="str">
            <v>OLDHAM, KY</v>
          </cell>
        </row>
        <row r="1080">
          <cell r="A1080">
            <v>21187</v>
          </cell>
          <cell r="B1080" t="str">
            <v>OWEN, KY</v>
          </cell>
        </row>
        <row r="1081">
          <cell r="A1081">
            <v>21189</v>
          </cell>
          <cell r="B1081" t="str">
            <v>OWSLEY, KY</v>
          </cell>
        </row>
        <row r="1082">
          <cell r="A1082">
            <v>21191</v>
          </cell>
          <cell r="B1082" t="str">
            <v>PENDLETON, KY</v>
          </cell>
        </row>
        <row r="1083">
          <cell r="A1083">
            <v>21193</v>
          </cell>
          <cell r="B1083" t="str">
            <v>PERRY, KY</v>
          </cell>
        </row>
        <row r="1084">
          <cell r="A1084">
            <v>21195</v>
          </cell>
          <cell r="B1084" t="str">
            <v>PIKE, KY</v>
          </cell>
        </row>
        <row r="1085">
          <cell r="A1085">
            <v>21197</v>
          </cell>
          <cell r="B1085" t="str">
            <v>POWELL, KY</v>
          </cell>
        </row>
        <row r="1086">
          <cell r="A1086">
            <v>21199</v>
          </cell>
          <cell r="B1086" t="str">
            <v>PULASKI, KY</v>
          </cell>
        </row>
        <row r="1087">
          <cell r="A1087">
            <v>21201</v>
          </cell>
          <cell r="B1087" t="str">
            <v>ROBERTSON, KY</v>
          </cell>
        </row>
        <row r="1088">
          <cell r="A1088">
            <v>21203</v>
          </cell>
          <cell r="B1088" t="str">
            <v>ROCKCASTLE, KY</v>
          </cell>
        </row>
        <row r="1089">
          <cell r="A1089">
            <v>21205</v>
          </cell>
          <cell r="B1089" t="str">
            <v>ROWAN, KY</v>
          </cell>
        </row>
        <row r="1090">
          <cell r="A1090">
            <v>21207</v>
          </cell>
          <cell r="B1090" t="str">
            <v>RUSSELL, KY</v>
          </cell>
        </row>
        <row r="1091">
          <cell r="A1091">
            <v>21209</v>
          </cell>
          <cell r="B1091" t="str">
            <v>SCOTT, KY</v>
          </cell>
        </row>
        <row r="1092">
          <cell r="A1092">
            <v>21211</v>
          </cell>
          <cell r="B1092" t="str">
            <v>SHELBY, KY</v>
          </cell>
        </row>
        <row r="1093">
          <cell r="A1093">
            <v>21213</v>
          </cell>
          <cell r="B1093" t="str">
            <v>SIMPSON, KY</v>
          </cell>
        </row>
        <row r="1094">
          <cell r="A1094">
            <v>21215</v>
          </cell>
          <cell r="B1094" t="str">
            <v>SPENCER, KY</v>
          </cell>
        </row>
        <row r="1095">
          <cell r="A1095">
            <v>21217</v>
          </cell>
          <cell r="B1095" t="str">
            <v>TAYLOR, KY</v>
          </cell>
        </row>
        <row r="1096">
          <cell r="A1096">
            <v>21219</v>
          </cell>
          <cell r="B1096" t="str">
            <v>TODD, KY</v>
          </cell>
        </row>
        <row r="1097">
          <cell r="A1097">
            <v>21221</v>
          </cell>
          <cell r="B1097" t="str">
            <v>TRIGG, KY</v>
          </cell>
        </row>
        <row r="1098">
          <cell r="A1098">
            <v>21223</v>
          </cell>
          <cell r="B1098" t="str">
            <v>TRIMBLE, KY</v>
          </cell>
        </row>
        <row r="1099">
          <cell r="A1099">
            <v>21225</v>
          </cell>
          <cell r="B1099" t="str">
            <v>UNION, KY</v>
          </cell>
        </row>
        <row r="1100">
          <cell r="A1100">
            <v>21227</v>
          </cell>
          <cell r="B1100" t="str">
            <v>WARREN, KY</v>
          </cell>
        </row>
        <row r="1101">
          <cell r="A1101">
            <v>21229</v>
          </cell>
          <cell r="B1101" t="str">
            <v>WASHINGTON, KY</v>
          </cell>
        </row>
        <row r="1102">
          <cell r="A1102">
            <v>21231</v>
          </cell>
          <cell r="B1102" t="str">
            <v>WAYNE, KY</v>
          </cell>
        </row>
        <row r="1103">
          <cell r="A1103">
            <v>21233</v>
          </cell>
          <cell r="B1103" t="str">
            <v>WEBSTER, KY</v>
          </cell>
        </row>
        <row r="1104">
          <cell r="A1104">
            <v>21235</v>
          </cell>
          <cell r="B1104" t="str">
            <v>WHITLEY, KY</v>
          </cell>
        </row>
        <row r="1105">
          <cell r="A1105">
            <v>21237</v>
          </cell>
          <cell r="B1105" t="str">
            <v>WOLFE, KY</v>
          </cell>
        </row>
        <row r="1106">
          <cell r="A1106">
            <v>21239</v>
          </cell>
          <cell r="B1106" t="str">
            <v>WOODFORD, KY</v>
          </cell>
        </row>
        <row r="1107">
          <cell r="A1107">
            <v>22001</v>
          </cell>
          <cell r="B1107" t="str">
            <v>ACADIA, LA</v>
          </cell>
        </row>
        <row r="1108">
          <cell r="A1108">
            <v>22003</v>
          </cell>
          <cell r="B1108" t="str">
            <v>ALLEN, LA</v>
          </cell>
        </row>
        <row r="1109">
          <cell r="A1109">
            <v>22005</v>
          </cell>
          <cell r="B1109" t="str">
            <v>ASCENSION, LA</v>
          </cell>
        </row>
        <row r="1110">
          <cell r="A1110">
            <v>22007</v>
          </cell>
          <cell r="B1110" t="str">
            <v>ASSUMPTION, LA</v>
          </cell>
        </row>
        <row r="1111">
          <cell r="A1111">
            <v>22009</v>
          </cell>
          <cell r="B1111" t="str">
            <v>AVOYELLES, LA</v>
          </cell>
        </row>
        <row r="1112">
          <cell r="A1112">
            <v>22011</v>
          </cell>
          <cell r="B1112" t="str">
            <v>BEAUREGARD, LA</v>
          </cell>
        </row>
        <row r="1113">
          <cell r="A1113">
            <v>22013</v>
          </cell>
          <cell r="B1113" t="str">
            <v>BIENVILLE, LA</v>
          </cell>
        </row>
        <row r="1114">
          <cell r="A1114">
            <v>22015</v>
          </cell>
          <cell r="B1114" t="str">
            <v>BOSSIER, LA</v>
          </cell>
        </row>
        <row r="1115">
          <cell r="A1115">
            <v>22017</v>
          </cell>
          <cell r="B1115" t="str">
            <v>CADDO, LA</v>
          </cell>
        </row>
        <row r="1116">
          <cell r="A1116">
            <v>22019</v>
          </cell>
          <cell r="B1116" t="str">
            <v>CALCASIEU, LA</v>
          </cell>
        </row>
        <row r="1117">
          <cell r="A1117">
            <v>22021</v>
          </cell>
          <cell r="B1117" t="str">
            <v>CALDWELL, LA</v>
          </cell>
        </row>
        <row r="1118">
          <cell r="A1118">
            <v>22023</v>
          </cell>
          <cell r="B1118" t="str">
            <v>CAMERON, LA</v>
          </cell>
        </row>
        <row r="1119">
          <cell r="A1119">
            <v>22025</v>
          </cell>
          <cell r="B1119" t="str">
            <v>CATAHOULA, LA</v>
          </cell>
        </row>
        <row r="1120">
          <cell r="A1120">
            <v>22027</v>
          </cell>
          <cell r="B1120" t="str">
            <v>CLAIBORNE, LA</v>
          </cell>
        </row>
        <row r="1121">
          <cell r="A1121">
            <v>22029</v>
          </cell>
          <cell r="B1121" t="str">
            <v>CONCORDIA, LA</v>
          </cell>
        </row>
        <row r="1122">
          <cell r="A1122">
            <v>22031</v>
          </cell>
          <cell r="B1122" t="str">
            <v>DE SOTO, LA</v>
          </cell>
        </row>
        <row r="1123">
          <cell r="A1123">
            <v>22033</v>
          </cell>
          <cell r="B1123" t="str">
            <v>EAST BATON ROUGE, LA</v>
          </cell>
        </row>
        <row r="1124">
          <cell r="A1124">
            <v>22035</v>
          </cell>
          <cell r="B1124" t="str">
            <v>EAST CARROLL, LA</v>
          </cell>
        </row>
        <row r="1125">
          <cell r="A1125">
            <v>22037</v>
          </cell>
          <cell r="B1125" t="str">
            <v>EAST FELICIANA, LA</v>
          </cell>
        </row>
        <row r="1126">
          <cell r="A1126">
            <v>22039</v>
          </cell>
          <cell r="B1126" t="str">
            <v>EVANGELINE, LA</v>
          </cell>
        </row>
        <row r="1127">
          <cell r="A1127">
            <v>22041</v>
          </cell>
          <cell r="B1127" t="str">
            <v>FRANKLIN, LA</v>
          </cell>
        </row>
        <row r="1128">
          <cell r="A1128">
            <v>22043</v>
          </cell>
          <cell r="B1128" t="str">
            <v>GRANT, LA</v>
          </cell>
        </row>
        <row r="1129">
          <cell r="A1129">
            <v>22045</v>
          </cell>
          <cell r="B1129" t="str">
            <v>IBERIA, LA</v>
          </cell>
        </row>
        <row r="1130">
          <cell r="A1130">
            <v>22047</v>
          </cell>
          <cell r="B1130" t="str">
            <v>IBERVILLE, LA</v>
          </cell>
        </row>
        <row r="1131">
          <cell r="A1131">
            <v>22049</v>
          </cell>
          <cell r="B1131" t="str">
            <v>JACKSON, LA</v>
          </cell>
        </row>
        <row r="1132">
          <cell r="A1132">
            <v>22051</v>
          </cell>
          <cell r="B1132" t="str">
            <v>JEFFERSON, LA</v>
          </cell>
        </row>
        <row r="1133">
          <cell r="A1133">
            <v>22053</v>
          </cell>
          <cell r="B1133" t="str">
            <v>JEFFERSON DAVIS, LA</v>
          </cell>
        </row>
        <row r="1134">
          <cell r="A1134">
            <v>22055</v>
          </cell>
          <cell r="B1134" t="str">
            <v>LAFAYETTE, LA</v>
          </cell>
        </row>
        <row r="1135">
          <cell r="A1135">
            <v>22057</v>
          </cell>
          <cell r="B1135" t="str">
            <v>LAFOURCHE, LA</v>
          </cell>
        </row>
        <row r="1136">
          <cell r="A1136">
            <v>22059</v>
          </cell>
          <cell r="B1136" t="str">
            <v>LA SALLE, LA</v>
          </cell>
        </row>
        <row r="1137">
          <cell r="A1137">
            <v>22061</v>
          </cell>
          <cell r="B1137" t="str">
            <v>LINCOLN, LA</v>
          </cell>
        </row>
        <row r="1138">
          <cell r="A1138">
            <v>22063</v>
          </cell>
          <cell r="B1138" t="str">
            <v>LIVINGSTON, LA</v>
          </cell>
        </row>
        <row r="1139">
          <cell r="A1139">
            <v>22065</v>
          </cell>
          <cell r="B1139" t="str">
            <v>MADISON, LA</v>
          </cell>
        </row>
        <row r="1140">
          <cell r="A1140">
            <v>22067</v>
          </cell>
          <cell r="B1140" t="str">
            <v>MOREHOUSE, LA</v>
          </cell>
        </row>
        <row r="1141">
          <cell r="A1141">
            <v>22069</v>
          </cell>
          <cell r="B1141" t="str">
            <v>NATCHITOCHES, LA</v>
          </cell>
        </row>
        <row r="1142">
          <cell r="A1142">
            <v>22071</v>
          </cell>
          <cell r="B1142" t="str">
            <v>ORLEANS, LA</v>
          </cell>
        </row>
        <row r="1143">
          <cell r="A1143">
            <v>22073</v>
          </cell>
          <cell r="B1143" t="str">
            <v>OUACHITA, LA</v>
          </cell>
        </row>
        <row r="1144">
          <cell r="A1144">
            <v>22075</v>
          </cell>
          <cell r="B1144" t="str">
            <v>PLAQUEMINES, LA</v>
          </cell>
        </row>
        <row r="1145">
          <cell r="A1145">
            <v>22077</v>
          </cell>
          <cell r="B1145" t="str">
            <v>POINTE COUPEE, LA</v>
          </cell>
        </row>
        <row r="1146">
          <cell r="A1146">
            <v>22079</v>
          </cell>
          <cell r="B1146" t="str">
            <v>RAPIDES, LA</v>
          </cell>
        </row>
        <row r="1147">
          <cell r="A1147">
            <v>22081</v>
          </cell>
          <cell r="B1147" t="str">
            <v>RED RIVER, LA</v>
          </cell>
        </row>
        <row r="1148">
          <cell r="A1148">
            <v>22083</v>
          </cell>
          <cell r="B1148" t="str">
            <v>RICHLAND, LA</v>
          </cell>
        </row>
        <row r="1149">
          <cell r="A1149">
            <v>22085</v>
          </cell>
          <cell r="B1149" t="str">
            <v>SABINE, LA</v>
          </cell>
        </row>
        <row r="1150">
          <cell r="A1150">
            <v>22087</v>
          </cell>
          <cell r="B1150" t="str">
            <v>ST BERNARD, LA</v>
          </cell>
        </row>
        <row r="1151">
          <cell r="A1151">
            <v>22089</v>
          </cell>
          <cell r="B1151" t="str">
            <v>ST CHARLES, LA</v>
          </cell>
        </row>
        <row r="1152">
          <cell r="A1152">
            <v>22091</v>
          </cell>
          <cell r="B1152" t="str">
            <v>ST HELENA, LA</v>
          </cell>
        </row>
        <row r="1153">
          <cell r="A1153">
            <v>22093</v>
          </cell>
          <cell r="B1153" t="str">
            <v>ST JAMES, LA</v>
          </cell>
        </row>
        <row r="1154">
          <cell r="A1154">
            <v>22095</v>
          </cell>
          <cell r="B1154" t="str">
            <v>ST JOHN THE BAPTIST, LA</v>
          </cell>
        </row>
        <row r="1155">
          <cell r="A1155">
            <v>22097</v>
          </cell>
          <cell r="B1155" t="str">
            <v>ST LANDRY, LA</v>
          </cell>
        </row>
        <row r="1156">
          <cell r="A1156">
            <v>22099</v>
          </cell>
          <cell r="B1156" t="str">
            <v>ST MARTIN, LA</v>
          </cell>
        </row>
        <row r="1157">
          <cell r="A1157">
            <v>22101</v>
          </cell>
          <cell r="B1157" t="str">
            <v>ST MARY, LA</v>
          </cell>
        </row>
        <row r="1158">
          <cell r="A1158">
            <v>22103</v>
          </cell>
          <cell r="B1158" t="str">
            <v>ST TAMMANY, LA</v>
          </cell>
        </row>
        <row r="1159">
          <cell r="A1159">
            <v>22105</v>
          </cell>
          <cell r="B1159" t="str">
            <v>TANGIPAHOA, LA</v>
          </cell>
        </row>
        <row r="1160">
          <cell r="A1160">
            <v>22107</v>
          </cell>
          <cell r="B1160" t="str">
            <v>TENSAS, LA</v>
          </cell>
        </row>
        <row r="1161">
          <cell r="A1161">
            <v>22109</v>
          </cell>
          <cell r="B1161" t="str">
            <v>TERREBONNE, LA</v>
          </cell>
        </row>
        <row r="1162">
          <cell r="A1162">
            <v>22111</v>
          </cell>
          <cell r="B1162" t="str">
            <v>UNION, LA</v>
          </cell>
        </row>
        <row r="1163">
          <cell r="A1163">
            <v>22113</v>
          </cell>
          <cell r="B1163" t="str">
            <v>VERMILION, LA</v>
          </cell>
        </row>
        <row r="1164">
          <cell r="A1164">
            <v>22115</v>
          </cell>
          <cell r="B1164" t="str">
            <v>VERNON, LA</v>
          </cell>
        </row>
        <row r="1165">
          <cell r="A1165">
            <v>22117</v>
          </cell>
          <cell r="B1165" t="str">
            <v>WASHINGTON, LA</v>
          </cell>
        </row>
        <row r="1166">
          <cell r="A1166">
            <v>22119</v>
          </cell>
          <cell r="B1166" t="str">
            <v>WEBSTER, LA</v>
          </cell>
        </row>
        <row r="1167">
          <cell r="A1167">
            <v>22121</v>
          </cell>
          <cell r="B1167" t="str">
            <v>WEST BATON ROUGE, LA</v>
          </cell>
        </row>
        <row r="1168">
          <cell r="A1168">
            <v>22123</v>
          </cell>
          <cell r="B1168" t="str">
            <v>WEST CARROLL, LA</v>
          </cell>
        </row>
        <row r="1169">
          <cell r="A1169">
            <v>22125</v>
          </cell>
          <cell r="B1169" t="str">
            <v>WEST FELICIANA, LA</v>
          </cell>
        </row>
        <row r="1170">
          <cell r="A1170">
            <v>22127</v>
          </cell>
          <cell r="B1170" t="str">
            <v>WINN, LA</v>
          </cell>
        </row>
        <row r="1171">
          <cell r="A1171">
            <v>23001</v>
          </cell>
          <cell r="B1171" t="str">
            <v>ANDROSCOGGIN, ME</v>
          </cell>
        </row>
        <row r="1172">
          <cell r="A1172">
            <v>23003</v>
          </cell>
          <cell r="B1172" t="str">
            <v>AROOSTOOK, ME</v>
          </cell>
        </row>
        <row r="1173">
          <cell r="A1173">
            <v>23005</v>
          </cell>
          <cell r="B1173" t="str">
            <v>CUMBERLAND, ME</v>
          </cell>
        </row>
        <row r="1174">
          <cell r="A1174">
            <v>23007</v>
          </cell>
          <cell r="B1174" t="str">
            <v>FRANKLIN, ME</v>
          </cell>
        </row>
        <row r="1175">
          <cell r="A1175">
            <v>23009</v>
          </cell>
          <cell r="B1175" t="str">
            <v>HANCOCK, ME</v>
          </cell>
        </row>
        <row r="1176">
          <cell r="A1176">
            <v>23011</v>
          </cell>
          <cell r="B1176" t="str">
            <v>KENNEBEC, ME</v>
          </cell>
        </row>
        <row r="1177">
          <cell r="A1177">
            <v>23013</v>
          </cell>
          <cell r="B1177" t="str">
            <v>KNOX, ME</v>
          </cell>
        </row>
        <row r="1178">
          <cell r="A1178">
            <v>23015</v>
          </cell>
          <cell r="B1178" t="str">
            <v>LINCOLN, ME</v>
          </cell>
        </row>
        <row r="1179">
          <cell r="A1179">
            <v>23017</v>
          </cell>
          <cell r="B1179" t="str">
            <v>OXFORD, ME</v>
          </cell>
        </row>
        <row r="1180">
          <cell r="A1180">
            <v>23019</v>
          </cell>
          <cell r="B1180" t="str">
            <v>PENOBSCOT, ME</v>
          </cell>
        </row>
        <row r="1181">
          <cell r="A1181">
            <v>23021</v>
          </cell>
          <cell r="B1181" t="str">
            <v>PISCATAQUIS, ME</v>
          </cell>
        </row>
        <row r="1182">
          <cell r="A1182">
            <v>23023</v>
          </cell>
          <cell r="B1182" t="str">
            <v>SAGADAHOC, ME</v>
          </cell>
        </row>
        <row r="1183">
          <cell r="A1183">
            <v>23025</v>
          </cell>
          <cell r="B1183" t="str">
            <v>SOMERSET, ME</v>
          </cell>
        </row>
        <row r="1184">
          <cell r="A1184">
            <v>23027</v>
          </cell>
          <cell r="B1184" t="str">
            <v>WALDO, ME</v>
          </cell>
        </row>
        <row r="1185">
          <cell r="A1185">
            <v>23029</v>
          </cell>
          <cell r="B1185" t="str">
            <v>WASHINGTON, ME</v>
          </cell>
        </row>
        <row r="1186">
          <cell r="A1186">
            <v>23031</v>
          </cell>
          <cell r="B1186" t="str">
            <v>YORK, ME</v>
          </cell>
        </row>
        <row r="1187">
          <cell r="A1187">
            <v>24001</v>
          </cell>
          <cell r="B1187" t="str">
            <v>ALLEGANY, MD</v>
          </cell>
        </row>
        <row r="1188">
          <cell r="A1188">
            <v>24003</v>
          </cell>
          <cell r="B1188" t="str">
            <v>ANNE ARUNDEL, MD</v>
          </cell>
        </row>
        <row r="1189">
          <cell r="A1189">
            <v>24005</v>
          </cell>
          <cell r="B1189" t="str">
            <v>BALTIMORE, MD</v>
          </cell>
        </row>
        <row r="1190">
          <cell r="A1190">
            <v>24009</v>
          </cell>
          <cell r="B1190" t="str">
            <v>CALVERT, MD</v>
          </cell>
        </row>
        <row r="1191">
          <cell r="A1191">
            <v>24011</v>
          </cell>
          <cell r="B1191" t="str">
            <v>CAROLINE, MD</v>
          </cell>
        </row>
        <row r="1192">
          <cell r="A1192">
            <v>24013</v>
          </cell>
          <cell r="B1192" t="str">
            <v>CARROLL, MD</v>
          </cell>
        </row>
        <row r="1193">
          <cell r="A1193">
            <v>24015</v>
          </cell>
          <cell r="B1193" t="str">
            <v>CECIL, MD</v>
          </cell>
        </row>
        <row r="1194">
          <cell r="A1194">
            <v>24017</v>
          </cell>
          <cell r="B1194" t="str">
            <v>CHARLES, MD</v>
          </cell>
        </row>
        <row r="1195">
          <cell r="A1195">
            <v>24019</v>
          </cell>
          <cell r="B1195" t="str">
            <v>DORCHESTER, MD</v>
          </cell>
        </row>
        <row r="1196">
          <cell r="A1196">
            <v>24021</v>
          </cell>
          <cell r="B1196" t="str">
            <v>FREDERICK, MD</v>
          </cell>
        </row>
        <row r="1197">
          <cell r="A1197">
            <v>24023</v>
          </cell>
          <cell r="B1197" t="str">
            <v>GARRETT, MD</v>
          </cell>
        </row>
        <row r="1198">
          <cell r="A1198">
            <v>24025</v>
          </cell>
          <cell r="B1198" t="str">
            <v>HARFORD, MD</v>
          </cell>
        </row>
        <row r="1199">
          <cell r="A1199">
            <v>24027</v>
          </cell>
          <cell r="B1199" t="str">
            <v>HOWARD, MD</v>
          </cell>
        </row>
        <row r="1200">
          <cell r="A1200">
            <v>24029</v>
          </cell>
          <cell r="B1200" t="str">
            <v>KENT, MD</v>
          </cell>
        </row>
        <row r="1201">
          <cell r="A1201">
            <v>24031</v>
          </cell>
          <cell r="B1201" t="str">
            <v>MONTGOMERY, MD</v>
          </cell>
        </row>
        <row r="1202">
          <cell r="A1202">
            <v>24033</v>
          </cell>
          <cell r="B1202" t="str">
            <v>PRINCE GEORGES, MD</v>
          </cell>
        </row>
        <row r="1203">
          <cell r="A1203">
            <v>24035</v>
          </cell>
          <cell r="B1203" t="str">
            <v>QUEEN ANNES, MD</v>
          </cell>
        </row>
        <row r="1204">
          <cell r="A1204">
            <v>24037</v>
          </cell>
          <cell r="B1204" t="str">
            <v>ST MARYS, MD</v>
          </cell>
        </row>
        <row r="1205">
          <cell r="A1205">
            <v>24039</v>
          </cell>
          <cell r="B1205" t="str">
            <v>SOMERSET, MD</v>
          </cell>
        </row>
        <row r="1206">
          <cell r="A1206">
            <v>24041</v>
          </cell>
          <cell r="B1206" t="str">
            <v>TALBOT, MD</v>
          </cell>
        </row>
        <row r="1207">
          <cell r="A1207">
            <v>24043</v>
          </cell>
          <cell r="B1207" t="str">
            <v>WASHINGTON, MD</v>
          </cell>
        </row>
        <row r="1208">
          <cell r="A1208">
            <v>24045</v>
          </cell>
          <cell r="B1208" t="str">
            <v>WICOMICO, MD</v>
          </cell>
        </row>
        <row r="1209">
          <cell r="A1209">
            <v>24047</v>
          </cell>
          <cell r="B1209" t="str">
            <v>WORCESTER, MD</v>
          </cell>
        </row>
        <row r="1210">
          <cell r="A1210">
            <v>24510</v>
          </cell>
          <cell r="B1210" t="str">
            <v>BALTIMORE CITY, MD</v>
          </cell>
        </row>
        <row r="1211">
          <cell r="A1211">
            <v>25001</v>
          </cell>
          <cell r="B1211" t="str">
            <v>BARNSTABLE, MA</v>
          </cell>
        </row>
        <row r="1212">
          <cell r="A1212">
            <v>25003</v>
          </cell>
          <cell r="B1212" t="str">
            <v>BERKSHIRE, MA</v>
          </cell>
        </row>
        <row r="1213">
          <cell r="A1213">
            <v>25005</v>
          </cell>
          <cell r="B1213" t="str">
            <v>BRISTOL, MA</v>
          </cell>
        </row>
        <row r="1214">
          <cell r="A1214">
            <v>25007</v>
          </cell>
          <cell r="B1214" t="str">
            <v>DUKES, MA</v>
          </cell>
        </row>
        <row r="1215">
          <cell r="A1215">
            <v>25009</v>
          </cell>
          <cell r="B1215" t="str">
            <v>ESSEX, MA</v>
          </cell>
        </row>
        <row r="1216">
          <cell r="A1216">
            <v>25011</v>
          </cell>
          <cell r="B1216" t="str">
            <v>FRANKLIN, MA</v>
          </cell>
        </row>
        <row r="1217">
          <cell r="A1217">
            <v>25013</v>
          </cell>
          <cell r="B1217" t="str">
            <v>HAMPDEN, MA</v>
          </cell>
        </row>
        <row r="1218">
          <cell r="A1218">
            <v>25015</v>
          </cell>
          <cell r="B1218" t="str">
            <v>HAMPSHIRE, MA</v>
          </cell>
        </row>
        <row r="1219">
          <cell r="A1219">
            <v>25017</v>
          </cell>
          <cell r="B1219" t="str">
            <v>MIDDLESEX, MA</v>
          </cell>
        </row>
        <row r="1220">
          <cell r="A1220">
            <v>25019</v>
          </cell>
          <cell r="B1220" t="str">
            <v>NANTUCKET, MA</v>
          </cell>
        </row>
        <row r="1221">
          <cell r="A1221">
            <v>25021</v>
          </cell>
          <cell r="B1221" t="str">
            <v>NORFOLK, MA</v>
          </cell>
        </row>
        <row r="1222">
          <cell r="A1222">
            <v>25023</v>
          </cell>
          <cell r="B1222" t="str">
            <v>PLYMOUTH, MA</v>
          </cell>
        </row>
        <row r="1223">
          <cell r="A1223">
            <v>25025</v>
          </cell>
          <cell r="B1223" t="str">
            <v>SUFFOLK, MA</v>
          </cell>
        </row>
        <row r="1224">
          <cell r="A1224">
            <v>25027</v>
          </cell>
          <cell r="B1224" t="str">
            <v>WORCESTER, MA</v>
          </cell>
        </row>
        <row r="1225">
          <cell r="A1225">
            <v>26001</v>
          </cell>
          <cell r="B1225" t="str">
            <v>ALCONA, MI</v>
          </cell>
        </row>
        <row r="1226">
          <cell r="A1226">
            <v>26003</v>
          </cell>
          <cell r="B1226" t="str">
            <v>ALGER, MI</v>
          </cell>
        </row>
        <row r="1227">
          <cell r="A1227">
            <v>26005</v>
          </cell>
          <cell r="B1227" t="str">
            <v>ALLEGAN, MI</v>
          </cell>
        </row>
        <row r="1228">
          <cell r="A1228">
            <v>26007</v>
          </cell>
          <cell r="B1228" t="str">
            <v>ALPENA, MI</v>
          </cell>
        </row>
        <row r="1229">
          <cell r="A1229">
            <v>26009</v>
          </cell>
          <cell r="B1229" t="str">
            <v>ANTRIM, MI</v>
          </cell>
        </row>
        <row r="1230">
          <cell r="A1230">
            <v>26011</v>
          </cell>
          <cell r="B1230" t="str">
            <v>ARENAC, MI</v>
          </cell>
        </row>
        <row r="1231">
          <cell r="A1231">
            <v>26013</v>
          </cell>
          <cell r="B1231" t="str">
            <v>BARAGA, MI</v>
          </cell>
        </row>
        <row r="1232">
          <cell r="A1232">
            <v>26015</v>
          </cell>
          <cell r="B1232" t="str">
            <v>BARRY, MI</v>
          </cell>
        </row>
        <row r="1233">
          <cell r="A1233">
            <v>26017</v>
          </cell>
          <cell r="B1233" t="str">
            <v>BAY, MI</v>
          </cell>
        </row>
        <row r="1234">
          <cell r="A1234">
            <v>26019</v>
          </cell>
          <cell r="B1234" t="str">
            <v>BENZIE, MI</v>
          </cell>
        </row>
        <row r="1235">
          <cell r="A1235">
            <v>26021</v>
          </cell>
          <cell r="B1235" t="str">
            <v>BERRIEN, MI</v>
          </cell>
        </row>
        <row r="1236">
          <cell r="A1236">
            <v>26023</v>
          </cell>
          <cell r="B1236" t="str">
            <v>BRANCH, MI</v>
          </cell>
        </row>
        <row r="1237">
          <cell r="A1237">
            <v>26025</v>
          </cell>
          <cell r="B1237" t="str">
            <v>CALHOUN, MI</v>
          </cell>
        </row>
        <row r="1238">
          <cell r="A1238">
            <v>26027</v>
          </cell>
          <cell r="B1238" t="str">
            <v>CASS, MI</v>
          </cell>
        </row>
        <row r="1239">
          <cell r="A1239">
            <v>26029</v>
          </cell>
          <cell r="B1239" t="str">
            <v>CHARLEVOIX, MI</v>
          </cell>
        </row>
        <row r="1240">
          <cell r="A1240">
            <v>26031</v>
          </cell>
          <cell r="B1240" t="str">
            <v>CHEBOYGAN, MI</v>
          </cell>
        </row>
        <row r="1241">
          <cell r="A1241">
            <v>26033</v>
          </cell>
          <cell r="B1241" t="str">
            <v>CHIPPEWA, MI</v>
          </cell>
        </row>
        <row r="1242">
          <cell r="A1242">
            <v>26035</v>
          </cell>
          <cell r="B1242" t="str">
            <v>CLARE, MI</v>
          </cell>
        </row>
        <row r="1243">
          <cell r="A1243">
            <v>26037</v>
          </cell>
          <cell r="B1243" t="str">
            <v>CLINTON, MI</v>
          </cell>
        </row>
        <row r="1244">
          <cell r="A1244">
            <v>26039</v>
          </cell>
          <cell r="B1244" t="str">
            <v>CRAWFORD, MI</v>
          </cell>
        </row>
        <row r="1245">
          <cell r="A1245">
            <v>26041</v>
          </cell>
          <cell r="B1245" t="str">
            <v>DELTA, MI</v>
          </cell>
        </row>
        <row r="1246">
          <cell r="A1246">
            <v>26043</v>
          </cell>
          <cell r="B1246" t="str">
            <v>DICKINSON, MI</v>
          </cell>
        </row>
        <row r="1247">
          <cell r="A1247">
            <v>26045</v>
          </cell>
          <cell r="B1247" t="str">
            <v>EATON, MI</v>
          </cell>
        </row>
        <row r="1248">
          <cell r="A1248">
            <v>26047</v>
          </cell>
          <cell r="B1248" t="str">
            <v>EMMET, MI</v>
          </cell>
        </row>
        <row r="1249">
          <cell r="A1249">
            <v>26049</v>
          </cell>
          <cell r="B1249" t="str">
            <v>GENESEE, MI</v>
          </cell>
        </row>
        <row r="1250">
          <cell r="A1250">
            <v>26051</v>
          </cell>
          <cell r="B1250" t="str">
            <v>GLADWIN, MI</v>
          </cell>
        </row>
        <row r="1251">
          <cell r="A1251">
            <v>26053</v>
          </cell>
          <cell r="B1251" t="str">
            <v>GOGEBIC, MI</v>
          </cell>
        </row>
        <row r="1252">
          <cell r="A1252">
            <v>26055</v>
          </cell>
          <cell r="B1252" t="str">
            <v>GRAND TRAVERSE, MI</v>
          </cell>
        </row>
        <row r="1253">
          <cell r="A1253">
            <v>26057</v>
          </cell>
          <cell r="B1253" t="str">
            <v>GRATIOT, MI</v>
          </cell>
        </row>
        <row r="1254">
          <cell r="A1254">
            <v>26059</v>
          </cell>
          <cell r="B1254" t="str">
            <v>HILLSDALE, MI</v>
          </cell>
        </row>
        <row r="1255">
          <cell r="A1255">
            <v>26061</v>
          </cell>
          <cell r="B1255" t="str">
            <v>HOUGHTON, MI</v>
          </cell>
        </row>
        <row r="1256">
          <cell r="A1256">
            <v>26063</v>
          </cell>
          <cell r="B1256" t="str">
            <v>HURON, MI</v>
          </cell>
        </row>
        <row r="1257">
          <cell r="A1257">
            <v>26065</v>
          </cell>
          <cell r="B1257" t="str">
            <v>INGHAM, MI</v>
          </cell>
        </row>
        <row r="1258">
          <cell r="A1258">
            <v>26067</v>
          </cell>
          <cell r="B1258" t="str">
            <v>IONIA, MI</v>
          </cell>
        </row>
        <row r="1259">
          <cell r="A1259">
            <v>26069</v>
          </cell>
          <cell r="B1259" t="str">
            <v>IOSCO, MI</v>
          </cell>
        </row>
        <row r="1260">
          <cell r="A1260">
            <v>26071</v>
          </cell>
          <cell r="B1260" t="str">
            <v>IRON, MI</v>
          </cell>
        </row>
        <row r="1261">
          <cell r="A1261">
            <v>26073</v>
          </cell>
          <cell r="B1261" t="str">
            <v>ISABELLA, MI</v>
          </cell>
        </row>
        <row r="1262">
          <cell r="A1262">
            <v>26075</v>
          </cell>
          <cell r="B1262" t="str">
            <v>JACKSON, MI</v>
          </cell>
        </row>
        <row r="1263">
          <cell r="A1263">
            <v>26077</v>
          </cell>
          <cell r="B1263" t="str">
            <v>KALAMAZOO, MI</v>
          </cell>
        </row>
        <row r="1264">
          <cell r="A1264">
            <v>26079</v>
          </cell>
          <cell r="B1264" t="str">
            <v>KALKASKA, MI</v>
          </cell>
        </row>
        <row r="1265">
          <cell r="A1265">
            <v>26081</v>
          </cell>
          <cell r="B1265" t="str">
            <v>KENT, MI</v>
          </cell>
        </row>
        <row r="1266">
          <cell r="A1266">
            <v>26083</v>
          </cell>
          <cell r="B1266" t="str">
            <v>KEWEENAW, MI</v>
          </cell>
        </row>
        <row r="1267">
          <cell r="A1267">
            <v>26085</v>
          </cell>
          <cell r="B1267" t="str">
            <v>LAKE, MI</v>
          </cell>
        </row>
        <row r="1268">
          <cell r="A1268">
            <v>26087</v>
          </cell>
          <cell r="B1268" t="str">
            <v>LAPEER, MI</v>
          </cell>
        </row>
        <row r="1269">
          <cell r="A1269">
            <v>26089</v>
          </cell>
          <cell r="B1269" t="str">
            <v>LEELANAU, MI</v>
          </cell>
        </row>
        <row r="1270">
          <cell r="A1270">
            <v>26091</v>
          </cell>
          <cell r="B1270" t="str">
            <v>LENAWEE, MI</v>
          </cell>
        </row>
        <row r="1271">
          <cell r="A1271">
            <v>26093</v>
          </cell>
          <cell r="B1271" t="str">
            <v>LIVINGSTON, MI</v>
          </cell>
        </row>
        <row r="1272">
          <cell r="A1272">
            <v>26095</v>
          </cell>
          <cell r="B1272" t="str">
            <v>LUCE, MI</v>
          </cell>
        </row>
        <row r="1273">
          <cell r="A1273">
            <v>26097</v>
          </cell>
          <cell r="B1273" t="str">
            <v>MACKINAC, MI</v>
          </cell>
        </row>
        <row r="1274">
          <cell r="A1274">
            <v>26099</v>
          </cell>
          <cell r="B1274" t="str">
            <v>MACOMB, MI</v>
          </cell>
        </row>
        <row r="1275">
          <cell r="A1275">
            <v>26101</v>
          </cell>
          <cell r="B1275" t="str">
            <v>MANISTEE, MI</v>
          </cell>
        </row>
        <row r="1276">
          <cell r="A1276">
            <v>26103</v>
          </cell>
          <cell r="B1276" t="str">
            <v>MARQUETTE, MI</v>
          </cell>
        </row>
        <row r="1277">
          <cell r="A1277">
            <v>26105</v>
          </cell>
          <cell r="B1277" t="str">
            <v>MASON, MI</v>
          </cell>
        </row>
        <row r="1278">
          <cell r="A1278">
            <v>26107</v>
          </cell>
          <cell r="B1278" t="str">
            <v>MECOSTA, MI</v>
          </cell>
        </row>
        <row r="1279">
          <cell r="A1279">
            <v>26109</v>
          </cell>
          <cell r="B1279" t="str">
            <v>MENOMINEE, MI</v>
          </cell>
        </row>
        <row r="1280">
          <cell r="A1280">
            <v>26111</v>
          </cell>
          <cell r="B1280" t="str">
            <v>MIDLAND, MI</v>
          </cell>
        </row>
        <row r="1281">
          <cell r="A1281">
            <v>26113</v>
          </cell>
          <cell r="B1281" t="str">
            <v>MISSAUKEE, MI</v>
          </cell>
        </row>
        <row r="1282">
          <cell r="A1282">
            <v>26115</v>
          </cell>
          <cell r="B1282" t="str">
            <v>MONROE, MI</v>
          </cell>
        </row>
        <row r="1283">
          <cell r="A1283">
            <v>26117</v>
          </cell>
          <cell r="B1283" t="str">
            <v>MONTCALM, MI</v>
          </cell>
        </row>
        <row r="1284">
          <cell r="A1284">
            <v>26119</v>
          </cell>
          <cell r="B1284" t="str">
            <v>MONTMORENCY, MI</v>
          </cell>
        </row>
        <row r="1285">
          <cell r="A1285">
            <v>26121</v>
          </cell>
          <cell r="B1285" t="str">
            <v>MUSKEGON, MI</v>
          </cell>
        </row>
        <row r="1286">
          <cell r="A1286">
            <v>26123</v>
          </cell>
          <cell r="B1286" t="str">
            <v>NEWAYGO, MI</v>
          </cell>
        </row>
        <row r="1287">
          <cell r="A1287">
            <v>26125</v>
          </cell>
          <cell r="B1287" t="str">
            <v>OAKLAND, MI</v>
          </cell>
        </row>
        <row r="1288">
          <cell r="A1288">
            <v>26127</v>
          </cell>
          <cell r="B1288" t="str">
            <v>OCEANA, MI</v>
          </cell>
        </row>
        <row r="1289">
          <cell r="A1289">
            <v>26129</v>
          </cell>
          <cell r="B1289" t="str">
            <v>OGEMAW, MI</v>
          </cell>
        </row>
        <row r="1290">
          <cell r="A1290">
            <v>26131</v>
          </cell>
          <cell r="B1290" t="str">
            <v>ONTONAGON, MI</v>
          </cell>
        </row>
        <row r="1291">
          <cell r="A1291">
            <v>26133</v>
          </cell>
          <cell r="B1291" t="str">
            <v>OSCEOLA, MI</v>
          </cell>
        </row>
        <row r="1292">
          <cell r="A1292">
            <v>26135</v>
          </cell>
          <cell r="B1292" t="str">
            <v>OSCODA, MI</v>
          </cell>
        </row>
        <row r="1293">
          <cell r="A1293">
            <v>26137</v>
          </cell>
          <cell r="B1293" t="str">
            <v>OTSEGO, MI</v>
          </cell>
        </row>
        <row r="1294">
          <cell r="A1294">
            <v>26139</v>
          </cell>
          <cell r="B1294" t="str">
            <v>OTTAWA, MI</v>
          </cell>
        </row>
        <row r="1295">
          <cell r="A1295">
            <v>26141</v>
          </cell>
          <cell r="B1295" t="str">
            <v>PRESQUE ISLE, MI</v>
          </cell>
        </row>
        <row r="1296">
          <cell r="A1296">
            <v>26143</v>
          </cell>
          <cell r="B1296" t="str">
            <v>ROSCOMMON, MI</v>
          </cell>
        </row>
        <row r="1297">
          <cell r="A1297">
            <v>26145</v>
          </cell>
          <cell r="B1297" t="str">
            <v>SAGINAW, MI</v>
          </cell>
        </row>
        <row r="1298">
          <cell r="A1298">
            <v>26147</v>
          </cell>
          <cell r="B1298" t="str">
            <v>ST CLAIR, MI</v>
          </cell>
        </row>
        <row r="1299">
          <cell r="A1299">
            <v>26149</v>
          </cell>
          <cell r="B1299" t="str">
            <v>ST JOSEPH, MI</v>
          </cell>
        </row>
        <row r="1300">
          <cell r="A1300">
            <v>26151</v>
          </cell>
          <cell r="B1300" t="str">
            <v>SANILAC, MI</v>
          </cell>
        </row>
        <row r="1301">
          <cell r="A1301">
            <v>26153</v>
          </cell>
          <cell r="B1301" t="str">
            <v>SCHOOLCRAFT, MI</v>
          </cell>
        </row>
        <row r="1302">
          <cell r="A1302">
            <v>26155</v>
          </cell>
          <cell r="B1302" t="str">
            <v>SHIAWASSEE, MI</v>
          </cell>
        </row>
        <row r="1303">
          <cell r="A1303">
            <v>26157</v>
          </cell>
          <cell r="B1303" t="str">
            <v>TUSCOLA, MI</v>
          </cell>
        </row>
        <row r="1304">
          <cell r="A1304">
            <v>26159</v>
          </cell>
          <cell r="B1304" t="str">
            <v>VAN BUREN, MI</v>
          </cell>
        </row>
        <row r="1305">
          <cell r="A1305">
            <v>26161</v>
          </cell>
          <cell r="B1305" t="str">
            <v>WASHTENAW, MI</v>
          </cell>
        </row>
        <row r="1306">
          <cell r="A1306">
            <v>26163</v>
          </cell>
          <cell r="B1306" t="str">
            <v>WAYNE, MI</v>
          </cell>
        </row>
        <row r="1307">
          <cell r="A1307">
            <v>26165</v>
          </cell>
          <cell r="B1307" t="str">
            <v>WEXFORD, MI</v>
          </cell>
        </row>
        <row r="1308">
          <cell r="A1308">
            <v>27001</v>
          </cell>
          <cell r="B1308" t="str">
            <v>AITKIN, MN</v>
          </cell>
        </row>
        <row r="1309">
          <cell r="A1309">
            <v>27003</v>
          </cell>
          <cell r="B1309" t="str">
            <v>ANOKA, MN</v>
          </cell>
        </row>
        <row r="1310">
          <cell r="A1310">
            <v>27005</v>
          </cell>
          <cell r="B1310" t="str">
            <v>BECKER, MN</v>
          </cell>
        </row>
        <row r="1311">
          <cell r="A1311">
            <v>27007</v>
          </cell>
          <cell r="B1311" t="str">
            <v>BELTRAMI, MN</v>
          </cell>
        </row>
        <row r="1312">
          <cell r="A1312">
            <v>27009</v>
          </cell>
          <cell r="B1312" t="str">
            <v>BENTON, MN</v>
          </cell>
        </row>
        <row r="1313">
          <cell r="A1313">
            <v>27011</v>
          </cell>
          <cell r="B1313" t="str">
            <v>BIG STONE, MN</v>
          </cell>
        </row>
        <row r="1314">
          <cell r="A1314">
            <v>27013</v>
          </cell>
          <cell r="B1314" t="str">
            <v>BLUE EARTH, MN</v>
          </cell>
        </row>
        <row r="1315">
          <cell r="A1315">
            <v>27015</v>
          </cell>
          <cell r="B1315" t="str">
            <v>BROWN, MN</v>
          </cell>
        </row>
        <row r="1316">
          <cell r="A1316">
            <v>27017</v>
          </cell>
          <cell r="B1316" t="str">
            <v>CARLTON, MN</v>
          </cell>
        </row>
        <row r="1317">
          <cell r="A1317">
            <v>27019</v>
          </cell>
          <cell r="B1317" t="str">
            <v>CARVER, MN</v>
          </cell>
        </row>
        <row r="1318">
          <cell r="A1318">
            <v>27021</v>
          </cell>
          <cell r="B1318" t="str">
            <v>CASS, MN</v>
          </cell>
        </row>
        <row r="1319">
          <cell r="A1319">
            <v>27023</v>
          </cell>
          <cell r="B1319" t="str">
            <v>CHIPPEWA, MN</v>
          </cell>
        </row>
        <row r="1320">
          <cell r="A1320">
            <v>27025</v>
          </cell>
          <cell r="B1320" t="str">
            <v>CHISAGO, MN</v>
          </cell>
        </row>
        <row r="1321">
          <cell r="A1321">
            <v>27027</v>
          </cell>
          <cell r="B1321" t="str">
            <v>CLAY, MN</v>
          </cell>
        </row>
        <row r="1322">
          <cell r="A1322">
            <v>27029</v>
          </cell>
          <cell r="B1322" t="str">
            <v>CLEARWATER, MN</v>
          </cell>
        </row>
        <row r="1323">
          <cell r="A1323">
            <v>27031</v>
          </cell>
          <cell r="B1323" t="str">
            <v>COOK, MN</v>
          </cell>
        </row>
        <row r="1324">
          <cell r="A1324">
            <v>27033</v>
          </cell>
          <cell r="B1324" t="str">
            <v>COTTONWOOD, MN</v>
          </cell>
        </row>
        <row r="1325">
          <cell r="A1325">
            <v>27035</v>
          </cell>
          <cell r="B1325" t="str">
            <v>CROW WING, MN</v>
          </cell>
        </row>
        <row r="1326">
          <cell r="A1326">
            <v>27037</v>
          </cell>
          <cell r="B1326" t="str">
            <v>DAKOTA, MN</v>
          </cell>
        </row>
        <row r="1327">
          <cell r="A1327">
            <v>27039</v>
          </cell>
          <cell r="B1327" t="str">
            <v>DODGE, MN</v>
          </cell>
        </row>
        <row r="1328">
          <cell r="A1328">
            <v>27041</v>
          </cell>
          <cell r="B1328" t="str">
            <v>DOUGLAS, MN</v>
          </cell>
        </row>
        <row r="1329">
          <cell r="A1329">
            <v>27043</v>
          </cell>
          <cell r="B1329" t="str">
            <v>FARIBAULT, MN</v>
          </cell>
        </row>
        <row r="1330">
          <cell r="A1330">
            <v>27045</v>
          </cell>
          <cell r="B1330" t="str">
            <v>FILLMORE, MN</v>
          </cell>
        </row>
        <row r="1331">
          <cell r="A1331">
            <v>27047</v>
          </cell>
          <cell r="B1331" t="str">
            <v>FREEBORN, MN</v>
          </cell>
        </row>
        <row r="1332">
          <cell r="A1332">
            <v>27049</v>
          </cell>
          <cell r="B1332" t="str">
            <v>GOODHUE, MN</v>
          </cell>
        </row>
        <row r="1333">
          <cell r="A1333">
            <v>27051</v>
          </cell>
          <cell r="B1333" t="str">
            <v>GRANT, MN</v>
          </cell>
        </row>
        <row r="1334">
          <cell r="A1334">
            <v>27053</v>
          </cell>
          <cell r="B1334" t="str">
            <v>HENNEPIN, MN</v>
          </cell>
        </row>
        <row r="1335">
          <cell r="A1335">
            <v>27055</v>
          </cell>
          <cell r="B1335" t="str">
            <v>HOUSTON, MN</v>
          </cell>
        </row>
        <row r="1336">
          <cell r="A1336">
            <v>27057</v>
          </cell>
          <cell r="B1336" t="str">
            <v>HUBBARD, MN</v>
          </cell>
        </row>
        <row r="1337">
          <cell r="A1337">
            <v>27059</v>
          </cell>
          <cell r="B1337" t="str">
            <v>ISANTI, MN</v>
          </cell>
        </row>
        <row r="1338">
          <cell r="A1338">
            <v>27061</v>
          </cell>
          <cell r="B1338" t="str">
            <v>ITASCA, MN</v>
          </cell>
        </row>
        <row r="1339">
          <cell r="A1339">
            <v>27063</v>
          </cell>
          <cell r="B1339" t="str">
            <v>JACKSON, MN</v>
          </cell>
        </row>
        <row r="1340">
          <cell r="A1340">
            <v>27065</v>
          </cell>
          <cell r="B1340" t="str">
            <v>KANABEC, MN</v>
          </cell>
        </row>
        <row r="1341">
          <cell r="A1341">
            <v>27067</v>
          </cell>
          <cell r="B1341" t="str">
            <v>KANDIYOHI, MN</v>
          </cell>
        </row>
        <row r="1342">
          <cell r="A1342">
            <v>27069</v>
          </cell>
          <cell r="B1342" t="str">
            <v>KITTSON, MN</v>
          </cell>
        </row>
        <row r="1343">
          <cell r="A1343">
            <v>27071</v>
          </cell>
          <cell r="B1343" t="str">
            <v>KOOCHICHING, MN</v>
          </cell>
        </row>
        <row r="1344">
          <cell r="A1344">
            <v>27073</v>
          </cell>
          <cell r="B1344" t="str">
            <v>LAC QUI PARLE, MN</v>
          </cell>
        </row>
        <row r="1345">
          <cell r="A1345">
            <v>27075</v>
          </cell>
          <cell r="B1345" t="str">
            <v>LAKE, MN</v>
          </cell>
        </row>
        <row r="1346">
          <cell r="A1346">
            <v>27077</v>
          </cell>
          <cell r="B1346" t="str">
            <v>LAKE OF THE WOODS, MN</v>
          </cell>
        </row>
        <row r="1347">
          <cell r="A1347">
            <v>27079</v>
          </cell>
          <cell r="B1347" t="str">
            <v>LE SUEUR, MN</v>
          </cell>
        </row>
        <row r="1348">
          <cell r="A1348">
            <v>27081</v>
          </cell>
          <cell r="B1348" t="str">
            <v>LINCOLN, MN</v>
          </cell>
        </row>
        <row r="1349">
          <cell r="A1349">
            <v>27083</v>
          </cell>
          <cell r="B1349" t="str">
            <v>LYON, MN</v>
          </cell>
        </row>
        <row r="1350">
          <cell r="A1350">
            <v>27085</v>
          </cell>
          <cell r="B1350" t="str">
            <v>MCLEOD, MN</v>
          </cell>
        </row>
        <row r="1351">
          <cell r="A1351">
            <v>27087</v>
          </cell>
          <cell r="B1351" t="str">
            <v>MAHNOMEN, MN</v>
          </cell>
        </row>
        <row r="1352">
          <cell r="A1352">
            <v>27089</v>
          </cell>
          <cell r="B1352" t="str">
            <v>MARSHALL, MN</v>
          </cell>
        </row>
        <row r="1353">
          <cell r="A1353">
            <v>27091</v>
          </cell>
          <cell r="B1353" t="str">
            <v>MARTIN, MN</v>
          </cell>
        </row>
        <row r="1354">
          <cell r="A1354">
            <v>27093</v>
          </cell>
          <cell r="B1354" t="str">
            <v>MEEKER, MN</v>
          </cell>
        </row>
        <row r="1355">
          <cell r="A1355">
            <v>27095</v>
          </cell>
          <cell r="B1355" t="str">
            <v>MILLE LACS, MN</v>
          </cell>
        </row>
        <row r="1356">
          <cell r="A1356">
            <v>27097</v>
          </cell>
          <cell r="B1356" t="str">
            <v>MORRISON, MN</v>
          </cell>
        </row>
        <row r="1357">
          <cell r="A1357">
            <v>27099</v>
          </cell>
          <cell r="B1357" t="str">
            <v>MOWER, MN</v>
          </cell>
        </row>
        <row r="1358">
          <cell r="A1358">
            <v>27101</v>
          </cell>
          <cell r="B1358" t="str">
            <v>MURRAY, MN</v>
          </cell>
        </row>
        <row r="1359">
          <cell r="A1359">
            <v>27103</v>
          </cell>
          <cell r="B1359" t="str">
            <v>NICOLLET, MN</v>
          </cell>
        </row>
        <row r="1360">
          <cell r="A1360">
            <v>27105</v>
          </cell>
          <cell r="B1360" t="str">
            <v>NOBLES, MN</v>
          </cell>
        </row>
        <row r="1361">
          <cell r="A1361">
            <v>27107</v>
          </cell>
          <cell r="B1361" t="str">
            <v>NORMAN, MN</v>
          </cell>
        </row>
        <row r="1362">
          <cell r="A1362">
            <v>27109</v>
          </cell>
          <cell r="B1362" t="str">
            <v>OLMSTED, MN</v>
          </cell>
        </row>
        <row r="1363">
          <cell r="A1363">
            <v>27111</v>
          </cell>
          <cell r="B1363" t="str">
            <v>OTTER TAIL, MN</v>
          </cell>
        </row>
        <row r="1364">
          <cell r="A1364">
            <v>27113</v>
          </cell>
          <cell r="B1364" t="str">
            <v>PENNINGTON, MN</v>
          </cell>
        </row>
        <row r="1365">
          <cell r="A1365">
            <v>27115</v>
          </cell>
          <cell r="B1365" t="str">
            <v>PINE, MN</v>
          </cell>
        </row>
        <row r="1366">
          <cell r="A1366">
            <v>27117</v>
          </cell>
          <cell r="B1366" t="str">
            <v>PIPESTONE, MN</v>
          </cell>
        </row>
        <row r="1367">
          <cell r="A1367">
            <v>27119</v>
          </cell>
          <cell r="B1367" t="str">
            <v>POLK, MN</v>
          </cell>
        </row>
        <row r="1368">
          <cell r="A1368">
            <v>27121</v>
          </cell>
          <cell r="B1368" t="str">
            <v>POPE, MN</v>
          </cell>
        </row>
        <row r="1369">
          <cell r="A1369">
            <v>27123</v>
          </cell>
          <cell r="B1369" t="str">
            <v>RAMSEY, MN</v>
          </cell>
        </row>
        <row r="1370">
          <cell r="A1370">
            <v>27125</v>
          </cell>
          <cell r="B1370" t="str">
            <v>RED LAKE, MN</v>
          </cell>
        </row>
        <row r="1371">
          <cell r="A1371">
            <v>27127</v>
          </cell>
          <cell r="B1371" t="str">
            <v>REDWOOD, MN</v>
          </cell>
        </row>
        <row r="1372">
          <cell r="A1372">
            <v>27129</v>
          </cell>
          <cell r="B1372" t="str">
            <v>RENVILLE, MN</v>
          </cell>
        </row>
        <row r="1373">
          <cell r="A1373">
            <v>27131</v>
          </cell>
          <cell r="B1373" t="str">
            <v>RICE, MN</v>
          </cell>
        </row>
        <row r="1374">
          <cell r="A1374">
            <v>27133</v>
          </cell>
          <cell r="B1374" t="str">
            <v>ROCK, MN</v>
          </cell>
        </row>
        <row r="1375">
          <cell r="A1375">
            <v>27135</v>
          </cell>
          <cell r="B1375" t="str">
            <v>ROSEAU, MN</v>
          </cell>
        </row>
        <row r="1376">
          <cell r="A1376">
            <v>27137</v>
          </cell>
          <cell r="B1376" t="str">
            <v>ST LOUIS, MN</v>
          </cell>
        </row>
        <row r="1377">
          <cell r="A1377">
            <v>27139</v>
          </cell>
          <cell r="B1377" t="str">
            <v>SCOTT, MN</v>
          </cell>
        </row>
        <row r="1378">
          <cell r="A1378">
            <v>27141</v>
          </cell>
          <cell r="B1378" t="str">
            <v>SHERBURNE, MN</v>
          </cell>
        </row>
        <row r="1379">
          <cell r="A1379">
            <v>27143</v>
          </cell>
          <cell r="B1379" t="str">
            <v>SIBLEY, MN</v>
          </cell>
        </row>
        <row r="1380">
          <cell r="A1380">
            <v>27145</v>
          </cell>
          <cell r="B1380" t="str">
            <v>STEARNS, MN</v>
          </cell>
        </row>
        <row r="1381">
          <cell r="A1381">
            <v>27147</v>
          </cell>
          <cell r="B1381" t="str">
            <v>STEELE, MN</v>
          </cell>
        </row>
        <row r="1382">
          <cell r="A1382">
            <v>27149</v>
          </cell>
          <cell r="B1382" t="str">
            <v>STEVENS, MN</v>
          </cell>
        </row>
        <row r="1383">
          <cell r="A1383">
            <v>27151</v>
          </cell>
          <cell r="B1383" t="str">
            <v>SWIFT, MN</v>
          </cell>
        </row>
        <row r="1384">
          <cell r="A1384">
            <v>27153</v>
          </cell>
          <cell r="B1384" t="str">
            <v>TODD, MN</v>
          </cell>
        </row>
        <row r="1385">
          <cell r="A1385">
            <v>27155</v>
          </cell>
          <cell r="B1385" t="str">
            <v>TRAVERSE, MN</v>
          </cell>
        </row>
        <row r="1386">
          <cell r="A1386">
            <v>27157</v>
          </cell>
          <cell r="B1386" t="str">
            <v>WABASHA, MN</v>
          </cell>
        </row>
        <row r="1387">
          <cell r="A1387">
            <v>27159</v>
          </cell>
          <cell r="B1387" t="str">
            <v>WADENA, MN</v>
          </cell>
        </row>
        <row r="1388">
          <cell r="A1388">
            <v>27161</v>
          </cell>
          <cell r="B1388" t="str">
            <v>WASECA, MN</v>
          </cell>
        </row>
        <row r="1389">
          <cell r="A1389">
            <v>27163</v>
          </cell>
          <cell r="B1389" t="str">
            <v>WASHINGTON, MN</v>
          </cell>
        </row>
        <row r="1390">
          <cell r="A1390">
            <v>27165</v>
          </cell>
          <cell r="B1390" t="str">
            <v>WATONWAN, MN</v>
          </cell>
        </row>
        <row r="1391">
          <cell r="A1391">
            <v>27167</v>
          </cell>
          <cell r="B1391" t="str">
            <v>WILKIN, MN</v>
          </cell>
        </row>
        <row r="1392">
          <cell r="A1392">
            <v>27169</v>
          </cell>
          <cell r="B1392" t="str">
            <v>WINONA, MN</v>
          </cell>
        </row>
        <row r="1393">
          <cell r="A1393">
            <v>27171</v>
          </cell>
          <cell r="B1393" t="str">
            <v>WRIGHT, MN</v>
          </cell>
        </row>
        <row r="1394">
          <cell r="A1394">
            <v>27173</v>
          </cell>
          <cell r="B1394" t="str">
            <v>YELLOW MEDICINE, MN</v>
          </cell>
        </row>
        <row r="1395">
          <cell r="A1395">
            <v>28001</v>
          </cell>
          <cell r="B1395" t="str">
            <v>ADAMS, MS</v>
          </cell>
        </row>
        <row r="1396">
          <cell r="A1396">
            <v>28003</v>
          </cell>
          <cell r="B1396" t="str">
            <v>ALCORN, MS</v>
          </cell>
        </row>
        <row r="1397">
          <cell r="A1397">
            <v>28005</v>
          </cell>
          <cell r="B1397" t="str">
            <v>AMITE, MS</v>
          </cell>
        </row>
        <row r="1398">
          <cell r="A1398">
            <v>28007</v>
          </cell>
          <cell r="B1398" t="str">
            <v>ATTALA, MS</v>
          </cell>
        </row>
        <row r="1399">
          <cell r="A1399">
            <v>28009</v>
          </cell>
          <cell r="B1399" t="str">
            <v>BENTON, MS</v>
          </cell>
        </row>
        <row r="1400">
          <cell r="A1400">
            <v>28011</v>
          </cell>
          <cell r="B1400" t="str">
            <v>BOLIVAR, MS</v>
          </cell>
        </row>
        <row r="1401">
          <cell r="A1401">
            <v>28013</v>
          </cell>
          <cell r="B1401" t="str">
            <v>CALHOUN, MS</v>
          </cell>
        </row>
        <row r="1402">
          <cell r="A1402">
            <v>28015</v>
          </cell>
          <cell r="B1402" t="str">
            <v>CARROLL, MS</v>
          </cell>
        </row>
        <row r="1403">
          <cell r="A1403">
            <v>28017</v>
          </cell>
          <cell r="B1403" t="str">
            <v>CHICKASAW, MS</v>
          </cell>
        </row>
        <row r="1404">
          <cell r="A1404">
            <v>28019</v>
          </cell>
          <cell r="B1404" t="str">
            <v>CHOCTAW, MS</v>
          </cell>
        </row>
        <row r="1405">
          <cell r="A1405">
            <v>28021</v>
          </cell>
          <cell r="B1405" t="str">
            <v>CLAIBORNE, MS</v>
          </cell>
        </row>
        <row r="1406">
          <cell r="A1406">
            <v>28023</v>
          </cell>
          <cell r="B1406" t="str">
            <v>CLARKE, MS</v>
          </cell>
        </row>
        <row r="1407">
          <cell r="A1407">
            <v>28025</v>
          </cell>
          <cell r="B1407" t="str">
            <v>CLAY, MS</v>
          </cell>
        </row>
        <row r="1408">
          <cell r="A1408">
            <v>28027</v>
          </cell>
          <cell r="B1408" t="str">
            <v>COAHOMA, MS</v>
          </cell>
        </row>
        <row r="1409">
          <cell r="A1409">
            <v>28029</v>
          </cell>
          <cell r="B1409" t="str">
            <v>COPIAH, MS</v>
          </cell>
        </row>
        <row r="1410">
          <cell r="A1410">
            <v>28031</v>
          </cell>
          <cell r="B1410" t="str">
            <v>COVINGTON, MS</v>
          </cell>
        </row>
        <row r="1411">
          <cell r="A1411">
            <v>28033</v>
          </cell>
          <cell r="B1411" t="str">
            <v>DE SOTO, MS</v>
          </cell>
        </row>
        <row r="1412">
          <cell r="A1412">
            <v>28035</v>
          </cell>
          <cell r="B1412" t="str">
            <v>FORREST, MS</v>
          </cell>
        </row>
        <row r="1413">
          <cell r="A1413">
            <v>28037</v>
          </cell>
          <cell r="B1413" t="str">
            <v>FRANKLIN, MS</v>
          </cell>
        </row>
        <row r="1414">
          <cell r="A1414">
            <v>28039</v>
          </cell>
          <cell r="B1414" t="str">
            <v>GEORGE, MS</v>
          </cell>
        </row>
        <row r="1415">
          <cell r="A1415">
            <v>28041</v>
          </cell>
          <cell r="B1415" t="str">
            <v>GREENE, MS</v>
          </cell>
        </row>
        <row r="1416">
          <cell r="A1416">
            <v>28043</v>
          </cell>
          <cell r="B1416" t="str">
            <v>GRENADA, MS</v>
          </cell>
        </row>
        <row r="1417">
          <cell r="A1417">
            <v>28045</v>
          </cell>
          <cell r="B1417" t="str">
            <v>HANCOCK, MS</v>
          </cell>
        </row>
        <row r="1418">
          <cell r="A1418">
            <v>28047</v>
          </cell>
          <cell r="B1418" t="str">
            <v>HARRISON, MS</v>
          </cell>
        </row>
        <row r="1419">
          <cell r="A1419">
            <v>28049</v>
          </cell>
          <cell r="B1419" t="str">
            <v>HINDS, MS</v>
          </cell>
        </row>
        <row r="1420">
          <cell r="A1420">
            <v>28051</v>
          </cell>
          <cell r="B1420" t="str">
            <v>HOLMES, MS</v>
          </cell>
        </row>
        <row r="1421">
          <cell r="A1421">
            <v>28053</v>
          </cell>
          <cell r="B1421" t="str">
            <v>HUMPHREYS, MS</v>
          </cell>
        </row>
        <row r="1422">
          <cell r="A1422">
            <v>28055</v>
          </cell>
          <cell r="B1422" t="str">
            <v>ISSAQUENA, MS</v>
          </cell>
        </row>
        <row r="1423">
          <cell r="A1423">
            <v>28057</v>
          </cell>
          <cell r="B1423" t="str">
            <v>ITAWAMBA, MS</v>
          </cell>
        </row>
        <row r="1424">
          <cell r="A1424">
            <v>28059</v>
          </cell>
          <cell r="B1424" t="str">
            <v>JACKSON, MS</v>
          </cell>
        </row>
        <row r="1425">
          <cell r="A1425">
            <v>28061</v>
          </cell>
          <cell r="B1425" t="str">
            <v>JASPER, MS</v>
          </cell>
        </row>
        <row r="1426">
          <cell r="A1426">
            <v>28063</v>
          </cell>
          <cell r="B1426" t="str">
            <v>JEFFERSON, MS</v>
          </cell>
        </row>
        <row r="1427">
          <cell r="A1427">
            <v>28065</v>
          </cell>
          <cell r="B1427" t="str">
            <v>JEFFERSON DAVIS, MS</v>
          </cell>
        </row>
        <row r="1428">
          <cell r="A1428">
            <v>28067</v>
          </cell>
          <cell r="B1428" t="str">
            <v>JONES, MS</v>
          </cell>
        </row>
        <row r="1429">
          <cell r="A1429">
            <v>28069</v>
          </cell>
          <cell r="B1429" t="str">
            <v>KEMPER, MS</v>
          </cell>
        </row>
        <row r="1430">
          <cell r="A1430">
            <v>28071</v>
          </cell>
          <cell r="B1430" t="str">
            <v>LAFAYETTE, MS</v>
          </cell>
        </row>
        <row r="1431">
          <cell r="A1431">
            <v>28073</v>
          </cell>
          <cell r="B1431" t="str">
            <v>LAMAR, MS</v>
          </cell>
        </row>
        <row r="1432">
          <cell r="A1432">
            <v>28075</v>
          </cell>
          <cell r="B1432" t="str">
            <v>LAUDERDALE, MS</v>
          </cell>
        </row>
        <row r="1433">
          <cell r="A1433">
            <v>28077</v>
          </cell>
          <cell r="B1433" t="str">
            <v>LAWRENCE, MS</v>
          </cell>
        </row>
        <row r="1434">
          <cell r="A1434">
            <v>28079</v>
          </cell>
          <cell r="B1434" t="str">
            <v>LEAKE, MS</v>
          </cell>
        </row>
        <row r="1435">
          <cell r="A1435">
            <v>28081</v>
          </cell>
          <cell r="B1435" t="str">
            <v>LEE, MS</v>
          </cell>
        </row>
        <row r="1436">
          <cell r="A1436">
            <v>28083</v>
          </cell>
          <cell r="B1436" t="str">
            <v>LEFLORE, MS</v>
          </cell>
        </row>
        <row r="1437">
          <cell r="A1437">
            <v>28085</v>
          </cell>
          <cell r="B1437" t="str">
            <v>LINCOLN, MS</v>
          </cell>
        </row>
        <row r="1438">
          <cell r="A1438">
            <v>28087</v>
          </cell>
          <cell r="B1438" t="str">
            <v>LOWNDES, MS</v>
          </cell>
        </row>
        <row r="1439">
          <cell r="A1439">
            <v>28089</v>
          </cell>
          <cell r="B1439" t="str">
            <v>MADISON, MS</v>
          </cell>
        </row>
        <row r="1440">
          <cell r="A1440">
            <v>28091</v>
          </cell>
          <cell r="B1440" t="str">
            <v>MARION, MS</v>
          </cell>
        </row>
        <row r="1441">
          <cell r="A1441">
            <v>28093</v>
          </cell>
          <cell r="B1441" t="str">
            <v>MARSHALL, MS</v>
          </cell>
        </row>
        <row r="1442">
          <cell r="A1442">
            <v>28095</v>
          </cell>
          <cell r="B1442" t="str">
            <v>MONROE, MS</v>
          </cell>
        </row>
        <row r="1443">
          <cell r="A1443">
            <v>28097</v>
          </cell>
          <cell r="B1443" t="str">
            <v>MONTGOMERY, MS</v>
          </cell>
        </row>
        <row r="1444">
          <cell r="A1444">
            <v>28099</v>
          </cell>
          <cell r="B1444" t="str">
            <v>NESHOBA, MS</v>
          </cell>
        </row>
        <row r="1445">
          <cell r="A1445">
            <v>28101</v>
          </cell>
          <cell r="B1445" t="str">
            <v>NEWTON, MS</v>
          </cell>
        </row>
        <row r="1446">
          <cell r="A1446">
            <v>28103</v>
          </cell>
          <cell r="B1446" t="str">
            <v>NOXUBEE, MS</v>
          </cell>
        </row>
        <row r="1447">
          <cell r="A1447">
            <v>28105</v>
          </cell>
          <cell r="B1447" t="str">
            <v>OKTIBBEHA, MS</v>
          </cell>
        </row>
        <row r="1448">
          <cell r="A1448">
            <v>28107</v>
          </cell>
          <cell r="B1448" t="str">
            <v>PANOLA, MS</v>
          </cell>
        </row>
        <row r="1449">
          <cell r="A1449">
            <v>28109</v>
          </cell>
          <cell r="B1449" t="str">
            <v>PEARL RIVER, MS</v>
          </cell>
        </row>
        <row r="1450">
          <cell r="A1450">
            <v>28111</v>
          </cell>
          <cell r="B1450" t="str">
            <v>PERRY, MS</v>
          </cell>
        </row>
        <row r="1451">
          <cell r="A1451">
            <v>28113</v>
          </cell>
          <cell r="B1451" t="str">
            <v>PIKE, MS</v>
          </cell>
        </row>
        <row r="1452">
          <cell r="A1452">
            <v>28115</v>
          </cell>
          <cell r="B1452" t="str">
            <v>PONTOTOC, MS</v>
          </cell>
        </row>
        <row r="1453">
          <cell r="A1453">
            <v>28117</v>
          </cell>
          <cell r="B1453" t="str">
            <v>PRENTISS, MS</v>
          </cell>
        </row>
        <row r="1454">
          <cell r="A1454">
            <v>28119</v>
          </cell>
          <cell r="B1454" t="str">
            <v>QUITMAN, MS</v>
          </cell>
        </row>
        <row r="1455">
          <cell r="A1455">
            <v>28121</v>
          </cell>
          <cell r="B1455" t="str">
            <v>RANKIN, MS</v>
          </cell>
        </row>
        <row r="1456">
          <cell r="A1456">
            <v>28123</v>
          </cell>
          <cell r="B1456" t="str">
            <v>SCOTT, MS</v>
          </cell>
        </row>
        <row r="1457">
          <cell r="A1457">
            <v>28125</v>
          </cell>
          <cell r="B1457" t="str">
            <v>SHARKEY, MS</v>
          </cell>
        </row>
        <row r="1458">
          <cell r="A1458">
            <v>28127</v>
          </cell>
          <cell r="B1458" t="str">
            <v>SIMPSON, MS</v>
          </cell>
        </row>
        <row r="1459">
          <cell r="A1459">
            <v>28129</v>
          </cell>
          <cell r="B1459" t="str">
            <v>SMITH, MS</v>
          </cell>
        </row>
        <row r="1460">
          <cell r="A1460">
            <v>28131</v>
          </cell>
          <cell r="B1460" t="str">
            <v>STONE, MS</v>
          </cell>
        </row>
        <row r="1461">
          <cell r="A1461">
            <v>28133</v>
          </cell>
          <cell r="B1461" t="str">
            <v>SUNFLOWER, MS</v>
          </cell>
        </row>
        <row r="1462">
          <cell r="A1462">
            <v>28135</v>
          </cell>
          <cell r="B1462" t="str">
            <v>TALLAHATCHIE, MS</v>
          </cell>
        </row>
        <row r="1463">
          <cell r="A1463">
            <v>28137</v>
          </cell>
          <cell r="B1463" t="str">
            <v>TATE, MS</v>
          </cell>
        </row>
        <row r="1464">
          <cell r="A1464">
            <v>28139</v>
          </cell>
          <cell r="B1464" t="str">
            <v>TIPPAH, MS</v>
          </cell>
        </row>
        <row r="1465">
          <cell r="A1465">
            <v>28141</v>
          </cell>
          <cell r="B1465" t="str">
            <v>TISHOMINGO, MS</v>
          </cell>
        </row>
        <row r="1466">
          <cell r="A1466">
            <v>28143</v>
          </cell>
          <cell r="B1466" t="str">
            <v>TUNICA, MS</v>
          </cell>
        </row>
        <row r="1467">
          <cell r="A1467">
            <v>28145</v>
          </cell>
          <cell r="B1467" t="str">
            <v>UNION, MS</v>
          </cell>
        </row>
        <row r="1468">
          <cell r="A1468">
            <v>28147</v>
          </cell>
          <cell r="B1468" t="str">
            <v>WALTHALL, MS</v>
          </cell>
        </row>
        <row r="1469">
          <cell r="A1469">
            <v>28149</v>
          </cell>
          <cell r="B1469" t="str">
            <v>WARREN, MS</v>
          </cell>
        </row>
        <row r="1470">
          <cell r="A1470">
            <v>28151</v>
          </cell>
          <cell r="B1470" t="str">
            <v>WASHINGTON, MS</v>
          </cell>
        </row>
        <row r="1471">
          <cell r="A1471">
            <v>28153</v>
          </cell>
          <cell r="B1471" t="str">
            <v>WAYNE, MS</v>
          </cell>
        </row>
        <row r="1472">
          <cell r="A1472">
            <v>28155</v>
          </cell>
          <cell r="B1472" t="str">
            <v>WEBSTER, MS</v>
          </cell>
        </row>
        <row r="1473">
          <cell r="A1473">
            <v>28157</v>
          </cell>
          <cell r="B1473" t="str">
            <v>WILKINSON, MS</v>
          </cell>
        </row>
        <row r="1474">
          <cell r="A1474">
            <v>28159</v>
          </cell>
          <cell r="B1474" t="str">
            <v>WINSTON, MS</v>
          </cell>
        </row>
        <row r="1475">
          <cell r="A1475">
            <v>28161</v>
          </cell>
          <cell r="B1475" t="str">
            <v>YALOBUSHA, MS</v>
          </cell>
        </row>
        <row r="1476">
          <cell r="A1476">
            <v>28163</v>
          </cell>
          <cell r="B1476" t="str">
            <v>YAZOO, MS</v>
          </cell>
        </row>
        <row r="1477">
          <cell r="A1477">
            <v>29001</v>
          </cell>
          <cell r="B1477" t="str">
            <v>ADAIR, MO</v>
          </cell>
        </row>
        <row r="1478">
          <cell r="A1478">
            <v>29003</v>
          </cell>
          <cell r="B1478" t="str">
            <v>ANDREW, MO</v>
          </cell>
        </row>
        <row r="1479">
          <cell r="A1479">
            <v>29005</v>
          </cell>
          <cell r="B1479" t="str">
            <v>ATCHISON, MO</v>
          </cell>
        </row>
        <row r="1480">
          <cell r="A1480">
            <v>29007</v>
          </cell>
          <cell r="B1480" t="str">
            <v>AUDRAIN, MO</v>
          </cell>
        </row>
        <row r="1481">
          <cell r="A1481">
            <v>29009</v>
          </cell>
          <cell r="B1481" t="str">
            <v>BARRY, MO</v>
          </cell>
        </row>
        <row r="1482">
          <cell r="A1482">
            <v>29011</v>
          </cell>
          <cell r="B1482" t="str">
            <v>BARTON, MO</v>
          </cell>
        </row>
        <row r="1483">
          <cell r="A1483">
            <v>29013</v>
          </cell>
          <cell r="B1483" t="str">
            <v>BATES, MO</v>
          </cell>
        </row>
        <row r="1484">
          <cell r="A1484">
            <v>29015</v>
          </cell>
          <cell r="B1484" t="str">
            <v>BENTON, MO</v>
          </cell>
        </row>
        <row r="1485">
          <cell r="A1485">
            <v>29017</v>
          </cell>
          <cell r="B1485" t="str">
            <v>BOLLINGER, MO</v>
          </cell>
        </row>
        <row r="1486">
          <cell r="A1486">
            <v>29019</v>
          </cell>
          <cell r="B1486" t="str">
            <v>BOONE, MO</v>
          </cell>
        </row>
        <row r="1487">
          <cell r="A1487">
            <v>29021</v>
          </cell>
          <cell r="B1487" t="str">
            <v>BUCHANAN, MO</v>
          </cell>
        </row>
        <row r="1488">
          <cell r="A1488">
            <v>29023</v>
          </cell>
          <cell r="B1488" t="str">
            <v>BUTLER, MO</v>
          </cell>
        </row>
        <row r="1489">
          <cell r="A1489">
            <v>29025</v>
          </cell>
          <cell r="B1489" t="str">
            <v>CALDWELL, MO</v>
          </cell>
        </row>
        <row r="1490">
          <cell r="A1490">
            <v>29027</v>
          </cell>
          <cell r="B1490" t="str">
            <v>CALLAWAY, MO</v>
          </cell>
        </row>
        <row r="1491">
          <cell r="A1491">
            <v>29029</v>
          </cell>
          <cell r="B1491" t="str">
            <v>CAMDEN, MO</v>
          </cell>
        </row>
        <row r="1492">
          <cell r="A1492">
            <v>29031</v>
          </cell>
          <cell r="B1492" t="str">
            <v>CAPE GIRARDEAU, MO</v>
          </cell>
        </row>
        <row r="1493">
          <cell r="A1493">
            <v>29033</v>
          </cell>
          <cell r="B1493" t="str">
            <v>CARROLL, MO</v>
          </cell>
        </row>
        <row r="1494">
          <cell r="A1494">
            <v>29035</v>
          </cell>
          <cell r="B1494" t="str">
            <v>CARTER, MO</v>
          </cell>
        </row>
        <row r="1495">
          <cell r="A1495">
            <v>29037</v>
          </cell>
          <cell r="B1495" t="str">
            <v>CASS, MO</v>
          </cell>
        </row>
        <row r="1496">
          <cell r="A1496">
            <v>29039</v>
          </cell>
          <cell r="B1496" t="str">
            <v>CEDAR, MO</v>
          </cell>
        </row>
        <row r="1497">
          <cell r="A1497">
            <v>29041</v>
          </cell>
          <cell r="B1497" t="str">
            <v>CHARITON, MO</v>
          </cell>
        </row>
        <row r="1498">
          <cell r="A1498">
            <v>29043</v>
          </cell>
          <cell r="B1498" t="str">
            <v>CHRISTIAN, MO</v>
          </cell>
        </row>
        <row r="1499">
          <cell r="A1499">
            <v>29045</v>
          </cell>
          <cell r="B1499" t="str">
            <v>CLARK, MO</v>
          </cell>
        </row>
        <row r="1500">
          <cell r="A1500">
            <v>29047</v>
          </cell>
          <cell r="B1500" t="str">
            <v>CLAY, MO</v>
          </cell>
        </row>
        <row r="1501">
          <cell r="A1501">
            <v>29049</v>
          </cell>
          <cell r="B1501" t="str">
            <v>CLINTON, MO</v>
          </cell>
        </row>
        <row r="1502">
          <cell r="A1502">
            <v>29051</v>
          </cell>
          <cell r="B1502" t="str">
            <v>COLE, MO</v>
          </cell>
        </row>
        <row r="1503">
          <cell r="A1503">
            <v>29053</v>
          </cell>
          <cell r="B1503" t="str">
            <v>COOPER, MO</v>
          </cell>
        </row>
        <row r="1504">
          <cell r="A1504">
            <v>29055</v>
          </cell>
          <cell r="B1504" t="str">
            <v>CRAWFORD, MO</v>
          </cell>
        </row>
        <row r="1505">
          <cell r="A1505">
            <v>29057</v>
          </cell>
          <cell r="B1505" t="str">
            <v>DADE, MO</v>
          </cell>
        </row>
        <row r="1506">
          <cell r="A1506">
            <v>29059</v>
          </cell>
          <cell r="B1506" t="str">
            <v>DALLAS, MO</v>
          </cell>
        </row>
        <row r="1507">
          <cell r="A1507">
            <v>29061</v>
          </cell>
          <cell r="B1507" t="str">
            <v>DAVIESS, MO</v>
          </cell>
        </row>
        <row r="1508">
          <cell r="A1508">
            <v>29063</v>
          </cell>
          <cell r="B1508" t="str">
            <v>DE KALB, MO</v>
          </cell>
        </row>
        <row r="1509">
          <cell r="A1509">
            <v>29065</v>
          </cell>
          <cell r="B1509" t="str">
            <v>DENT, MO</v>
          </cell>
        </row>
        <row r="1510">
          <cell r="A1510">
            <v>29067</v>
          </cell>
          <cell r="B1510" t="str">
            <v>DOUGLAS, MO</v>
          </cell>
        </row>
        <row r="1511">
          <cell r="A1511">
            <v>29069</v>
          </cell>
          <cell r="B1511" t="str">
            <v>DUNKLIN, MO</v>
          </cell>
        </row>
        <row r="1512">
          <cell r="A1512">
            <v>29071</v>
          </cell>
          <cell r="B1512" t="str">
            <v>FRANKLIN, MO</v>
          </cell>
        </row>
        <row r="1513">
          <cell r="A1513">
            <v>29073</v>
          </cell>
          <cell r="B1513" t="str">
            <v>GASCONADE, MO</v>
          </cell>
        </row>
        <row r="1514">
          <cell r="A1514">
            <v>29075</v>
          </cell>
          <cell r="B1514" t="str">
            <v>GENTRY, MO</v>
          </cell>
        </row>
        <row r="1515">
          <cell r="A1515">
            <v>29077</v>
          </cell>
          <cell r="B1515" t="str">
            <v>GREENE, MO</v>
          </cell>
        </row>
        <row r="1516">
          <cell r="A1516">
            <v>29079</v>
          </cell>
          <cell r="B1516" t="str">
            <v>GRUNDY, MO</v>
          </cell>
        </row>
        <row r="1517">
          <cell r="A1517">
            <v>29081</v>
          </cell>
          <cell r="B1517" t="str">
            <v>HARRISON, MO</v>
          </cell>
        </row>
        <row r="1518">
          <cell r="A1518">
            <v>29083</v>
          </cell>
          <cell r="B1518" t="str">
            <v>HENRY, MO</v>
          </cell>
        </row>
        <row r="1519">
          <cell r="A1519">
            <v>29085</v>
          </cell>
          <cell r="B1519" t="str">
            <v>HICKORY, MO</v>
          </cell>
        </row>
        <row r="1520">
          <cell r="A1520">
            <v>29087</v>
          </cell>
          <cell r="B1520" t="str">
            <v>HOLT, MO</v>
          </cell>
        </row>
        <row r="1521">
          <cell r="A1521">
            <v>29089</v>
          </cell>
          <cell r="B1521" t="str">
            <v>HOWARD, MO</v>
          </cell>
        </row>
        <row r="1522">
          <cell r="A1522">
            <v>29091</v>
          </cell>
          <cell r="B1522" t="str">
            <v>HOWELL, MO</v>
          </cell>
        </row>
        <row r="1523">
          <cell r="A1523">
            <v>29093</v>
          </cell>
          <cell r="B1523" t="str">
            <v>IRON, MO</v>
          </cell>
        </row>
        <row r="1524">
          <cell r="A1524">
            <v>29095</v>
          </cell>
          <cell r="B1524" t="str">
            <v>JACKSON, MO</v>
          </cell>
        </row>
        <row r="1525">
          <cell r="A1525">
            <v>29097</v>
          </cell>
          <cell r="B1525" t="str">
            <v>JASPER, MO</v>
          </cell>
        </row>
        <row r="1526">
          <cell r="A1526">
            <v>29099</v>
          </cell>
          <cell r="B1526" t="str">
            <v>JEFFERSON, MO</v>
          </cell>
        </row>
        <row r="1527">
          <cell r="A1527">
            <v>29101</v>
          </cell>
          <cell r="B1527" t="str">
            <v>JOHNSON, MO</v>
          </cell>
        </row>
        <row r="1528">
          <cell r="A1528">
            <v>29103</v>
          </cell>
          <cell r="B1528" t="str">
            <v>KNOX, MO</v>
          </cell>
        </row>
        <row r="1529">
          <cell r="A1529">
            <v>29105</v>
          </cell>
          <cell r="B1529" t="str">
            <v>LACLEDE, MO</v>
          </cell>
        </row>
        <row r="1530">
          <cell r="A1530">
            <v>29107</v>
          </cell>
          <cell r="B1530" t="str">
            <v>LAFAYETTE, MO</v>
          </cell>
        </row>
        <row r="1531">
          <cell r="A1531">
            <v>29109</v>
          </cell>
          <cell r="B1531" t="str">
            <v>LAWRENCE, MO</v>
          </cell>
        </row>
        <row r="1532">
          <cell r="A1532">
            <v>29111</v>
          </cell>
          <cell r="B1532" t="str">
            <v>LEWIS, MO</v>
          </cell>
        </row>
        <row r="1533">
          <cell r="A1533">
            <v>29113</v>
          </cell>
          <cell r="B1533" t="str">
            <v>LINCOLN, MO</v>
          </cell>
        </row>
        <row r="1534">
          <cell r="A1534">
            <v>29115</v>
          </cell>
          <cell r="B1534" t="str">
            <v>LINN, MO</v>
          </cell>
        </row>
        <row r="1535">
          <cell r="A1535">
            <v>29117</v>
          </cell>
          <cell r="B1535" t="str">
            <v>LIVINGSTON, MO</v>
          </cell>
        </row>
        <row r="1536">
          <cell r="A1536">
            <v>29119</v>
          </cell>
          <cell r="B1536" t="str">
            <v>MCDONALD, MO</v>
          </cell>
        </row>
        <row r="1537">
          <cell r="A1537">
            <v>29121</v>
          </cell>
          <cell r="B1537" t="str">
            <v>MACON, MO</v>
          </cell>
        </row>
        <row r="1538">
          <cell r="A1538">
            <v>29123</v>
          </cell>
          <cell r="B1538" t="str">
            <v>MADISON, MO</v>
          </cell>
        </row>
        <row r="1539">
          <cell r="A1539">
            <v>29125</v>
          </cell>
          <cell r="B1539" t="str">
            <v>MARIES, MO</v>
          </cell>
        </row>
        <row r="1540">
          <cell r="A1540">
            <v>29127</v>
          </cell>
          <cell r="B1540" t="str">
            <v>MARION, MO</v>
          </cell>
        </row>
        <row r="1541">
          <cell r="A1541">
            <v>29129</v>
          </cell>
          <cell r="B1541" t="str">
            <v>MERCER, MO</v>
          </cell>
        </row>
        <row r="1542">
          <cell r="A1542">
            <v>29131</v>
          </cell>
          <cell r="B1542" t="str">
            <v>MILLER, MO</v>
          </cell>
        </row>
        <row r="1543">
          <cell r="A1543">
            <v>29133</v>
          </cell>
          <cell r="B1543" t="str">
            <v>MISSISSIPPI, MO</v>
          </cell>
        </row>
        <row r="1544">
          <cell r="A1544">
            <v>29135</v>
          </cell>
          <cell r="B1544" t="str">
            <v>MONITEAU, MO</v>
          </cell>
        </row>
        <row r="1545">
          <cell r="A1545">
            <v>29137</v>
          </cell>
          <cell r="B1545" t="str">
            <v>MONROE, MO</v>
          </cell>
        </row>
        <row r="1546">
          <cell r="A1546">
            <v>29139</v>
          </cell>
          <cell r="B1546" t="str">
            <v>MONTGOMERY, MO</v>
          </cell>
        </row>
        <row r="1547">
          <cell r="A1547">
            <v>29141</v>
          </cell>
          <cell r="B1547" t="str">
            <v>MORGAN, MO</v>
          </cell>
        </row>
        <row r="1548">
          <cell r="A1548">
            <v>29143</v>
          </cell>
          <cell r="B1548" t="str">
            <v>NEW MADRID, MO</v>
          </cell>
        </row>
        <row r="1549">
          <cell r="A1549">
            <v>29145</v>
          </cell>
          <cell r="B1549" t="str">
            <v>NEWTON, MO</v>
          </cell>
        </row>
        <row r="1550">
          <cell r="A1550">
            <v>29147</v>
          </cell>
          <cell r="B1550" t="str">
            <v>NODAWAY, MO</v>
          </cell>
        </row>
        <row r="1551">
          <cell r="A1551">
            <v>29149</v>
          </cell>
          <cell r="B1551" t="str">
            <v>OREGON, MO</v>
          </cell>
        </row>
        <row r="1552">
          <cell r="A1552">
            <v>29151</v>
          </cell>
          <cell r="B1552" t="str">
            <v>OSAGE, MO</v>
          </cell>
        </row>
        <row r="1553">
          <cell r="A1553">
            <v>29153</v>
          </cell>
          <cell r="B1553" t="str">
            <v>OZARK, MO</v>
          </cell>
        </row>
        <row r="1554">
          <cell r="A1554">
            <v>29155</v>
          </cell>
          <cell r="B1554" t="str">
            <v>PEMISCOT, MO</v>
          </cell>
        </row>
        <row r="1555">
          <cell r="A1555">
            <v>29157</v>
          </cell>
          <cell r="B1555" t="str">
            <v>PERRY, MO</v>
          </cell>
        </row>
        <row r="1556">
          <cell r="A1556">
            <v>29159</v>
          </cell>
          <cell r="B1556" t="str">
            <v>PETTIS, MO</v>
          </cell>
        </row>
        <row r="1557">
          <cell r="A1557">
            <v>29161</v>
          </cell>
          <cell r="B1557" t="str">
            <v>PHELPS, MO</v>
          </cell>
        </row>
        <row r="1558">
          <cell r="A1558">
            <v>29163</v>
          </cell>
          <cell r="B1558" t="str">
            <v>PIKE, MO</v>
          </cell>
        </row>
        <row r="1559">
          <cell r="A1559">
            <v>29165</v>
          </cell>
          <cell r="B1559" t="str">
            <v>PLATTE, MO</v>
          </cell>
        </row>
        <row r="1560">
          <cell r="A1560">
            <v>29167</v>
          </cell>
          <cell r="B1560" t="str">
            <v>POLK, MO</v>
          </cell>
        </row>
        <row r="1561">
          <cell r="A1561">
            <v>29169</v>
          </cell>
          <cell r="B1561" t="str">
            <v>PULASKI, MO</v>
          </cell>
        </row>
        <row r="1562">
          <cell r="A1562">
            <v>29171</v>
          </cell>
          <cell r="B1562" t="str">
            <v>PUTNAM, MO</v>
          </cell>
        </row>
        <row r="1563">
          <cell r="A1563">
            <v>29173</v>
          </cell>
          <cell r="B1563" t="str">
            <v>RALLS, MO</v>
          </cell>
        </row>
        <row r="1564">
          <cell r="A1564">
            <v>29175</v>
          </cell>
          <cell r="B1564" t="str">
            <v>RANDOLPH, MO</v>
          </cell>
        </row>
        <row r="1565">
          <cell r="A1565">
            <v>29177</v>
          </cell>
          <cell r="B1565" t="str">
            <v>RAY, MO</v>
          </cell>
        </row>
        <row r="1566">
          <cell r="A1566">
            <v>29179</v>
          </cell>
          <cell r="B1566" t="str">
            <v>REYNOLDS, MO</v>
          </cell>
        </row>
        <row r="1567">
          <cell r="A1567">
            <v>29181</v>
          </cell>
          <cell r="B1567" t="str">
            <v>RIPLEY, MO</v>
          </cell>
        </row>
        <row r="1568">
          <cell r="A1568">
            <v>29183</v>
          </cell>
          <cell r="B1568" t="str">
            <v>ST CHARLES, MO</v>
          </cell>
        </row>
        <row r="1569">
          <cell r="A1569">
            <v>29185</v>
          </cell>
          <cell r="B1569" t="str">
            <v>ST CLAIR, MO</v>
          </cell>
        </row>
        <row r="1570">
          <cell r="A1570">
            <v>29186</v>
          </cell>
          <cell r="B1570" t="str">
            <v>STE GENEVIEVE, MO</v>
          </cell>
        </row>
        <row r="1571">
          <cell r="A1571">
            <v>29187</v>
          </cell>
          <cell r="B1571" t="str">
            <v>ST FRANCOIS, MO</v>
          </cell>
        </row>
        <row r="1572">
          <cell r="A1572">
            <v>29189</v>
          </cell>
          <cell r="B1572" t="str">
            <v>ST LOUIS, MO</v>
          </cell>
        </row>
        <row r="1573">
          <cell r="A1573">
            <v>29195</v>
          </cell>
          <cell r="B1573" t="str">
            <v>SALINE, MO</v>
          </cell>
        </row>
        <row r="1574">
          <cell r="A1574">
            <v>29197</v>
          </cell>
          <cell r="B1574" t="str">
            <v>SCHUYLER, MO</v>
          </cell>
        </row>
        <row r="1575">
          <cell r="A1575">
            <v>29199</v>
          </cell>
          <cell r="B1575" t="str">
            <v>SCOTLAND, MO</v>
          </cell>
        </row>
        <row r="1576">
          <cell r="A1576">
            <v>29201</v>
          </cell>
          <cell r="B1576" t="str">
            <v>SCOTT, MO</v>
          </cell>
        </row>
        <row r="1577">
          <cell r="A1577">
            <v>29203</v>
          </cell>
          <cell r="B1577" t="str">
            <v>SHANNON, MO</v>
          </cell>
        </row>
        <row r="1578">
          <cell r="A1578">
            <v>29205</v>
          </cell>
          <cell r="B1578" t="str">
            <v>SHELBY, MO</v>
          </cell>
        </row>
        <row r="1579">
          <cell r="A1579">
            <v>29207</v>
          </cell>
          <cell r="B1579" t="str">
            <v>STODDARD, MO</v>
          </cell>
        </row>
        <row r="1580">
          <cell r="A1580">
            <v>29209</v>
          </cell>
          <cell r="B1580" t="str">
            <v>STONE, MO</v>
          </cell>
        </row>
        <row r="1581">
          <cell r="A1581">
            <v>29211</v>
          </cell>
          <cell r="B1581" t="str">
            <v>SULLIVAN, MO</v>
          </cell>
        </row>
        <row r="1582">
          <cell r="A1582">
            <v>29213</v>
          </cell>
          <cell r="B1582" t="str">
            <v>TANEY, MO</v>
          </cell>
        </row>
        <row r="1583">
          <cell r="A1583">
            <v>29215</v>
          </cell>
          <cell r="B1583" t="str">
            <v>TEXAS, MO</v>
          </cell>
        </row>
        <row r="1584">
          <cell r="A1584">
            <v>29217</v>
          </cell>
          <cell r="B1584" t="str">
            <v>VERNON, MO</v>
          </cell>
        </row>
        <row r="1585">
          <cell r="A1585">
            <v>29219</v>
          </cell>
          <cell r="B1585" t="str">
            <v>WARREN, MO</v>
          </cell>
        </row>
        <row r="1586">
          <cell r="A1586">
            <v>29221</v>
          </cell>
          <cell r="B1586" t="str">
            <v>WASHINGTON, MO</v>
          </cell>
        </row>
        <row r="1587">
          <cell r="A1587">
            <v>29223</v>
          </cell>
          <cell r="B1587" t="str">
            <v>WAYNE, MO</v>
          </cell>
        </row>
        <row r="1588">
          <cell r="A1588">
            <v>29225</v>
          </cell>
          <cell r="B1588" t="str">
            <v>WEBSTER, MO</v>
          </cell>
        </row>
        <row r="1589">
          <cell r="A1589">
            <v>29227</v>
          </cell>
          <cell r="B1589" t="str">
            <v>WORTH, MO</v>
          </cell>
        </row>
        <row r="1590">
          <cell r="A1590">
            <v>29229</v>
          </cell>
          <cell r="B1590" t="str">
            <v>WRIGHT, MO</v>
          </cell>
        </row>
        <row r="1591">
          <cell r="A1591">
            <v>29510</v>
          </cell>
          <cell r="B1591" t="str">
            <v>ST LOUIS CITY, MO</v>
          </cell>
        </row>
        <row r="1592">
          <cell r="A1592">
            <v>30001</v>
          </cell>
          <cell r="B1592" t="str">
            <v>BEAVERHEAD, MT</v>
          </cell>
        </row>
        <row r="1593">
          <cell r="A1593">
            <v>30003</v>
          </cell>
          <cell r="B1593" t="str">
            <v>BIG HORN, MT</v>
          </cell>
        </row>
        <row r="1594">
          <cell r="A1594">
            <v>30005</v>
          </cell>
          <cell r="B1594" t="str">
            <v>BLAINE, MT</v>
          </cell>
        </row>
        <row r="1595">
          <cell r="A1595">
            <v>30007</v>
          </cell>
          <cell r="B1595" t="str">
            <v>BROADWATER, MT</v>
          </cell>
        </row>
        <row r="1596">
          <cell r="A1596">
            <v>30009</v>
          </cell>
          <cell r="B1596" t="str">
            <v>CARBON, MT</v>
          </cell>
        </row>
        <row r="1597">
          <cell r="A1597">
            <v>30011</v>
          </cell>
          <cell r="B1597" t="str">
            <v>CARTER, MT</v>
          </cell>
        </row>
        <row r="1598">
          <cell r="A1598">
            <v>30013</v>
          </cell>
          <cell r="B1598" t="str">
            <v>CASCADE, MT</v>
          </cell>
        </row>
        <row r="1599">
          <cell r="A1599">
            <v>30015</v>
          </cell>
          <cell r="B1599" t="str">
            <v>CHOUTEAU, MT</v>
          </cell>
        </row>
        <row r="1600">
          <cell r="A1600">
            <v>30017</v>
          </cell>
          <cell r="B1600" t="str">
            <v>CUSTER, MT</v>
          </cell>
        </row>
        <row r="1601">
          <cell r="A1601">
            <v>30019</v>
          </cell>
          <cell r="B1601" t="str">
            <v>DANIELS, MT</v>
          </cell>
        </row>
        <row r="1602">
          <cell r="A1602">
            <v>30021</v>
          </cell>
          <cell r="B1602" t="str">
            <v>DAWSON, MT</v>
          </cell>
        </row>
        <row r="1603">
          <cell r="A1603">
            <v>30023</v>
          </cell>
          <cell r="B1603" t="str">
            <v>DEER LODGE, MT</v>
          </cell>
        </row>
        <row r="1604">
          <cell r="A1604">
            <v>30025</v>
          </cell>
          <cell r="B1604" t="str">
            <v>FALLON, MT</v>
          </cell>
        </row>
        <row r="1605">
          <cell r="A1605">
            <v>30027</v>
          </cell>
          <cell r="B1605" t="str">
            <v>FERGUS, MT</v>
          </cell>
        </row>
        <row r="1606">
          <cell r="A1606">
            <v>30029</v>
          </cell>
          <cell r="B1606" t="str">
            <v>FLATHEAD, MT</v>
          </cell>
        </row>
        <row r="1607">
          <cell r="A1607">
            <v>30031</v>
          </cell>
          <cell r="B1607" t="str">
            <v>GALLATIN, MT</v>
          </cell>
        </row>
        <row r="1608">
          <cell r="A1608">
            <v>30033</v>
          </cell>
          <cell r="B1608" t="str">
            <v>GARFIELD, MT</v>
          </cell>
        </row>
        <row r="1609">
          <cell r="A1609">
            <v>30035</v>
          </cell>
          <cell r="B1609" t="str">
            <v>GLACIER, MT</v>
          </cell>
        </row>
        <row r="1610">
          <cell r="A1610">
            <v>30037</v>
          </cell>
          <cell r="B1610" t="str">
            <v>GOLDEN VALLEY, MT</v>
          </cell>
        </row>
        <row r="1611">
          <cell r="A1611">
            <v>30039</v>
          </cell>
          <cell r="B1611" t="str">
            <v>GRANITE, MT</v>
          </cell>
        </row>
        <row r="1612">
          <cell r="A1612">
            <v>30041</v>
          </cell>
          <cell r="B1612" t="str">
            <v>HILL, MT</v>
          </cell>
        </row>
        <row r="1613">
          <cell r="A1613">
            <v>30043</v>
          </cell>
          <cell r="B1613" t="str">
            <v>JEFFERSON, MT</v>
          </cell>
        </row>
        <row r="1614">
          <cell r="A1614">
            <v>30045</v>
          </cell>
          <cell r="B1614" t="str">
            <v>JUDITH BASIN, MT</v>
          </cell>
        </row>
        <row r="1615">
          <cell r="A1615">
            <v>30047</v>
          </cell>
          <cell r="B1615" t="str">
            <v>LAKE, MT</v>
          </cell>
        </row>
        <row r="1616">
          <cell r="A1616">
            <v>30049</v>
          </cell>
          <cell r="B1616" t="str">
            <v>LEWIS AND CLARK, MT</v>
          </cell>
        </row>
        <row r="1617">
          <cell r="A1617">
            <v>30051</v>
          </cell>
          <cell r="B1617" t="str">
            <v>LIBERTY, MT</v>
          </cell>
        </row>
        <row r="1618">
          <cell r="A1618">
            <v>30053</v>
          </cell>
          <cell r="B1618" t="str">
            <v>LINCOLN, MT</v>
          </cell>
        </row>
        <row r="1619">
          <cell r="A1619">
            <v>30055</v>
          </cell>
          <cell r="B1619" t="str">
            <v>MCCONE, MT</v>
          </cell>
        </row>
        <row r="1620">
          <cell r="A1620">
            <v>30057</v>
          </cell>
          <cell r="B1620" t="str">
            <v>MADISON, MT</v>
          </cell>
        </row>
        <row r="1621">
          <cell r="A1621">
            <v>30059</v>
          </cell>
          <cell r="B1621" t="str">
            <v>MEAGHER, MT</v>
          </cell>
        </row>
        <row r="1622">
          <cell r="A1622">
            <v>30061</v>
          </cell>
          <cell r="B1622" t="str">
            <v>MINERAL, MT</v>
          </cell>
        </row>
        <row r="1623">
          <cell r="A1623">
            <v>30063</v>
          </cell>
          <cell r="B1623" t="str">
            <v>MISSOULA, MT</v>
          </cell>
        </row>
        <row r="1624">
          <cell r="A1624">
            <v>30065</v>
          </cell>
          <cell r="B1624" t="str">
            <v>MUSSELSHELL, MT</v>
          </cell>
        </row>
        <row r="1625">
          <cell r="A1625">
            <v>30067</v>
          </cell>
          <cell r="B1625" t="str">
            <v>PARK, MT</v>
          </cell>
        </row>
        <row r="1626">
          <cell r="A1626">
            <v>30069</v>
          </cell>
          <cell r="B1626" t="str">
            <v>PETROLEUM, MT</v>
          </cell>
        </row>
        <row r="1627">
          <cell r="A1627">
            <v>30071</v>
          </cell>
          <cell r="B1627" t="str">
            <v>PHILLIPS, MT</v>
          </cell>
        </row>
        <row r="1628">
          <cell r="A1628">
            <v>30073</v>
          </cell>
          <cell r="B1628" t="str">
            <v>PONDERA, MT</v>
          </cell>
        </row>
        <row r="1629">
          <cell r="A1629">
            <v>30075</v>
          </cell>
          <cell r="B1629" t="str">
            <v>POWDER RIVER, MT</v>
          </cell>
        </row>
        <row r="1630">
          <cell r="A1630">
            <v>30077</v>
          </cell>
          <cell r="B1630" t="str">
            <v>POWELL, MT</v>
          </cell>
        </row>
        <row r="1631">
          <cell r="A1631">
            <v>30079</v>
          </cell>
          <cell r="B1631" t="str">
            <v>PRAIRIE, MT</v>
          </cell>
        </row>
        <row r="1632">
          <cell r="A1632">
            <v>30081</v>
          </cell>
          <cell r="B1632" t="str">
            <v>RAVALLI, MT</v>
          </cell>
        </row>
        <row r="1633">
          <cell r="A1633">
            <v>30083</v>
          </cell>
          <cell r="B1633" t="str">
            <v>RICHLAND, MT</v>
          </cell>
        </row>
        <row r="1634">
          <cell r="A1634">
            <v>30085</v>
          </cell>
          <cell r="B1634" t="str">
            <v>ROOSEVELT, MT</v>
          </cell>
        </row>
        <row r="1635">
          <cell r="A1635">
            <v>30087</v>
          </cell>
          <cell r="B1635" t="str">
            <v>ROSEBUD, MT</v>
          </cell>
        </row>
        <row r="1636">
          <cell r="A1636">
            <v>30089</v>
          </cell>
          <cell r="B1636" t="str">
            <v>SANDERS, MT</v>
          </cell>
        </row>
        <row r="1637">
          <cell r="A1637">
            <v>30091</v>
          </cell>
          <cell r="B1637" t="str">
            <v>SHERIDAN, MT</v>
          </cell>
        </row>
        <row r="1638">
          <cell r="A1638">
            <v>30093</v>
          </cell>
          <cell r="B1638" t="str">
            <v>SILVER BOW, MT</v>
          </cell>
        </row>
        <row r="1639">
          <cell r="A1639">
            <v>30095</v>
          </cell>
          <cell r="B1639" t="str">
            <v>STILLWATER, MT</v>
          </cell>
        </row>
        <row r="1640">
          <cell r="A1640">
            <v>30097</v>
          </cell>
          <cell r="B1640" t="str">
            <v>SWEET GRASS, MT</v>
          </cell>
        </row>
        <row r="1641">
          <cell r="A1641">
            <v>30099</v>
          </cell>
          <cell r="B1641" t="str">
            <v>TETON, MT</v>
          </cell>
        </row>
        <row r="1642">
          <cell r="A1642">
            <v>30101</v>
          </cell>
          <cell r="B1642" t="str">
            <v>TOOLE, MT</v>
          </cell>
        </row>
        <row r="1643">
          <cell r="A1643">
            <v>30103</v>
          </cell>
          <cell r="B1643" t="str">
            <v>TREASURE, MT</v>
          </cell>
        </row>
        <row r="1644">
          <cell r="A1644">
            <v>30105</v>
          </cell>
          <cell r="B1644" t="str">
            <v>VALLEY, MT</v>
          </cell>
        </row>
        <row r="1645">
          <cell r="A1645">
            <v>30107</v>
          </cell>
          <cell r="B1645" t="str">
            <v>WHEATLAND, MT</v>
          </cell>
        </row>
        <row r="1646">
          <cell r="A1646">
            <v>30109</v>
          </cell>
          <cell r="B1646" t="str">
            <v>WIBAUX, MT</v>
          </cell>
        </row>
        <row r="1647">
          <cell r="A1647">
            <v>30111</v>
          </cell>
          <cell r="B1647" t="str">
            <v>YELLOWSTONE, MT</v>
          </cell>
        </row>
        <row r="1648">
          <cell r="A1648">
            <v>31001</v>
          </cell>
          <cell r="B1648" t="str">
            <v>ADAMS, NE</v>
          </cell>
        </row>
        <row r="1649">
          <cell r="A1649">
            <v>31003</v>
          </cell>
          <cell r="B1649" t="str">
            <v>ANTELOPE, NE</v>
          </cell>
        </row>
        <row r="1650">
          <cell r="A1650">
            <v>31005</v>
          </cell>
          <cell r="B1650" t="str">
            <v>ARTHUR, NE</v>
          </cell>
        </row>
        <row r="1651">
          <cell r="A1651">
            <v>31007</v>
          </cell>
          <cell r="B1651" t="str">
            <v>BANNER, NE</v>
          </cell>
        </row>
        <row r="1652">
          <cell r="A1652">
            <v>31009</v>
          </cell>
          <cell r="B1652" t="str">
            <v>BLAINE, NE</v>
          </cell>
        </row>
        <row r="1653">
          <cell r="A1653">
            <v>31011</v>
          </cell>
          <cell r="B1653" t="str">
            <v>BOONE, NE</v>
          </cell>
        </row>
        <row r="1654">
          <cell r="A1654">
            <v>31013</v>
          </cell>
          <cell r="B1654" t="str">
            <v>BOX BUTTE, NE</v>
          </cell>
        </row>
        <row r="1655">
          <cell r="A1655">
            <v>31015</v>
          </cell>
          <cell r="B1655" t="str">
            <v>BOYD, NE</v>
          </cell>
        </row>
        <row r="1656">
          <cell r="A1656">
            <v>31017</v>
          </cell>
          <cell r="B1656" t="str">
            <v>BROWN, NE</v>
          </cell>
        </row>
        <row r="1657">
          <cell r="A1657">
            <v>31019</v>
          </cell>
          <cell r="B1657" t="str">
            <v>BUFFALO, NE</v>
          </cell>
        </row>
        <row r="1658">
          <cell r="A1658">
            <v>31021</v>
          </cell>
          <cell r="B1658" t="str">
            <v>BURT, NE</v>
          </cell>
        </row>
        <row r="1659">
          <cell r="A1659">
            <v>31023</v>
          </cell>
          <cell r="B1659" t="str">
            <v>BUTLER, NE</v>
          </cell>
        </row>
        <row r="1660">
          <cell r="A1660">
            <v>31025</v>
          </cell>
          <cell r="B1660" t="str">
            <v>CASS, NE</v>
          </cell>
        </row>
        <row r="1661">
          <cell r="A1661">
            <v>31027</v>
          </cell>
          <cell r="B1661" t="str">
            <v>CEDAR, NE</v>
          </cell>
        </row>
        <row r="1662">
          <cell r="A1662">
            <v>31029</v>
          </cell>
          <cell r="B1662" t="str">
            <v>CHASE, NE</v>
          </cell>
        </row>
        <row r="1663">
          <cell r="A1663">
            <v>31031</v>
          </cell>
          <cell r="B1663" t="str">
            <v>CHERRY, NE</v>
          </cell>
        </row>
        <row r="1664">
          <cell r="A1664">
            <v>31033</v>
          </cell>
          <cell r="B1664" t="str">
            <v>CHEYENNE, NE</v>
          </cell>
        </row>
        <row r="1665">
          <cell r="A1665">
            <v>31035</v>
          </cell>
          <cell r="B1665" t="str">
            <v>CLAY, NE</v>
          </cell>
        </row>
        <row r="1666">
          <cell r="A1666">
            <v>31037</v>
          </cell>
          <cell r="B1666" t="str">
            <v>COLFAX, NE</v>
          </cell>
        </row>
        <row r="1667">
          <cell r="A1667">
            <v>31039</v>
          </cell>
          <cell r="B1667" t="str">
            <v>CUMING, NE</v>
          </cell>
        </row>
        <row r="1668">
          <cell r="A1668">
            <v>31041</v>
          </cell>
          <cell r="B1668" t="str">
            <v>CUSTER, NE</v>
          </cell>
        </row>
        <row r="1669">
          <cell r="A1669">
            <v>31043</v>
          </cell>
          <cell r="B1669" t="str">
            <v>DAKOTA, NE</v>
          </cell>
        </row>
        <row r="1670">
          <cell r="A1670">
            <v>31045</v>
          </cell>
          <cell r="B1670" t="str">
            <v>DAWES, NE</v>
          </cell>
        </row>
        <row r="1671">
          <cell r="A1671">
            <v>31047</v>
          </cell>
          <cell r="B1671" t="str">
            <v>DAWSON, NE</v>
          </cell>
        </row>
        <row r="1672">
          <cell r="A1672">
            <v>31049</v>
          </cell>
          <cell r="B1672" t="str">
            <v>DEUEL, NE</v>
          </cell>
        </row>
        <row r="1673">
          <cell r="A1673">
            <v>31051</v>
          </cell>
          <cell r="B1673" t="str">
            <v>DIXON, NE</v>
          </cell>
        </row>
        <row r="1674">
          <cell r="A1674">
            <v>31053</v>
          </cell>
          <cell r="B1674" t="str">
            <v>DODGE, NE</v>
          </cell>
        </row>
        <row r="1675">
          <cell r="A1675">
            <v>31055</v>
          </cell>
          <cell r="B1675" t="str">
            <v>DOUGLAS, NE</v>
          </cell>
        </row>
        <row r="1676">
          <cell r="A1676">
            <v>31057</v>
          </cell>
          <cell r="B1676" t="str">
            <v>DUNDY, NE</v>
          </cell>
        </row>
        <row r="1677">
          <cell r="A1677">
            <v>31059</v>
          </cell>
          <cell r="B1677" t="str">
            <v>FILLMORE, NE</v>
          </cell>
        </row>
        <row r="1678">
          <cell r="A1678">
            <v>31061</v>
          </cell>
          <cell r="B1678" t="str">
            <v>FRANKLIN, NE</v>
          </cell>
        </row>
        <row r="1679">
          <cell r="A1679">
            <v>31063</v>
          </cell>
          <cell r="B1679" t="str">
            <v>FRONTIER, NE</v>
          </cell>
        </row>
        <row r="1680">
          <cell r="A1680">
            <v>31065</v>
          </cell>
          <cell r="B1680" t="str">
            <v>FURNAS, NE</v>
          </cell>
        </row>
        <row r="1681">
          <cell r="A1681">
            <v>31067</v>
          </cell>
          <cell r="B1681" t="str">
            <v>GAGE, NE</v>
          </cell>
        </row>
        <row r="1682">
          <cell r="A1682">
            <v>31069</v>
          </cell>
          <cell r="B1682" t="str">
            <v>GARDEN, NE</v>
          </cell>
        </row>
        <row r="1683">
          <cell r="A1683">
            <v>31071</v>
          </cell>
          <cell r="B1683" t="str">
            <v>GARFIELD, NE</v>
          </cell>
        </row>
        <row r="1684">
          <cell r="A1684">
            <v>31073</v>
          </cell>
          <cell r="B1684" t="str">
            <v>GOSPER, NE</v>
          </cell>
        </row>
        <row r="1685">
          <cell r="A1685">
            <v>31075</v>
          </cell>
          <cell r="B1685" t="str">
            <v>GRANT, NE</v>
          </cell>
        </row>
        <row r="1686">
          <cell r="A1686">
            <v>31077</v>
          </cell>
          <cell r="B1686" t="str">
            <v>GREELEY, NE</v>
          </cell>
        </row>
        <row r="1687">
          <cell r="A1687">
            <v>31079</v>
          </cell>
          <cell r="B1687" t="str">
            <v>HALL, NE</v>
          </cell>
        </row>
        <row r="1688">
          <cell r="A1688">
            <v>31081</v>
          </cell>
          <cell r="B1688" t="str">
            <v>HAMILTON, NE</v>
          </cell>
        </row>
        <row r="1689">
          <cell r="A1689">
            <v>31083</v>
          </cell>
          <cell r="B1689" t="str">
            <v>HARLAN, NE</v>
          </cell>
        </row>
        <row r="1690">
          <cell r="A1690">
            <v>31085</v>
          </cell>
          <cell r="B1690" t="str">
            <v>HAYES, NE</v>
          </cell>
        </row>
        <row r="1691">
          <cell r="A1691">
            <v>31087</v>
          </cell>
          <cell r="B1691" t="str">
            <v>HITCHCOCK, NE</v>
          </cell>
        </row>
        <row r="1692">
          <cell r="A1692">
            <v>31089</v>
          </cell>
          <cell r="B1692" t="str">
            <v>HOLT, NE</v>
          </cell>
        </row>
        <row r="1693">
          <cell r="A1693">
            <v>31091</v>
          </cell>
          <cell r="B1693" t="str">
            <v>HOOKER, NE</v>
          </cell>
        </row>
        <row r="1694">
          <cell r="A1694">
            <v>31093</v>
          </cell>
          <cell r="B1694" t="str">
            <v>HOWARD, NE</v>
          </cell>
        </row>
        <row r="1695">
          <cell r="A1695">
            <v>31095</v>
          </cell>
          <cell r="B1695" t="str">
            <v>JEFFERSON, NE</v>
          </cell>
        </row>
        <row r="1696">
          <cell r="A1696">
            <v>31097</v>
          </cell>
          <cell r="B1696" t="str">
            <v>JOHNSON, NE</v>
          </cell>
        </row>
        <row r="1697">
          <cell r="A1697">
            <v>31099</v>
          </cell>
          <cell r="B1697" t="str">
            <v>KEARNEY, NE</v>
          </cell>
        </row>
        <row r="1698">
          <cell r="A1698">
            <v>31101</v>
          </cell>
          <cell r="B1698" t="str">
            <v>KEITH, NE</v>
          </cell>
        </row>
        <row r="1699">
          <cell r="A1699">
            <v>31103</v>
          </cell>
          <cell r="B1699" t="str">
            <v>KEYA PAHA, NE</v>
          </cell>
        </row>
        <row r="1700">
          <cell r="A1700">
            <v>31105</v>
          </cell>
          <cell r="B1700" t="str">
            <v>KIMBALL, NE</v>
          </cell>
        </row>
        <row r="1701">
          <cell r="A1701">
            <v>31107</v>
          </cell>
          <cell r="B1701" t="str">
            <v>KNOX, NE</v>
          </cell>
        </row>
        <row r="1702">
          <cell r="A1702">
            <v>31109</v>
          </cell>
          <cell r="B1702" t="str">
            <v>LANCASTER, NE</v>
          </cell>
        </row>
        <row r="1703">
          <cell r="A1703">
            <v>31111</v>
          </cell>
          <cell r="B1703" t="str">
            <v>LINCOLN, NE</v>
          </cell>
        </row>
        <row r="1704">
          <cell r="A1704">
            <v>31113</v>
          </cell>
          <cell r="B1704" t="str">
            <v>LOGAN, NE</v>
          </cell>
        </row>
        <row r="1705">
          <cell r="A1705">
            <v>31115</v>
          </cell>
          <cell r="B1705" t="str">
            <v>LOUP, NE</v>
          </cell>
        </row>
        <row r="1706">
          <cell r="A1706">
            <v>31117</v>
          </cell>
          <cell r="B1706" t="str">
            <v>MCPHERSON, NE</v>
          </cell>
        </row>
        <row r="1707">
          <cell r="A1707">
            <v>31119</v>
          </cell>
          <cell r="B1707" t="str">
            <v>MADISON, NE</v>
          </cell>
        </row>
        <row r="1708">
          <cell r="A1708">
            <v>31121</v>
          </cell>
          <cell r="B1708" t="str">
            <v>MERRICK, NE</v>
          </cell>
        </row>
        <row r="1709">
          <cell r="A1709">
            <v>31123</v>
          </cell>
          <cell r="B1709" t="str">
            <v>MORRILL, NE</v>
          </cell>
        </row>
        <row r="1710">
          <cell r="A1710">
            <v>31125</v>
          </cell>
          <cell r="B1710" t="str">
            <v>NANCE, NE</v>
          </cell>
        </row>
        <row r="1711">
          <cell r="A1711">
            <v>31127</v>
          </cell>
          <cell r="B1711" t="str">
            <v>NEMAHA, NE</v>
          </cell>
        </row>
        <row r="1712">
          <cell r="A1712">
            <v>31129</v>
          </cell>
          <cell r="B1712" t="str">
            <v>NUCKOLLS, NE</v>
          </cell>
        </row>
        <row r="1713">
          <cell r="A1713">
            <v>31131</v>
          </cell>
          <cell r="B1713" t="str">
            <v>OTOE, NE</v>
          </cell>
        </row>
        <row r="1714">
          <cell r="A1714">
            <v>31133</v>
          </cell>
          <cell r="B1714" t="str">
            <v>PAWNEE, NE</v>
          </cell>
        </row>
        <row r="1715">
          <cell r="A1715">
            <v>31135</v>
          </cell>
          <cell r="B1715" t="str">
            <v>PERKINS, NE</v>
          </cell>
        </row>
        <row r="1716">
          <cell r="A1716">
            <v>31137</v>
          </cell>
          <cell r="B1716" t="str">
            <v>PHELPS, NE</v>
          </cell>
        </row>
        <row r="1717">
          <cell r="A1717">
            <v>31139</v>
          </cell>
          <cell r="B1717" t="str">
            <v>PIERCE, NE</v>
          </cell>
        </row>
        <row r="1718">
          <cell r="A1718">
            <v>31141</v>
          </cell>
          <cell r="B1718" t="str">
            <v>PLATTE, NE</v>
          </cell>
        </row>
        <row r="1719">
          <cell r="A1719">
            <v>31143</v>
          </cell>
          <cell r="B1719" t="str">
            <v>POLK, NE</v>
          </cell>
        </row>
        <row r="1720">
          <cell r="A1720">
            <v>31145</v>
          </cell>
          <cell r="B1720" t="str">
            <v>RED WILLOW, NE</v>
          </cell>
        </row>
        <row r="1721">
          <cell r="A1721">
            <v>31147</v>
          </cell>
          <cell r="B1721" t="str">
            <v>RICHARDSON, NE</v>
          </cell>
        </row>
        <row r="1722">
          <cell r="A1722">
            <v>31149</v>
          </cell>
          <cell r="B1722" t="str">
            <v>ROCK, NE</v>
          </cell>
        </row>
        <row r="1723">
          <cell r="A1723">
            <v>31151</v>
          </cell>
          <cell r="B1723" t="str">
            <v>SALINE, NE</v>
          </cell>
        </row>
        <row r="1724">
          <cell r="A1724">
            <v>31153</v>
          </cell>
          <cell r="B1724" t="str">
            <v>SARPY, NE</v>
          </cell>
        </row>
        <row r="1725">
          <cell r="A1725">
            <v>31155</v>
          </cell>
          <cell r="B1725" t="str">
            <v>SAUNDERS, NE</v>
          </cell>
        </row>
        <row r="1726">
          <cell r="A1726">
            <v>31157</v>
          </cell>
          <cell r="B1726" t="str">
            <v>SCOTTS BLUFF, NE</v>
          </cell>
        </row>
        <row r="1727">
          <cell r="A1727">
            <v>31159</v>
          </cell>
          <cell r="B1727" t="str">
            <v>SEWARD, NE</v>
          </cell>
        </row>
        <row r="1728">
          <cell r="A1728">
            <v>31161</v>
          </cell>
          <cell r="B1728" t="str">
            <v>SHERIDAN, NE</v>
          </cell>
        </row>
        <row r="1729">
          <cell r="A1729">
            <v>31163</v>
          </cell>
          <cell r="B1729" t="str">
            <v>SHERMAN, NE</v>
          </cell>
        </row>
        <row r="1730">
          <cell r="A1730">
            <v>31165</v>
          </cell>
          <cell r="B1730" t="str">
            <v>SIOUX, NE</v>
          </cell>
        </row>
        <row r="1731">
          <cell r="A1731">
            <v>31167</v>
          </cell>
          <cell r="B1731" t="str">
            <v>STANTON, NE</v>
          </cell>
        </row>
        <row r="1732">
          <cell r="A1732">
            <v>31169</v>
          </cell>
          <cell r="B1732" t="str">
            <v>THAYER, NE</v>
          </cell>
        </row>
        <row r="1733">
          <cell r="A1733">
            <v>31171</v>
          </cell>
          <cell r="B1733" t="str">
            <v>THOMAS, NE</v>
          </cell>
        </row>
        <row r="1734">
          <cell r="A1734">
            <v>31173</v>
          </cell>
          <cell r="B1734" t="str">
            <v>THURSTON, NE</v>
          </cell>
        </row>
        <row r="1735">
          <cell r="A1735">
            <v>31175</v>
          </cell>
          <cell r="B1735" t="str">
            <v>VALLEY, NE</v>
          </cell>
        </row>
        <row r="1736">
          <cell r="A1736">
            <v>31177</v>
          </cell>
          <cell r="B1736" t="str">
            <v>WASHINGTON, NE</v>
          </cell>
        </row>
        <row r="1737">
          <cell r="A1737">
            <v>31179</v>
          </cell>
          <cell r="B1737" t="str">
            <v>WAYNE, NE</v>
          </cell>
        </row>
        <row r="1738">
          <cell r="A1738">
            <v>31181</v>
          </cell>
          <cell r="B1738" t="str">
            <v>WEBSTER, NE</v>
          </cell>
        </row>
        <row r="1739">
          <cell r="A1739">
            <v>31183</v>
          </cell>
          <cell r="B1739" t="str">
            <v>WHEELER, NE</v>
          </cell>
        </row>
        <row r="1740">
          <cell r="A1740">
            <v>31185</v>
          </cell>
          <cell r="B1740" t="str">
            <v>YORK, NE</v>
          </cell>
        </row>
        <row r="1741">
          <cell r="A1741">
            <v>32001</v>
          </cell>
          <cell r="B1741" t="str">
            <v>CHURCHILL, NV</v>
          </cell>
        </row>
        <row r="1742">
          <cell r="A1742">
            <v>32003</v>
          </cell>
          <cell r="B1742" t="str">
            <v>CLARK, NV</v>
          </cell>
        </row>
        <row r="1743">
          <cell r="A1743">
            <v>32005</v>
          </cell>
          <cell r="B1743" t="str">
            <v>DOUGLAS, NV</v>
          </cell>
        </row>
        <row r="1744">
          <cell r="A1744">
            <v>32007</v>
          </cell>
          <cell r="B1744" t="str">
            <v>ELKO, NV</v>
          </cell>
        </row>
        <row r="1745">
          <cell r="A1745">
            <v>32009</v>
          </cell>
          <cell r="B1745" t="str">
            <v>ESMERALDA, NV</v>
          </cell>
        </row>
        <row r="1746">
          <cell r="A1746">
            <v>32011</v>
          </cell>
          <cell r="B1746" t="str">
            <v>EUREKA, NV</v>
          </cell>
        </row>
        <row r="1747">
          <cell r="A1747">
            <v>32013</v>
          </cell>
          <cell r="B1747" t="str">
            <v>HUMBOLDT, NV</v>
          </cell>
        </row>
        <row r="1748">
          <cell r="A1748">
            <v>32015</v>
          </cell>
          <cell r="B1748" t="str">
            <v>LANDER, NV</v>
          </cell>
        </row>
        <row r="1749">
          <cell r="A1749">
            <v>32017</v>
          </cell>
          <cell r="B1749" t="str">
            <v>LINCOLN, NV</v>
          </cell>
        </row>
        <row r="1750">
          <cell r="A1750">
            <v>32019</v>
          </cell>
          <cell r="B1750" t="str">
            <v>LYON, NV</v>
          </cell>
        </row>
        <row r="1751">
          <cell r="A1751">
            <v>32021</v>
          </cell>
          <cell r="B1751" t="str">
            <v>MINERAL, NV</v>
          </cell>
        </row>
        <row r="1752">
          <cell r="A1752">
            <v>32023</v>
          </cell>
          <cell r="B1752" t="str">
            <v>NYE, NV</v>
          </cell>
        </row>
        <row r="1753">
          <cell r="A1753">
            <v>32027</v>
          </cell>
          <cell r="B1753" t="str">
            <v>PERSHING, NV</v>
          </cell>
        </row>
        <row r="1754">
          <cell r="A1754">
            <v>32029</v>
          </cell>
          <cell r="B1754" t="str">
            <v>STOREY, NV</v>
          </cell>
        </row>
        <row r="1755">
          <cell r="A1755">
            <v>32031</v>
          </cell>
          <cell r="B1755" t="str">
            <v>WASHOE, NV</v>
          </cell>
        </row>
        <row r="1756">
          <cell r="A1756">
            <v>32033</v>
          </cell>
          <cell r="B1756" t="str">
            <v>WHITE PINE, NV</v>
          </cell>
        </row>
        <row r="1757">
          <cell r="A1757">
            <v>32510</v>
          </cell>
          <cell r="B1757" t="str">
            <v>CARSON CITY CITY, NV</v>
          </cell>
        </row>
        <row r="1758">
          <cell r="A1758">
            <v>33001</v>
          </cell>
          <cell r="B1758" t="str">
            <v>BELKNAP, NH</v>
          </cell>
        </row>
        <row r="1759">
          <cell r="A1759">
            <v>33003</v>
          </cell>
          <cell r="B1759" t="str">
            <v>CARROLL, NH</v>
          </cell>
        </row>
        <row r="1760">
          <cell r="A1760">
            <v>33005</v>
          </cell>
          <cell r="B1760" t="str">
            <v>CHESHIRE, NH</v>
          </cell>
        </row>
        <row r="1761">
          <cell r="A1761">
            <v>33007</v>
          </cell>
          <cell r="B1761" t="str">
            <v>COOS, NH</v>
          </cell>
        </row>
        <row r="1762">
          <cell r="A1762">
            <v>33009</v>
          </cell>
          <cell r="B1762" t="str">
            <v>GRAFTON, NH</v>
          </cell>
        </row>
        <row r="1763">
          <cell r="A1763">
            <v>33011</v>
          </cell>
          <cell r="B1763" t="str">
            <v>HILLSBOROUGH, NH</v>
          </cell>
        </row>
        <row r="1764">
          <cell r="A1764">
            <v>33013</v>
          </cell>
          <cell r="B1764" t="str">
            <v>MERRIMACK, NH</v>
          </cell>
        </row>
        <row r="1765">
          <cell r="A1765">
            <v>33015</v>
          </cell>
          <cell r="B1765" t="str">
            <v>ROCKINGHAM, NH</v>
          </cell>
        </row>
        <row r="1766">
          <cell r="A1766">
            <v>33017</v>
          </cell>
          <cell r="B1766" t="str">
            <v>STRAFFORD, NH</v>
          </cell>
        </row>
        <row r="1767">
          <cell r="A1767">
            <v>33019</v>
          </cell>
          <cell r="B1767" t="str">
            <v>SULLIVAN, NH</v>
          </cell>
        </row>
        <row r="1768">
          <cell r="A1768">
            <v>34001</v>
          </cell>
          <cell r="B1768" t="str">
            <v>ATLANTIC, NJ</v>
          </cell>
        </row>
        <row r="1769">
          <cell r="A1769">
            <v>34003</v>
          </cell>
          <cell r="B1769" t="str">
            <v>BERGEN, NJ</v>
          </cell>
        </row>
        <row r="1770">
          <cell r="A1770">
            <v>34005</v>
          </cell>
          <cell r="B1770" t="str">
            <v>BURLINGTON, NJ</v>
          </cell>
        </row>
        <row r="1771">
          <cell r="A1771">
            <v>34007</v>
          </cell>
          <cell r="B1771" t="str">
            <v>CAMDEN, NJ</v>
          </cell>
        </row>
        <row r="1772">
          <cell r="A1772">
            <v>34009</v>
          </cell>
          <cell r="B1772" t="str">
            <v>CAPE MAY, NJ</v>
          </cell>
        </row>
        <row r="1773">
          <cell r="A1773">
            <v>34011</v>
          </cell>
          <cell r="B1773" t="str">
            <v>CUMBERLAND, NJ</v>
          </cell>
        </row>
        <row r="1774">
          <cell r="A1774">
            <v>34013</v>
          </cell>
          <cell r="B1774" t="str">
            <v>ESSEX, NJ</v>
          </cell>
        </row>
        <row r="1775">
          <cell r="A1775">
            <v>34015</v>
          </cell>
          <cell r="B1775" t="str">
            <v>GLOUCESTER, NJ</v>
          </cell>
        </row>
        <row r="1776">
          <cell r="A1776">
            <v>34017</v>
          </cell>
          <cell r="B1776" t="str">
            <v>HUDSON, NJ</v>
          </cell>
        </row>
        <row r="1777">
          <cell r="A1777">
            <v>34019</v>
          </cell>
          <cell r="B1777" t="str">
            <v>HUNTERDON, NJ</v>
          </cell>
        </row>
        <row r="1778">
          <cell r="A1778">
            <v>34021</v>
          </cell>
          <cell r="B1778" t="str">
            <v>MERCER, NJ</v>
          </cell>
        </row>
        <row r="1779">
          <cell r="A1779">
            <v>34023</v>
          </cell>
          <cell r="B1779" t="str">
            <v>MIDDLESEX, NJ</v>
          </cell>
        </row>
        <row r="1780">
          <cell r="A1780">
            <v>34025</v>
          </cell>
          <cell r="B1780" t="str">
            <v>MONMOUTH, NJ</v>
          </cell>
        </row>
        <row r="1781">
          <cell r="A1781">
            <v>34027</v>
          </cell>
          <cell r="B1781" t="str">
            <v>MORRIS, NJ</v>
          </cell>
        </row>
        <row r="1782">
          <cell r="A1782">
            <v>34029</v>
          </cell>
          <cell r="B1782" t="str">
            <v>OCEAN, NJ</v>
          </cell>
        </row>
        <row r="1783">
          <cell r="A1783">
            <v>34031</v>
          </cell>
          <cell r="B1783" t="str">
            <v>PASSAIC, NJ</v>
          </cell>
        </row>
        <row r="1784">
          <cell r="A1784">
            <v>34033</v>
          </cell>
          <cell r="B1784" t="str">
            <v>SALEM, NJ</v>
          </cell>
        </row>
        <row r="1785">
          <cell r="A1785">
            <v>34035</v>
          </cell>
          <cell r="B1785" t="str">
            <v>SOMERSET, NJ</v>
          </cell>
        </row>
        <row r="1786">
          <cell r="A1786">
            <v>34037</v>
          </cell>
          <cell r="B1786" t="str">
            <v>SUSSEX, NJ</v>
          </cell>
        </row>
        <row r="1787">
          <cell r="A1787">
            <v>34039</v>
          </cell>
          <cell r="B1787" t="str">
            <v>UNION, NJ</v>
          </cell>
        </row>
        <row r="1788">
          <cell r="A1788">
            <v>34041</v>
          </cell>
          <cell r="B1788" t="str">
            <v>WARREN, NJ</v>
          </cell>
        </row>
        <row r="1789">
          <cell r="A1789">
            <v>35001</v>
          </cell>
          <cell r="B1789" t="str">
            <v>BERNALILLO, NM</v>
          </cell>
        </row>
        <row r="1790">
          <cell r="A1790">
            <v>35003</v>
          </cell>
          <cell r="B1790" t="str">
            <v>CATRON, NM</v>
          </cell>
        </row>
        <row r="1791">
          <cell r="A1791">
            <v>35005</v>
          </cell>
          <cell r="B1791" t="str">
            <v>CHAVES, NM</v>
          </cell>
        </row>
        <row r="1792">
          <cell r="A1792">
            <v>35007</v>
          </cell>
          <cell r="B1792" t="str">
            <v>COLFAX, NM</v>
          </cell>
        </row>
        <row r="1793">
          <cell r="A1793">
            <v>35009</v>
          </cell>
          <cell r="B1793" t="str">
            <v>CURRY, NM</v>
          </cell>
        </row>
        <row r="1794">
          <cell r="A1794">
            <v>35011</v>
          </cell>
          <cell r="B1794" t="str">
            <v>DE BACA, NM</v>
          </cell>
        </row>
        <row r="1795">
          <cell r="A1795">
            <v>35013</v>
          </cell>
          <cell r="B1795" t="str">
            <v>DONA ANA, NM</v>
          </cell>
        </row>
        <row r="1796">
          <cell r="A1796">
            <v>35015</v>
          </cell>
          <cell r="B1796" t="str">
            <v>EDDY, NM</v>
          </cell>
        </row>
        <row r="1797">
          <cell r="A1797">
            <v>35017</v>
          </cell>
          <cell r="B1797" t="str">
            <v>GRANT, NM</v>
          </cell>
        </row>
        <row r="1798">
          <cell r="A1798">
            <v>35019</v>
          </cell>
          <cell r="B1798" t="str">
            <v>GUADALUPE, NM</v>
          </cell>
        </row>
        <row r="1799">
          <cell r="A1799">
            <v>35021</v>
          </cell>
          <cell r="B1799" t="str">
            <v>HARDING, NM</v>
          </cell>
        </row>
        <row r="1800">
          <cell r="A1800">
            <v>35023</v>
          </cell>
          <cell r="B1800" t="str">
            <v>HIDALGO, NM</v>
          </cell>
        </row>
        <row r="1801">
          <cell r="A1801">
            <v>35025</v>
          </cell>
          <cell r="B1801" t="str">
            <v>LEA, NM</v>
          </cell>
        </row>
        <row r="1802">
          <cell r="A1802">
            <v>35027</v>
          </cell>
          <cell r="B1802" t="str">
            <v>LINCOLN, NM</v>
          </cell>
        </row>
        <row r="1803">
          <cell r="A1803">
            <v>35028</v>
          </cell>
          <cell r="B1803" t="str">
            <v>LOS ALAMOS, NM</v>
          </cell>
        </row>
        <row r="1804">
          <cell r="A1804">
            <v>35029</v>
          </cell>
          <cell r="B1804" t="str">
            <v>LUNA, NM</v>
          </cell>
        </row>
        <row r="1805">
          <cell r="A1805">
            <v>35031</v>
          </cell>
          <cell r="B1805" t="str">
            <v>MCKINLEY, NM</v>
          </cell>
        </row>
        <row r="1806">
          <cell r="A1806">
            <v>35033</v>
          </cell>
          <cell r="B1806" t="str">
            <v>MORA, NM</v>
          </cell>
        </row>
        <row r="1807">
          <cell r="A1807">
            <v>35035</v>
          </cell>
          <cell r="B1807" t="str">
            <v>OTERO, NM</v>
          </cell>
        </row>
        <row r="1808">
          <cell r="A1808">
            <v>35037</v>
          </cell>
          <cell r="B1808" t="str">
            <v>QUAY, NM</v>
          </cell>
        </row>
        <row r="1809">
          <cell r="A1809">
            <v>35039</v>
          </cell>
          <cell r="B1809" t="str">
            <v>RIO ARRIBA, NM</v>
          </cell>
        </row>
        <row r="1810">
          <cell r="A1810">
            <v>35041</v>
          </cell>
          <cell r="B1810" t="str">
            <v>ROOSEVELT, NM</v>
          </cell>
        </row>
        <row r="1811">
          <cell r="A1811">
            <v>35043</v>
          </cell>
          <cell r="B1811" t="str">
            <v>SANDOVAL, NM</v>
          </cell>
        </row>
        <row r="1812">
          <cell r="A1812">
            <v>35045</v>
          </cell>
          <cell r="B1812" t="str">
            <v>SAN JUAN, NM</v>
          </cell>
        </row>
        <row r="1813">
          <cell r="A1813">
            <v>35047</v>
          </cell>
          <cell r="B1813" t="str">
            <v>SAN MIGUEL, NM</v>
          </cell>
        </row>
        <row r="1814">
          <cell r="A1814">
            <v>35049</v>
          </cell>
          <cell r="B1814" t="str">
            <v>SANTA FE, NM</v>
          </cell>
        </row>
        <row r="1815">
          <cell r="A1815">
            <v>35051</v>
          </cell>
          <cell r="B1815" t="str">
            <v>SIERRA, NM</v>
          </cell>
        </row>
        <row r="1816">
          <cell r="A1816">
            <v>35053</v>
          </cell>
          <cell r="B1816" t="str">
            <v>SOCORRO, NM</v>
          </cell>
        </row>
        <row r="1817">
          <cell r="A1817">
            <v>35055</v>
          </cell>
          <cell r="B1817" t="str">
            <v>TAOS, NM</v>
          </cell>
        </row>
        <row r="1818">
          <cell r="A1818">
            <v>35057</v>
          </cell>
          <cell r="B1818" t="str">
            <v>TORRANCE, NM</v>
          </cell>
        </row>
        <row r="1819">
          <cell r="A1819">
            <v>35059</v>
          </cell>
          <cell r="B1819" t="str">
            <v>UNION, NM</v>
          </cell>
        </row>
        <row r="1820">
          <cell r="A1820">
            <v>35061</v>
          </cell>
          <cell r="B1820" t="str">
            <v>VALENCIA, NM</v>
          </cell>
        </row>
        <row r="1821">
          <cell r="A1821">
            <v>36001</v>
          </cell>
          <cell r="B1821" t="str">
            <v>ALBANY, NY</v>
          </cell>
        </row>
        <row r="1822">
          <cell r="A1822">
            <v>36003</v>
          </cell>
          <cell r="B1822" t="str">
            <v>ALLEGANY, NY</v>
          </cell>
        </row>
        <row r="1823">
          <cell r="A1823">
            <v>36005</v>
          </cell>
          <cell r="B1823" t="str">
            <v>BRONX, NY</v>
          </cell>
        </row>
        <row r="1824">
          <cell r="A1824">
            <v>36007</v>
          </cell>
          <cell r="B1824" t="str">
            <v>BROOME, NY</v>
          </cell>
        </row>
        <row r="1825">
          <cell r="A1825">
            <v>36009</v>
          </cell>
          <cell r="B1825" t="str">
            <v>CATTARAUGUS, NY</v>
          </cell>
        </row>
        <row r="1826">
          <cell r="A1826">
            <v>36011</v>
          </cell>
          <cell r="B1826" t="str">
            <v>CAYUGA, NY</v>
          </cell>
        </row>
        <row r="1827">
          <cell r="A1827">
            <v>36013</v>
          </cell>
          <cell r="B1827" t="str">
            <v>CHAUTAUQUA, NY</v>
          </cell>
        </row>
        <row r="1828">
          <cell r="A1828">
            <v>36015</v>
          </cell>
          <cell r="B1828" t="str">
            <v>CHEMUNG, NY</v>
          </cell>
        </row>
        <row r="1829">
          <cell r="A1829">
            <v>36017</v>
          </cell>
          <cell r="B1829" t="str">
            <v>CHENANGO, NY</v>
          </cell>
        </row>
        <row r="1830">
          <cell r="A1830">
            <v>36019</v>
          </cell>
          <cell r="B1830" t="str">
            <v>CLINTON, NY</v>
          </cell>
        </row>
        <row r="1831">
          <cell r="A1831">
            <v>36021</v>
          </cell>
          <cell r="B1831" t="str">
            <v>COLUMBIA, NY</v>
          </cell>
        </row>
        <row r="1832">
          <cell r="A1832">
            <v>36023</v>
          </cell>
          <cell r="B1832" t="str">
            <v>CORTLAND, NY</v>
          </cell>
        </row>
        <row r="1833">
          <cell r="A1833">
            <v>36025</v>
          </cell>
          <cell r="B1833" t="str">
            <v>DELAWARE, NY</v>
          </cell>
        </row>
        <row r="1834">
          <cell r="A1834">
            <v>36027</v>
          </cell>
          <cell r="B1834" t="str">
            <v>DUTCHESS, NY</v>
          </cell>
        </row>
        <row r="1835">
          <cell r="A1835">
            <v>36029</v>
          </cell>
          <cell r="B1835" t="str">
            <v>ERIE, NY</v>
          </cell>
        </row>
        <row r="1836">
          <cell r="A1836">
            <v>36031</v>
          </cell>
          <cell r="B1836" t="str">
            <v>ESSEX, NY</v>
          </cell>
        </row>
        <row r="1837">
          <cell r="A1837">
            <v>36033</v>
          </cell>
          <cell r="B1837" t="str">
            <v>FRANKLIN, NY</v>
          </cell>
        </row>
        <row r="1838">
          <cell r="A1838">
            <v>36035</v>
          </cell>
          <cell r="B1838" t="str">
            <v>FULTON, NY</v>
          </cell>
        </row>
        <row r="1839">
          <cell r="A1839">
            <v>36037</v>
          </cell>
          <cell r="B1839" t="str">
            <v>GENESEE, NY</v>
          </cell>
        </row>
        <row r="1840">
          <cell r="A1840">
            <v>36039</v>
          </cell>
          <cell r="B1840" t="str">
            <v>GREENE, NY</v>
          </cell>
        </row>
        <row r="1841">
          <cell r="A1841">
            <v>36041</v>
          </cell>
          <cell r="B1841" t="str">
            <v>HAMILTON, NY</v>
          </cell>
        </row>
        <row r="1842">
          <cell r="A1842">
            <v>36043</v>
          </cell>
          <cell r="B1842" t="str">
            <v>HERKIMER, NY</v>
          </cell>
        </row>
        <row r="1843">
          <cell r="A1843">
            <v>36045</v>
          </cell>
          <cell r="B1843" t="str">
            <v>JEFFERSON, NY</v>
          </cell>
        </row>
        <row r="1844">
          <cell r="A1844">
            <v>36047</v>
          </cell>
          <cell r="B1844" t="str">
            <v>KINGS, NY</v>
          </cell>
        </row>
        <row r="1845">
          <cell r="A1845">
            <v>36049</v>
          </cell>
          <cell r="B1845" t="str">
            <v>LEWIS, NY</v>
          </cell>
        </row>
        <row r="1846">
          <cell r="A1846">
            <v>36051</v>
          </cell>
          <cell r="B1846" t="str">
            <v>LIVINGSTON, NY</v>
          </cell>
        </row>
        <row r="1847">
          <cell r="A1847">
            <v>36053</v>
          </cell>
          <cell r="B1847" t="str">
            <v>MADISON, NY</v>
          </cell>
        </row>
        <row r="1848">
          <cell r="A1848">
            <v>36055</v>
          </cell>
          <cell r="B1848" t="str">
            <v>MONROE, NY</v>
          </cell>
        </row>
        <row r="1849">
          <cell r="A1849">
            <v>36057</v>
          </cell>
          <cell r="B1849" t="str">
            <v>MONTGOMERY, NY</v>
          </cell>
        </row>
        <row r="1850">
          <cell r="A1850">
            <v>36059</v>
          </cell>
          <cell r="B1850" t="str">
            <v>NASSAU, NY</v>
          </cell>
        </row>
        <row r="1851">
          <cell r="A1851">
            <v>36061</v>
          </cell>
          <cell r="B1851" t="str">
            <v>NEW YORK, NY</v>
          </cell>
        </row>
        <row r="1852">
          <cell r="A1852">
            <v>36063</v>
          </cell>
          <cell r="B1852" t="str">
            <v>NIAGARA, NY</v>
          </cell>
        </row>
        <row r="1853">
          <cell r="A1853">
            <v>36065</v>
          </cell>
          <cell r="B1853" t="str">
            <v>ONEIDA, NY</v>
          </cell>
        </row>
        <row r="1854">
          <cell r="A1854">
            <v>36067</v>
          </cell>
          <cell r="B1854" t="str">
            <v>ONONDAGA, NY</v>
          </cell>
        </row>
        <row r="1855">
          <cell r="A1855">
            <v>36069</v>
          </cell>
          <cell r="B1855" t="str">
            <v>ONTARIO, NY</v>
          </cell>
        </row>
        <row r="1856">
          <cell r="A1856">
            <v>36071</v>
          </cell>
          <cell r="B1856" t="str">
            <v>ORANGE, NY</v>
          </cell>
        </row>
        <row r="1857">
          <cell r="A1857">
            <v>36073</v>
          </cell>
          <cell r="B1857" t="str">
            <v>ORLEANS, NY</v>
          </cell>
        </row>
        <row r="1858">
          <cell r="A1858">
            <v>36075</v>
          </cell>
          <cell r="B1858" t="str">
            <v>OSWEGO, NY</v>
          </cell>
        </row>
        <row r="1859">
          <cell r="A1859">
            <v>36077</v>
          </cell>
          <cell r="B1859" t="str">
            <v>OTSEGO, NY</v>
          </cell>
        </row>
        <row r="1860">
          <cell r="A1860">
            <v>36079</v>
          </cell>
          <cell r="B1860" t="str">
            <v>PUTNAM, NY</v>
          </cell>
        </row>
        <row r="1861">
          <cell r="A1861">
            <v>36081</v>
          </cell>
          <cell r="B1861" t="str">
            <v>QUEENS, NY</v>
          </cell>
        </row>
        <row r="1862">
          <cell r="A1862">
            <v>36083</v>
          </cell>
          <cell r="B1862" t="str">
            <v>RENSSELAER, NY</v>
          </cell>
        </row>
        <row r="1863">
          <cell r="A1863">
            <v>36085</v>
          </cell>
          <cell r="B1863" t="str">
            <v>RICHMOND, NY</v>
          </cell>
        </row>
        <row r="1864">
          <cell r="A1864">
            <v>36087</v>
          </cell>
          <cell r="B1864" t="str">
            <v>ROCKLAND, NY</v>
          </cell>
        </row>
        <row r="1865">
          <cell r="A1865">
            <v>36089</v>
          </cell>
          <cell r="B1865" t="str">
            <v>ST LAWRENCE, NY</v>
          </cell>
        </row>
        <row r="1866">
          <cell r="A1866">
            <v>36091</v>
          </cell>
          <cell r="B1866" t="str">
            <v>SARATOGA, NY</v>
          </cell>
        </row>
        <row r="1867">
          <cell r="A1867">
            <v>36093</v>
          </cell>
          <cell r="B1867" t="str">
            <v>SCHENECTADY, NY</v>
          </cell>
        </row>
        <row r="1868">
          <cell r="A1868">
            <v>36095</v>
          </cell>
          <cell r="B1868" t="str">
            <v>SCHOHARIE, NY</v>
          </cell>
        </row>
        <row r="1869">
          <cell r="A1869">
            <v>36097</v>
          </cell>
          <cell r="B1869" t="str">
            <v>SCHUYLER, NY</v>
          </cell>
        </row>
        <row r="1870">
          <cell r="A1870">
            <v>36099</v>
          </cell>
          <cell r="B1870" t="str">
            <v>SENECA, NY</v>
          </cell>
        </row>
        <row r="1871">
          <cell r="A1871">
            <v>36101</v>
          </cell>
          <cell r="B1871" t="str">
            <v>STEUBEN, NY</v>
          </cell>
        </row>
        <row r="1872">
          <cell r="A1872">
            <v>36103</v>
          </cell>
          <cell r="B1872" t="str">
            <v>SUFFOLK, NY</v>
          </cell>
        </row>
        <row r="1873">
          <cell r="A1873">
            <v>36105</v>
          </cell>
          <cell r="B1873" t="str">
            <v>SULLIVAN, NY</v>
          </cell>
        </row>
        <row r="1874">
          <cell r="A1874">
            <v>36107</v>
          </cell>
          <cell r="B1874" t="str">
            <v>TIOGA, NY</v>
          </cell>
        </row>
        <row r="1875">
          <cell r="A1875">
            <v>36109</v>
          </cell>
          <cell r="B1875" t="str">
            <v>TOMPKINS, NY</v>
          </cell>
        </row>
        <row r="1876">
          <cell r="A1876">
            <v>36111</v>
          </cell>
          <cell r="B1876" t="str">
            <v>ULSTER, NY</v>
          </cell>
        </row>
        <row r="1877">
          <cell r="A1877">
            <v>36113</v>
          </cell>
          <cell r="B1877" t="str">
            <v>WARREN, NY</v>
          </cell>
        </row>
        <row r="1878">
          <cell r="A1878">
            <v>36115</v>
          </cell>
          <cell r="B1878" t="str">
            <v>WASHINGTON, NY</v>
          </cell>
        </row>
        <row r="1879">
          <cell r="A1879">
            <v>36117</v>
          </cell>
          <cell r="B1879" t="str">
            <v>WAYNE, NY</v>
          </cell>
        </row>
        <row r="1880">
          <cell r="A1880">
            <v>36119</v>
          </cell>
          <cell r="B1880" t="str">
            <v>WESTCHESTER, NY</v>
          </cell>
        </row>
        <row r="1881">
          <cell r="A1881">
            <v>36121</v>
          </cell>
          <cell r="B1881" t="str">
            <v>WYOMING, NY</v>
          </cell>
        </row>
        <row r="1882">
          <cell r="A1882">
            <v>36123</v>
          </cell>
          <cell r="B1882" t="str">
            <v>YATES, NY</v>
          </cell>
        </row>
        <row r="1883">
          <cell r="A1883">
            <v>37001</v>
          </cell>
          <cell r="B1883" t="str">
            <v>ALAMANCE, NC</v>
          </cell>
        </row>
        <row r="1884">
          <cell r="A1884">
            <v>37003</v>
          </cell>
          <cell r="B1884" t="str">
            <v>ALEXANDER, NC</v>
          </cell>
        </row>
        <row r="1885">
          <cell r="A1885">
            <v>37005</v>
          </cell>
          <cell r="B1885" t="str">
            <v>ALLEGHANY, NC</v>
          </cell>
        </row>
        <row r="1886">
          <cell r="A1886">
            <v>37007</v>
          </cell>
          <cell r="B1886" t="str">
            <v>ANSON, NC</v>
          </cell>
        </row>
        <row r="1887">
          <cell r="A1887">
            <v>37009</v>
          </cell>
          <cell r="B1887" t="str">
            <v>ASHE, NC</v>
          </cell>
        </row>
        <row r="1888">
          <cell r="A1888">
            <v>37011</v>
          </cell>
          <cell r="B1888" t="str">
            <v>AVERY, NC</v>
          </cell>
        </row>
        <row r="1889">
          <cell r="A1889">
            <v>37013</v>
          </cell>
          <cell r="B1889" t="str">
            <v>BEAUFORT, NC</v>
          </cell>
        </row>
        <row r="1890">
          <cell r="A1890">
            <v>37015</v>
          </cell>
          <cell r="B1890" t="str">
            <v>BERTIE, NC</v>
          </cell>
        </row>
        <row r="1891">
          <cell r="A1891">
            <v>37017</v>
          </cell>
          <cell r="B1891" t="str">
            <v>BLADEN, NC</v>
          </cell>
        </row>
        <row r="1892">
          <cell r="A1892">
            <v>37019</v>
          </cell>
          <cell r="B1892" t="str">
            <v>BRUNSWICK, NC</v>
          </cell>
        </row>
        <row r="1893">
          <cell r="A1893">
            <v>37021</v>
          </cell>
          <cell r="B1893" t="str">
            <v>BUNCOMBE, NC</v>
          </cell>
        </row>
        <row r="1894">
          <cell r="A1894">
            <v>37023</v>
          </cell>
          <cell r="B1894" t="str">
            <v>BURKE, NC</v>
          </cell>
        </row>
        <row r="1895">
          <cell r="A1895">
            <v>37025</v>
          </cell>
          <cell r="B1895" t="str">
            <v>CABARRUS, NC</v>
          </cell>
        </row>
        <row r="1896">
          <cell r="A1896">
            <v>37027</v>
          </cell>
          <cell r="B1896" t="str">
            <v>CALDWELL, NC</v>
          </cell>
        </row>
        <row r="1897">
          <cell r="A1897">
            <v>37029</v>
          </cell>
          <cell r="B1897" t="str">
            <v>CAMDEN, NC</v>
          </cell>
        </row>
        <row r="1898">
          <cell r="A1898">
            <v>37031</v>
          </cell>
          <cell r="B1898" t="str">
            <v>CARTERET, NC</v>
          </cell>
        </row>
        <row r="1899">
          <cell r="A1899">
            <v>37033</v>
          </cell>
          <cell r="B1899" t="str">
            <v>CASWELL, NC</v>
          </cell>
        </row>
        <row r="1900">
          <cell r="A1900">
            <v>37035</v>
          </cell>
          <cell r="B1900" t="str">
            <v>CATAWBA, NC</v>
          </cell>
        </row>
        <row r="1901">
          <cell r="A1901">
            <v>37037</v>
          </cell>
          <cell r="B1901" t="str">
            <v>CHATHAM, NC</v>
          </cell>
        </row>
        <row r="1902">
          <cell r="A1902">
            <v>37039</v>
          </cell>
          <cell r="B1902" t="str">
            <v>CHEROKEE, NC</v>
          </cell>
        </row>
        <row r="1903">
          <cell r="A1903">
            <v>37041</v>
          </cell>
          <cell r="B1903" t="str">
            <v>CHOWAN, NC</v>
          </cell>
        </row>
        <row r="1904">
          <cell r="A1904">
            <v>37043</v>
          </cell>
          <cell r="B1904" t="str">
            <v>CLAY, NC</v>
          </cell>
        </row>
        <row r="1905">
          <cell r="A1905">
            <v>37045</v>
          </cell>
          <cell r="B1905" t="str">
            <v>CLEVELAND, NC</v>
          </cell>
        </row>
        <row r="1906">
          <cell r="A1906">
            <v>37047</v>
          </cell>
          <cell r="B1906" t="str">
            <v>COLUMBUS, NC</v>
          </cell>
        </row>
        <row r="1907">
          <cell r="A1907">
            <v>37049</v>
          </cell>
          <cell r="B1907" t="str">
            <v>CRAVEN, NC</v>
          </cell>
        </row>
        <row r="1908">
          <cell r="A1908">
            <v>37051</v>
          </cell>
          <cell r="B1908" t="str">
            <v>CUMBERLAND, NC</v>
          </cell>
        </row>
        <row r="1909">
          <cell r="A1909">
            <v>37053</v>
          </cell>
          <cell r="B1909" t="str">
            <v>CURRITUCK, NC</v>
          </cell>
        </row>
        <row r="1910">
          <cell r="A1910">
            <v>37055</v>
          </cell>
          <cell r="B1910" t="str">
            <v>DARE, NC</v>
          </cell>
        </row>
        <row r="1911">
          <cell r="A1911">
            <v>37057</v>
          </cell>
          <cell r="B1911" t="str">
            <v>DAVIDSON, NC</v>
          </cell>
        </row>
        <row r="1912">
          <cell r="A1912">
            <v>37059</v>
          </cell>
          <cell r="B1912" t="str">
            <v>DAVIE, NC</v>
          </cell>
        </row>
        <row r="1913">
          <cell r="A1913">
            <v>37061</v>
          </cell>
          <cell r="B1913" t="str">
            <v>DUPLIN, NC</v>
          </cell>
        </row>
        <row r="1914">
          <cell r="A1914">
            <v>37063</v>
          </cell>
          <cell r="B1914" t="str">
            <v>DURHAM, NC</v>
          </cell>
        </row>
        <row r="1915">
          <cell r="A1915">
            <v>37065</v>
          </cell>
          <cell r="B1915" t="str">
            <v>EDGECOMBE, NC</v>
          </cell>
        </row>
        <row r="1916">
          <cell r="A1916">
            <v>37067</v>
          </cell>
          <cell r="B1916" t="str">
            <v>FORSYTH, NC</v>
          </cell>
        </row>
        <row r="1917">
          <cell r="A1917">
            <v>37069</v>
          </cell>
          <cell r="B1917" t="str">
            <v>FRANKLIN, NC</v>
          </cell>
        </row>
        <row r="1918">
          <cell r="A1918">
            <v>37071</v>
          </cell>
          <cell r="B1918" t="str">
            <v>GASTON, NC</v>
          </cell>
        </row>
        <row r="1919">
          <cell r="A1919">
            <v>37073</v>
          </cell>
          <cell r="B1919" t="str">
            <v>GATES, NC</v>
          </cell>
        </row>
        <row r="1920">
          <cell r="A1920">
            <v>37075</v>
          </cell>
          <cell r="B1920" t="str">
            <v>GRAHAM, NC</v>
          </cell>
        </row>
        <row r="1921">
          <cell r="A1921">
            <v>37077</v>
          </cell>
          <cell r="B1921" t="str">
            <v>GRANVILLE, NC</v>
          </cell>
        </row>
        <row r="1922">
          <cell r="A1922">
            <v>37079</v>
          </cell>
          <cell r="B1922" t="str">
            <v>GREENE, NC</v>
          </cell>
        </row>
        <row r="1923">
          <cell r="A1923">
            <v>37081</v>
          </cell>
          <cell r="B1923" t="str">
            <v>GUILFORD, NC</v>
          </cell>
        </row>
        <row r="1924">
          <cell r="A1924">
            <v>37083</v>
          </cell>
          <cell r="B1924" t="str">
            <v>HALIFAX, NC</v>
          </cell>
        </row>
        <row r="1925">
          <cell r="A1925">
            <v>37085</v>
          </cell>
          <cell r="B1925" t="str">
            <v>HARNETT, NC</v>
          </cell>
        </row>
        <row r="1926">
          <cell r="A1926">
            <v>37087</v>
          </cell>
          <cell r="B1926" t="str">
            <v>HAYWOOD, NC</v>
          </cell>
        </row>
        <row r="1927">
          <cell r="A1927">
            <v>37089</v>
          </cell>
          <cell r="B1927" t="str">
            <v>HENDERSON, NC</v>
          </cell>
        </row>
        <row r="1928">
          <cell r="A1928">
            <v>37091</v>
          </cell>
          <cell r="B1928" t="str">
            <v>HERTFORD, NC</v>
          </cell>
        </row>
        <row r="1929">
          <cell r="A1929">
            <v>37093</v>
          </cell>
          <cell r="B1929" t="str">
            <v>HOKE, NC</v>
          </cell>
        </row>
        <row r="1930">
          <cell r="A1930">
            <v>37095</v>
          </cell>
          <cell r="B1930" t="str">
            <v>HYDE, NC</v>
          </cell>
        </row>
        <row r="1931">
          <cell r="A1931">
            <v>37097</v>
          </cell>
          <cell r="B1931" t="str">
            <v>IREDELL, NC</v>
          </cell>
        </row>
        <row r="1932">
          <cell r="A1932">
            <v>37099</v>
          </cell>
          <cell r="B1932" t="str">
            <v>JACKSON, NC</v>
          </cell>
        </row>
        <row r="1933">
          <cell r="A1933">
            <v>37101</v>
          </cell>
          <cell r="B1933" t="str">
            <v>JOHNSTON, NC</v>
          </cell>
        </row>
        <row r="1934">
          <cell r="A1934">
            <v>37103</v>
          </cell>
          <cell r="B1934" t="str">
            <v>JONES, NC</v>
          </cell>
        </row>
        <row r="1935">
          <cell r="A1935">
            <v>37105</v>
          </cell>
          <cell r="B1935" t="str">
            <v>LEE, NC</v>
          </cell>
        </row>
        <row r="1936">
          <cell r="A1936">
            <v>37107</v>
          </cell>
          <cell r="B1936" t="str">
            <v>LENOIR, NC</v>
          </cell>
        </row>
        <row r="1937">
          <cell r="A1937">
            <v>37109</v>
          </cell>
          <cell r="B1937" t="str">
            <v>LINCOLN, NC</v>
          </cell>
        </row>
        <row r="1938">
          <cell r="A1938">
            <v>37111</v>
          </cell>
          <cell r="B1938" t="str">
            <v>MCDOWELL, NC</v>
          </cell>
        </row>
        <row r="1939">
          <cell r="A1939">
            <v>37113</v>
          </cell>
          <cell r="B1939" t="str">
            <v>MACON, NC</v>
          </cell>
        </row>
        <row r="1940">
          <cell r="A1940">
            <v>37115</v>
          </cell>
          <cell r="B1940" t="str">
            <v>MADISON, NC</v>
          </cell>
        </row>
        <row r="1941">
          <cell r="A1941">
            <v>37117</v>
          </cell>
          <cell r="B1941" t="str">
            <v>MARTIN, NC</v>
          </cell>
        </row>
        <row r="1942">
          <cell r="A1942">
            <v>37119</v>
          </cell>
          <cell r="B1942" t="str">
            <v>MECKLENBURG, NC</v>
          </cell>
        </row>
        <row r="1943">
          <cell r="A1943">
            <v>37121</v>
          </cell>
          <cell r="B1943" t="str">
            <v>MITCHELL, NC</v>
          </cell>
        </row>
        <row r="1944">
          <cell r="A1944">
            <v>37123</v>
          </cell>
          <cell r="B1944" t="str">
            <v>MONTGOMERY, NC</v>
          </cell>
        </row>
        <row r="1945">
          <cell r="A1945">
            <v>37125</v>
          </cell>
          <cell r="B1945" t="str">
            <v>MOORE, NC</v>
          </cell>
        </row>
        <row r="1946">
          <cell r="A1946">
            <v>37127</v>
          </cell>
          <cell r="B1946" t="str">
            <v>NASH, NC</v>
          </cell>
        </row>
        <row r="1947">
          <cell r="A1947">
            <v>37129</v>
          </cell>
          <cell r="B1947" t="str">
            <v>NEW HANOVER, NC</v>
          </cell>
        </row>
        <row r="1948">
          <cell r="A1948">
            <v>37131</v>
          </cell>
          <cell r="B1948" t="str">
            <v>NORTHAMPTON, NC</v>
          </cell>
        </row>
        <row r="1949">
          <cell r="A1949">
            <v>37133</v>
          </cell>
          <cell r="B1949" t="str">
            <v>ONSLOW, NC</v>
          </cell>
        </row>
        <row r="1950">
          <cell r="A1950">
            <v>37135</v>
          </cell>
          <cell r="B1950" t="str">
            <v>ORANGE, NC</v>
          </cell>
        </row>
        <row r="1951">
          <cell r="A1951">
            <v>37137</v>
          </cell>
          <cell r="B1951" t="str">
            <v>PAMLICO, NC</v>
          </cell>
        </row>
        <row r="1952">
          <cell r="A1952">
            <v>37139</v>
          </cell>
          <cell r="B1952" t="str">
            <v>PASQUOTANK, NC</v>
          </cell>
        </row>
        <row r="1953">
          <cell r="A1953">
            <v>37141</v>
          </cell>
          <cell r="B1953" t="str">
            <v>PENDER, NC</v>
          </cell>
        </row>
        <row r="1954">
          <cell r="A1954">
            <v>37143</v>
          </cell>
          <cell r="B1954" t="str">
            <v>PERQUIMANS, NC</v>
          </cell>
        </row>
        <row r="1955">
          <cell r="A1955">
            <v>37145</v>
          </cell>
          <cell r="B1955" t="str">
            <v>PERSON, NC</v>
          </cell>
        </row>
        <row r="1956">
          <cell r="A1956">
            <v>37147</v>
          </cell>
          <cell r="B1956" t="str">
            <v>PITT, NC</v>
          </cell>
        </row>
        <row r="1957">
          <cell r="A1957">
            <v>37149</v>
          </cell>
          <cell r="B1957" t="str">
            <v>POLK, NC</v>
          </cell>
        </row>
        <row r="1958">
          <cell r="A1958">
            <v>37151</v>
          </cell>
          <cell r="B1958" t="str">
            <v>RANDOLPH, NC</v>
          </cell>
        </row>
        <row r="1959">
          <cell r="A1959">
            <v>37153</v>
          </cell>
          <cell r="B1959" t="str">
            <v>RICHMOND, NC</v>
          </cell>
        </row>
        <row r="1960">
          <cell r="A1960">
            <v>37155</v>
          </cell>
          <cell r="B1960" t="str">
            <v>ROBESON, NC</v>
          </cell>
        </row>
        <row r="1961">
          <cell r="A1961">
            <v>37157</v>
          </cell>
          <cell r="B1961" t="str">
            <v>ROCKINGHAM, NC</v>
          </cell>
        </row>
        <row r="1962">
          <cell r="A1962">
            <v>37159</v>
          </cell>
          <cell r="B1962" t="str">
            <v>ROWAN, NC</v>
          </cell>
        </row>
        <row r="1963">
          <cell r="A1963">
            <v>37161</v>
          </cell>
          <cell r="B1963" t="str">
            <v>RUTHERFORD, NC</v>
          </cell>
        </row>
        <row r="1964">
          <cell r="A1964">
            <v>37163</v>
          </cell>
          <cell r="B1964" t="str">
            <v>SAMPSON, NC</v>
          </cell>
        </row>
        <row r="1965">
          <cell r="A1965">
            <v>37165</v>
          </cell>
          <cell r="B1965" t="str">
            <v>SCOTLAND, NC</v>
          </cell>
        </row>
        <row r="1966">
          <cell r="A1966">
            <v>37167</v>
          </cell>
          <cell r="B1966" t="str">
            <v>STANLY, NC</v>
          </cell>
        </row>
        <row r="1967">
          <cell r="A1967">
            <v>37169</v>
          </cell>
          <cell r="B1967" t="str">
            <v>STOKES, NC</v>
          </cell>
        </row>
        <row r="1968">
          <cell r="A1968">
            <v>37171</v>
          </cell>
          <cell r="B1968" t="str">
            <v>SURRY, NC</v>
          </cell>
        </row>
        <row r="1969">
          <cell r="A1969">
            <v>37173</v>
          </cell>
          <cell r="B1969" t="str">
            <v>SWAIN, NC</v>
          </cell>
        </row>
        <row r="1970">
          <cell r="A1970">
            <v>37175</v>
          </cell>
          <cell r="B1970" t="str">
            <v>TRANSYLVANIA, NC</v>
          </cell>
        </row>
        <row r="1971">
          <cell r="A1971">
            <v>37177</v>
          </cell>
          <cell r="B1971" t="str">
            <v>TYRRELL, NC</v>
          </cell>
        </row>
        <row r="1972">
          <cell r="A1972">
            <v>37179</v>
          </cell>
          <cell r="B1972" t="str">
            <v>UNION, NC</v>
          </cell>
        </row>
        <row r="1973">
          <cell r="A1973">
            <v>37181</v>
          </cell>
          <cell r="B1973" t="str">
            <v>VANCE, NC</v>
          </cell>
        </row>
        <row r="1974">
          <cell r="A1974">
            <v>37183</v>
          </cell>
          <cell r="B1974" t="str">
            <v>WAKE, NC</v>
          </cell>
        </row>
        <row r="1975">
          <cell r="A1975">
            <v>37185</v>
          </cell>
          <cell r="B1975" t="str">
            <v>WARREN, NC</v>
          </cell>
        </row>
        <row r="1976">
          <cell r="A1976">
            <v>37187</v>
          </cell>
          <cell r="B1976" t="str">
            <v>WASHINGTON, NC</v>
          </cell>
        </row>
        <row r="1977">
          <cell r="A1977">
            <v>37189</v>
          </cell>
          <cell r="B1977" t="str">
            <v>WATAUGA, NC</v>
          </cell>
        </row>
        <row r="1978">
          <cell r="A1978">
            <v>37191</v>
          </cell>
          <cell r="B1978" t="str">
            <v>WAYNE, NC</v>
          </cell>
        </row>
        <row r="1979">
          <cell r="A1979">
            <v>37193</v>
          </cell>
          <cell r="B1979" t="str">
            <v>WILKES, NC</v>
          </cell>
        </row>
        <row r="1980">
          <cell r="A1980">
            <v>37195</v>
          </cell>
          <cell r="B1980" t="str">
            <v>WILSON, NC</v>
          </cell>
        </row>
        <row r="1981">
          <cell r="A1981">
            <v>37197</v>
          </cell>
          <cell r="B1981" t="str">
            <v>YADKIN, NC</v>
          </cell>
        </row>
        <row r="1982">
          <cell r="A1982">
            <v>37199</v>
          </cell>
          <cell r="B1982" t="str">
            <v>YANCEY, NC</v>
          </cell>
        </row>
        <row r="1983">
          <cell r="A1983">
            <v>38001</v>
          </cell>
          <cell r="B1983" t="str">
            <v>ADAMS, ND</v>
          </cell>
        </row>
        <row r="1984">
          <cell r="A1984">
            <v>38003</v>
          </cell>
          <cell r="B1984" t="str">
            <v>BARNES, ND</v>
          </cell>
        </row>
        <row r="1985">
          <cell r="A1985">
            <v>38005</v>
          </cell>
          <cell r="B1985" t="str">
            <v>BENSON, ND</v>
          </cell>
        </row>
        <row r="1986">
          <cell r="A1986">
            <v>38007</v>
          </cell>
          <cell r="B1986" t="str">
            <v>BILLINGS, ND</v>
          </cell>
        </row>
        <row r="1987">
          <cell r="A1987">
            <v>38009</v>
          </cell>
          <cell r="B1987" t="str">
            <v>BOTTINEAU, ND</v>
          </cell>
        </row>
        <row r="1988">
          <cell r="A1988">
            <v>38011</v>
          </cell>
          <cell r="B1988" t="str">
            <v>BOWMAN, ND</v>
          </cell>
        </row>
        <row r="1989">
          <cell r="A1989">
            <v>38013</v>
          </cell>
          <cell r="B1989" t="str">
            <v>BURKE, ND</v>
          </cell>
        </row>
        <row r="1990">
          <cell r="A1990">
            <v>38015</v>
          </cell>
          <cell r="B1990" t="str">
            <v>BURLEIGH, ND</v>
          </cell>
        </row>
        <row r="1991">
          <cell r="A1991">
            <v>38017</v>
          </cell>
          <cell r="B1991" t="str">
            <v>CASS, ND</v>
          </cell>
        </row>
        <row r="1992">
          <cell r="A1992">
            <v>38019</v>
          </cell>
          <cell r="B1992" t="str">
            <v>CAVALIER, ND</v>
          </cell>
        </row>
        <row r="1993">
          <cell r="A1993">
            <v>38021</v>
          </cell>
          <cell r="B1993" t="str">
            <v>DICKEY, ND</v>
          </cell>
        </row>
        <row r="1994">
          <cell r="A1994">
            <v>38023</v>
          </cell>
          <cell r="B1994" t="str">
            <v>DIVIDE, ND</v>
          </cell>
        </row>
        <row r="1995">
          <cell r="A1995">
            <v>38025</v>
          </cell>
          <cell r="B1995" t="str">
            <v>DUNN, ND</v>
          </cell>
        </row>
        <row r="1996">
          <cell r="A1996">
            <v>38027</v>
          </cell>
          <cell r="B1996" t="str">
            <v>EDDY, ND</v>
          </cell>
        </row>
        <row r="1997">
          <cell r="A1997">
            <v>38029</v>
          </cell>
          <cell r="B1997" t="str">
            <v>EMMONS, ND</v>
          </cell>
        </row>
        <row r="1998">
          <cell r="A1998">
            <v>38031</v>
          </cell>
          <cell r="B1998" t="str">
            <v>FOSTER, ND</v>
          </cell>
        </row>
        <row r="1999">
          <cell r="A1999">
            <v>38033</v>
          </cell>
          <cell r="B1999" t="str">
            <v>GOLDEN VALLEY, ND</v>
          </cell>
        </row>
        <row r="2000">
          <cell r="A2000">
            <v>38035</v>
          </cell>
          <cell r="B2000" t="str">
            <v>GRAND FORKS, ND</v>
          </cell>
        </row>
        <row r="2001">
          <cell r="A2001">
            <v>38037</v>
          </cell>
          <cell r="B2001" t="str">
            <v>GRANT, ND</v>
          </cell>
        </row>
        <row r="2002">
          <cell r="A2002">
            <v>38039</v>
          </cell>
          <cell r="B2002" t="str">
            <v>GRIGGS, ND</v>
          </cell>
        </row>
        <row r="2003">
          <cell r="A2003">
            <v>38041</v>
          </cell>
          <cell r="B2003" t="str">
            <v>HETTINGER, ND</v>
          </cell>
        </row>
        <row r="2004">
          <cell r="A2004">
            <v>38043</v>
          </cell>
          <cell r="B2004" t="str">
            <v>KIDDER, ND</v>
          </cell>
        </row>
        <row r="2005">
          <cell r="A2005">
            <v>38045</v>
          </cell>
          <cell r="B2005" t="str">
            <v>LA MOURE, ND</v>
          </cell>
        </row>
        <row r="2006">
          <cell r="A2006">
            <v>38047</v>
          </cell>
          <cell r="B2006" t="str">
            <v>LOGAN, ND</v>
          </cell>
        </row>
        <row r="2007">
          <cell r="A2007">
            <v>38049</v>
          </cell>
          <cell r="B2007" t="str">
            <v>MCHENRY, ND</v>
          </cell>
        </row>
        <row r="2008">
          <cell r="A2008">
            <v>38051</v>
          </cell>
          <cell r="B2008" t="str">
            <v>MCINTOSH, ND</v>
          </cell>
        </row>
        <row r="2009">
          <cell r="A2009">
            <v>38053</v>
          </cell>
          <cell r="B2009" t="str">
            <v>MCKENZIE, ND</v>
          </cell>
        </row>
        <row r="2010">
          <cell r="A2010">
            <v>38055</v>
          </cell>
          <cell r="B2010" t="str">
            <v>MCLEAN, ND</v>
          </cell>
        </row>
        <row r="2011">
          <cell r="A2011">
            <v>38057</v>
          </cell>
          <cell r="B2011" t="str">
            <v>MERCER, ND</v>
          </cell>
        </row>
        <row r="2012">
          <cell r="A2012">
            <v>38059</v>
          </cell>
          <cell r="B2012" t="str">
            <v>MORTON, ND</v>
          </cell>
        </row>
        <row r="2013">
          <cell r="A2013">
            <v>38061</v>
          </cell>
          <cell r="B2013" t="str">
            <v>MOUNTRAIL, ND</v>
          </cell>
        </row>
        <row r="2014">
          <cell r="A2014">
            <v>38063</v>
          </cell>
          <cell r="B2014" t="str">
            <v>NELSON, ND</v>
          </cell>
        </row>
        <row r="2015">
          <cell r="A2015">
            <v>38065</v>
          </cell>
          <cell r="B2015" t="str">
            <v>OLIVER, ND</v>
          </cell>
        </row>
        <row r="2016">
          <cell r="A2016">
            <v>38067</v>
          </cell>
          <cell r="B2016" t="str">
            <v>PEMBINA, ND</v>
          </cell>
        </row>
        <row r="2017">
          <cell r="A2017">
            <v>38069</v>
          </cell>
          <cell r="B2017" t="str">
            <v>PIERCE, ND</v>
          </cell>
        </row>
        <row r="2018">
          <cell r="A2018">
            <v>38071</v>
          </cell>
          <cell r="B2018" t="str">
            <v>RAMSEY, ND</v>
          </cell>
        </row>
        <row r="2019">
          <cell r="A2019">
            <v>38073</v>
          </cell>
          <cell r="B2019" t="str">
            <v>RANSOM, ND</v>
          </cell>
        </row>
        <row r="2020">
          <cell r="A2020">
            <v>38075</v>
          </cell>
          <cell r="B2020" t="str">
            <v>RENVILLE, ND</v>
          </cell>
        </row>
        <row r="2021">
          <cell r="A2021">
            <v>38077</v>
          </cell>
          <cell r="B2021" t="str">
            <v>RICHLAND, ND</v>
          </cell>
        </row>
        <row r="2022">
          <cell r="A2022">
            <v>38079</v>
          </cell>
          <cell r="B2022" t="str">
            <v>ROLETTE, ND</v>
          </cell>
        </row>
        <row r="2023">
          <cell r="A2023">
            <v>38081</v>
          </cell>
          <cell r="B2023" t="str">
            <v>SARGENT, ND</v>
          </cell>
        </row>
        <row r="2024">
          <cell r="A2024">
            <v>38083</v>
          </cell>
          <cell r="B2024" t="str">
            <v>SHERIDAN, ND</v>
          </cell>
        </row>
        <row r="2025">
          <cell r="A2025">
            <v>38085</v>
          </cell>
          <cell r="B2025" t="str">
            <v>SIOUX, ND</v>
          </cell>
        </row>
        <row r="2026">
          <cell r="A2026">
            <v>38087</v>
          </cell>
          <cell r="B2026" t="str">
            <v>SLOPE, ND</v>
          </cell>
        </row>
        <row r="2027">
          <cell r="A2027">
            <v>38089</v>
          </cell>
          <cell r="B2027" t="str">
            <v>STARK, ND</v>
          </cell>
        </row>
        <row r="2028">
          <cell r="A2028">
            <v>38091</v>
          </cell>
          <cell r="B2028" t="str">
            <v>STEELE, ND</v>
          </cell>
        </row>
        <row r="2029">
          <cell r="A2029">
            <v>38093</v>
          </cell>
          <cell r="B2029" t="str">
            <v>STUTSMAN, ND</v>
          </cell>
        </row>
        <row r="2030">
          <cell r="A2030">
            <v>38095</v>
          </cell>
          <cell r="B2030" t="str">
            <v>TOWNER, ND</v>
          </cell>
        </row>
        <row r="2031">
          <cell r="A2031">
            <v>38097</v>
          </cell>
          <cell r="B2031" t="str">
            <v>TRAILL, ND</v>
          </cell>
        </row>
        <row r="2032">
          <cell r="A2032">
            <v>38099</v>
          </cell>
          <cell r="B2032" t="str">
            <v>WALSH, ND</v>
          </cell>
        </row>
        <row r="2033">
          <cell r="A2033">
            <v>38101</v>
          </cell>
          <cell r="B2033" t="str">
            <v>WARD, ND</v>
          </cell>
        </row>
        <row r="2034">
          <cell r="A2034">
            <v>38103</v>
          </cell>
          <cell r="B2034" t="str">
            <v>WELLS, ND</v>
          </cell>
        </row>
        <row r="2035">
          <cell r="A2035">
            <v>38105</v>
          </cell>
          <cell r="B2035" t="str">
            <v>WILLIAMS, ND</v>
          </cell>
        </row>
        <row r="2036">
          <cell r="A2036">
            <v>39001</v>
          </cell>
          <cell r="B2036" t="str">
            <v>ADAMS, OH</v>
          </cell>
        </row>
        <row r="2037">
          <cell r="A2037">
            <v>39003</v>
          </cell>
          <cell r="B2037" t="str">
            <v>ALLEN, OH</v>
          </cell>
        </row>
        <row r="2038">
          <cell r="A2038">
            <v>39005</v>
          </cell>
          <cell r="B2038" t="str">
            <v>ASHLAND, OH</v>
          </cell>
        </row>
        <row r="2039">
          <cell r="A2039">
            <v>39007</v>
          </cell>
          <cell r="B2039" t="str">
            <v>ASHTABULA, OH</v>
          </cell>
        </row>
        <row r="2040">
          <cell r="A2040">
            <v>39009</v>
          </cell>
          <cell r="B2040" t="str">
            <v>ATHENS, OH</v>
          </cell>
        </row>
        <row r="2041">
          <cell r="A2041">
            <v>39011</v>
          </cell>
          <cell r="B2041" t="str">
            <v>AUGLAIZE, OH</v>
          </cell>
        </row>
        <row r="2042">
          <cell r="A2042">
            <v>39013</v>
          </cell>
          <cell r="B2042" t="str">
            <v>BELMONT, OH</v>
          </cell>
        </row>
        <row r="2043">
          <cell r="A2043">
            <v>39015</v>
          </cell>
          <cell r="B2043" t="str">
            <v>BROWN, OH</v>
          </cell>
        </row>
        <row r="2044">
          <cell r="A2044">
            <v>39017</v>
          </cell>
          <cell r="B2044" t="str">
            <v>BUTLER, OH</v>
          </cell>
        </row>
        <row r="2045">
          <cell r="A2045">
            <v>39019</v>
          </cell>
          <cell r="B2045" t="str">
            <v>CARROLL, OH</v>
          </cell>
        </row>
        <row r="2046">
          <cell r="A2046">
            <v>39021</v>
          </cell>
          <cell r="B2046" t="str">
            <v>CHAMPAIGN, OH</v>
          </cell>
        </row>
        <row r="2047">
          <cell r="A2047">
            <v>39023</v>
          </cell>
          <cell r="B2047" t="str">
            <v>CLARK, OH</v>
          </cell>
        </row>
        <row r="2048">
          <cell r="A2048">
            <v>39025</v>
          </cell>
          <cell r="B2048" t="str">
            <v>CLERMONT, OH</v>
          </cell>
        </row>
        <row r="2049">
          <cell r="A2049">
            <v>39027</v>
          </cell>
          <cell r="B2049" t="str">
            <v>CLINTON, OH</v>
          </cell>
        </row>
        <row r="2050">
          <cell r="A2050">
            <v>39029</v>
          </cell>
          <cell r="B2050" t="str">
            <v>COLUMBIANA, OH</v>
          </cell>
        </row>
        <row r="2051">
          <cell r="A2051">
            <v>39031</v>
          </cell>
          <cell r="B2051" t="str">
            <v>COSHOCTON, OH</v>
          </cell>
        </row>
        <row r="2052">
          <cell r="A2052">
            <v>39033</v>
          </cell>
          <cell r="B2052" t="str">
            <v>CRAWFORD, OH</v>
          </cell>
        </row>
        <row r="2053">
          <cell r="A2053">
            <v>39035</v>
          </cell>
          <cell r="B2053" t="str">
            <v>CUYAHOGA, OH</v>
          </cell>
        </row>
        <row r="2054">
          <cell r="A2054">
            <v>39037</v>
          </cell>
          <cell r="B2054" t="str">
            <v>DARKE, OH</v>
          </cell>
        </row>
        <row r="2055">
          <cell r="A2055">
            <v>39039</v>
          </cell>
          <cell r="B2055" t="str">
            <v>DEFIANCE, OH</v>
          </cell>
        </row>
        <row r="2056">
          <cell r="A2056">
            <v>39041</v>
          </cell>
          <cell r="B2056" t="str">
            <v>DELAWARE, OH</v>
          </cell>
        </row>
        <row r="2057">
          <cell r="A2057">
            <v>39043</v>
          </cell>
          <cell r="B2057" t="str">
            <v>ERIE, OH</v>
          </cell>
        </row>
        <row r="2058">
          <cell r="A2058">
            <v>39045</v>
          </cell>
          <cell r="B2058" t="str">
            <v>FAIRFIELD, OH</v>
          </cell>
        </row>
        <row r="2059">
          <cell r="A2059">
            <v>39047</v>
          </cell>
          <cell r="B2059" t="str">
            <v>FAYETTE, OH</v>
          </cell>
        </row>
        <row r="2060">
          <cell r="A2060">
            <v>39049</v>
          </cell>
          <cell r="B2060" t="str">
            <v>FRANKLIN, OH</v>
          </cell>
        </row>
        <row r="2061">
          <cell r="A2061">
            <v>39051</v>
          </cell>
          <cell r="B2061" t="str">
            <v>FULTON, OH</v>
          </cell>
        </row>
        <row r="2062">
          <cell r="A2062">
            <v>39053</v>
          </cell>
          <cell r="B2062" t="str">
            <v>GALLIA, OH</v>
          </cell>
        </row>
        <row r="2063">
          <cell r="A2063">
            <v>39055</v>
          </cell>
          <cell r="B2063" t="str">
            <v>GEAUGA, OH</v>
          </cell>
        </row>
        <row r="2064">
          <cell r="A2064">
            <v>39057</v>
          </cell>
          <cell r="B2064" t="str">
            <v>GREENE, OH</v>
          </cell>
        </row>
        <row r="2065">
          <cell r="A2065">
            <v>39059</v>
          </cell>
          <cell r="B2065" t="str">
            <v>GUERNSEY, OH</v>
          </cell>
        </row>
        <row r="2066">
          <cell r="A2066">
            <v>39061</v>
          </cell>
          <cell r="B2066" t="str">
            <v>HAMILTON, OH</v>
          </cell>
        </row>
        <row r="2067">
          <cell r="A2067">
            <v>39063</v>
          </cell>
          <cell r="B2067" t="str">
            <v>HANCOCK, OH</v>
          </cell>
        </row>
        <row r="2068">
          <cell r="A2068">
            <v>39065</v>
          </cell>
          <cell r="B2068" t="str">
            <v>HARDIN, OH</v>
          </cell>
        </row>
        <row r="2069">
          <cell r="A2069">
            <v>39067</v>
          </cell>
          <cell r="B2069" t="str">
            <v>HARRISON, OH</v>
          </cell>
        </row>
        <row r="2070">
          <cell r="A2070">
            <v>39069</v>
          </cell>
          <cell r="B2070" t="str">
            <v>HENRY, OH</v>
          </cell>
        </row>
        <row r="2071">
          <cell r="A2071">
            <v>39071</v>
          </cell>
          <cell r="B2071" t="str">
            <v>HIGHLAND, OH</v>
          </cell>
        </row>
        <row r="2072">
          <cell r="A2072">
            <v>39073</v>
          </cell>
          <cell r="B2072" t="str">
            <v>HOCKING, OH</v>
          </cell>
        </row>
        <row r="2073">
          <cell r="A2073">
            <v>39075</v>
          </cell>
          <cell r="B2073" t="str">
            <v>HOLMES, OH</v>
          </cell>
        </row>
        <row r="2074">
          <cell r="A2074">
            <v>39077</v>
          </cell>
          <cell r="B2074" t="str">
            <v>HURON, OH</v>
          </cell>
        </row>
        <row r="2075">
          <cell r="A2075">
            <v>39079</v>
          </cell>
          <cell r="B2075" t="str">
            <v>JACKSON, OH</v>
          </cell>
        </row>
        <row r="2076">
          <cell r="A2076">
            <v>39081</v>
          </cell>
          <cell r="B2076" t="str">
            <v>JEFFERSON, OH</v>
          </cell>
        </row>
        <row r="2077">
          <cell r="A2077">
            <v>39083</v>
          </cell>
          <cell r="B2077" t="str">
            <v>KNOX, OH</v>
          </cell>
        </row>
        <row r="2078">
          <cell r="A2078">
            <v>39085</v>
          </cell>
          <cell r="B2078" t="str">
            <v>LAKE, OH</v>
          </cell>
        </row>
        <row r="2079">
          <cell r="A2079">
            <v>39087</v>
          </cell>
          <cell r="B2079" t="str">
            <v>LAWRENCE, OH</v>
          </cell>
        </row>
        <row r="2080">
          <cell r="A2080">
            <v>39089</v>
          </cell>
          <cell r="B2080" t="str">
            <v>LICKING, OH</v>
          </cell>
        </row>
        <row r="2081">
          <cell r="A2081">
            <v>39091</v>
          </cell>
          <cell r="B2081" t="str">
            <v>LOGAN, OH</v>
          </cell>
        </row>
        <row r="2082">
          <cell r="A2082">
            <v>39093</v>
          </cell>
          <cell r="B2082" t="str">
            <v>LORAIN, OH</v>
          </cell>
        </row>
        <row r="2083">
          <cell r="A2083">
            <v>39095</v>
          </cell>
          <cell r="B2083" t="str">
            <v>LUCAS, OH</v>
          </cell>
        </row>
        <row r="2084">
          <cell r="A2084">
            <v>39097</v>
          </cell>
          <cell r="B2084" t="str">
            <v>MADISON, OH</v>
          </cell>
        </row>
        <row r="2085">
          <cell r="A2085">
            <v>39099</v>
          </cell>
          <cell r="B2085" t="str">
            <v>MAHONING, OH</v>
          </cell>
        </row>
        <row r="2086">
          <cell r="A2086">
            <v>39101</v>
          </cell>
          <cell r="B2086" t="str">
            <v>MARION, OH</v>
          </cell>
        </row>
        <row r="2087">
          <cell r="A2087">
            <v>39103</v>
          </cell>
          <cell r="B2087" t="str">
            <v>MEDINA, OH</v>
          </cell>
        </row>
        <row r="2088">
          <cell r="A2088">
            <v>39105</v>
          </cell>
          <cell r="B2088" t="str">
            <v>MEIGS, OH</v>
          </cell>
        </row>
        <row r="2089">
          <cell r="A2089">
            <v>39107</v>
          </cell>
          <cell r="B2089" t="str">
            <v>MERCER, OH</v>
          </cell>
        </row>
        <row r="2090">
          <cell r="A2090">
            <v>39109</v>
          </cell>
          <cell r="B2090" t="str">
            <v>MIAMI, OH</v>
          </cell>
        </row>
        <row r="2091">
          <cell r="A2091">
            <v>39111</v>
          </cell>
          <cell r="B2091" t="str">
            <v>MONROE, OH</v>
          </cell>
        </row>
        <row r="2092">
          <cell r="A2092">
            <v>39113</v>
          </cell>
          <cell r="B2092" t="str">
            <v>MONTGOMERY, OH</v>
          </cell>
        </row>
        <row r="2093">
          <cell r="A2093">
            <v>39115</v>
          </cell>
          <cell r="B2093" t="str">
            <v>MORGAN, OH</v>
          </cell>
        </row>
        <row r="2094">
          <cell r="A2094">
            <v>39117</v>
          </cell>
          <cell r="B2094" t="str">
            <v>MORROW, OH</v>
          </cell>
        </row>
        <row r="2095">
          <cell r="A2095">
            <v>39119</v>
          </cell>
          <cell r="B2095" t="str">
            <v>MUSKINGUM, OH</v>
          </cell>
        </row>
        <row r="2096">
          <cell r="A2096">
            <v>39121</v>
          </cell>
          <cell r="B2096" t="str">
            <v>NOBLE, OH</v>
          </cell>
        </row>
        <row r="2097">
          <cell r="A2097">
            <v>39123</v>
          </cell>
          <cell r="B2097" t="str">
            <v>OTTAWA, OH</v>
          </cell>
        </row>
        <row r="2098">
          <cell r="A2098">
            <v>39125</v>
          </cell>
          <cell r="B2098" t="str">
            <v>PAULDING, OH</v>
          </cell>
        </row>
        <row r="2099">
          <cell r="A2099">
            <v>39127</v>
          </cell>
          <cell r="B2099" t="str">
            <v>PERRY, OH</v>
          </cell>
        </row>
        <row r="2100">
          <cell r="A2100">
            <v>39129</v>
          </cell>
          <cell r="B2100" t="str">
            <v>PICKAWAY, OH</v>
          </cell>
        </row>
        <row r="2101">
          <cell r="A2101">
            <v>39131</v>
          </cell>
          <cell r="B2101" t="str">
            <v>PIKE, OH</v>
          </cell>
        </row>
        <row r="2102">
          <cell r="A2102">
            <v>39133</v>
          </cell>
          <cell r="B2102" t="str">
            <v>PORTAGE, OH</v>
          </cell>
        </row>
        <row r="2103">
          <cell r="A2103">
            <v>39135</v>
          </cell>
          <cell r="B2103" t="str">
            <v>PREBLE, OH</v>
          </cell>
        </row>
        <row r="2104">
          <cell r="A2104">
            <v>39137</v>
          </cell>
          <cell r="B2104" t="str">
            <v>PUTNAM, OH</v>
          </cell>
        </row>
        <row r="2105">
          <cell r="A2105">
            <v>39139</v>
          </cell>
          <cell r="B2105" t="str">
            <v>RICHLAND, OH</v>
          </cell>
        </row>
        <row r="2106">
          <cell r="A2106">
            <v>39141</v>
          </cell>
          <cell r="B2106" t="str">
            <v>ROSS, OH</v>
          </cell>
        </row>
        <row r="2107">
          <cell r="A2107">
            <v>39143</v>
          </cell>
          <cell r="B2107" t="str">
            <v>SANDUSKY, OH</v>
          </cell>
        </row>
        <row r="2108">
          <cell r="A2108">
            <v>39145</v>
          </cell>
          <cell r="B2108" t="str">
            <v>SCIOTO, OH</v>
          </cell>
        </row>
        <row r="2109">
          <cell r="A2109">
            <v>39147</v>
          </cell>
          <cell r="B2109" t="str">
            <v>SENECA, OH</v>
          </cell>
        </row>
        <row r="2110">
          <cell r="A2110">
            <v>39149</v>
          </cell>
          <cell r="B2110" t="str">
            <v>SHELBY, OH</v>
          </cell>
        </row>
        <row r="2111">
          <cell r="A2111">
            <v>39151</v>
          </cell>
          <cell r="B2111" t="str">
            <v>STARK, OH</v>
          </cell>
        </row>
        <row r="2112">
          <cell r="A2112">
            <v>39153</v>
          </cell>
          <cell r="B2112" t="str">
            <v>SUMMIT, OH</v>
          </cell>
        </row>
        <row r="2113">
          <cell r="A2113">
            <v>39155</v>
          </cell>
          <cell r="B2113" t="str">
            <v>TRUMBULL, OH</v>
          </cell>
        </row>
        <row r="2114">
          <cell r="A2114">
            <v>39157</v>
          </cell>
          <cell r="B2114" t="str">
            <v>TUSCARAWAS, OH</v>
          </cell>
        </row>
        <row r="2115">
          <cell r="A2115">
            <v>39159</v>
          </cell>
          <cell r="B2115" t="str">
            <v>UNION, OH</v>
          </cell>
        </row>
        <row r="2116">
          <cell r="A2116">
            <v>39161</v>
          </cell>
          <cell r="B2116" t="str">
            <v>VAN WERT, OH</v>
          </cell>
        </row>
        <row r="2117">
          <cell r="A2117">
            <v>39163</v>
          </cell>
          <cell r="B2117" t="str">
            <v>VINTON, OH</v>
          </cell>
        </row>
        <row r="2118">
          <cell r="A2118">
            <v>39165</v>
          </cell>
          <cell r="B2118" t="str">
            <v>WARREN, OH</v>
          </cell>
        </row>
        <row r="2119">
          <cell r="A2119">
            <v>39167</v>
          </cell>
          <cell r="B2119" t="str">
            <v>WASHINGTON, OH</v>
          </cell>
        </row>
        <row r="2120">
          <cell r="A2120">
            <v>39169</v>
          </cell>
          <cell r="B2120" t="str">
            <v>WAYNE, OH</v>
          </cell>
        </row>
        <row r="2121">
          <cell r="A2121">
            <v>39171</v>
          </cell>
          <cell r="B2121" t="str">
            <v>WILLIAMS, OH</v>
          </cell>
        </row>
        <row r="2122">
          <cell r="A2122">
            <v>39173</v>
          </cell>
          <cell r="B2122" t="str">
            <v>WOOD, OH</v>
          </cell>
        </row>
        <row r="2123">
          <cell r="A2123">
            <v>39175</v>
          </cell>
          <cell r="B2123" t="str">
            <v>WYANDOT, OH</v>
          </cell>
        </row>
        <row r="2124">
          <cell r="A2124">
            <v>40001</v>
          </cell>
          <cell r="B2124" t="str">
            <v>ADAIR, OK</v>
          </cell>
        </row>
        <row r="2125">
          <cell r="A2125">
            <v>40003</v>
          </cell>
          <cell r="B2125" t="str">
            <v>ALFALFA, OK</v>
          </cell>
        </row>
        <row r="2126">
          <cell r="A2126">
            <v>40005</v>
          </cell>
          <cell r="B2126" t="str">
            <v>ATOKA, OK</v>
          </cell>
        </row>
        <row r="2127">
          <cell r="A2127">
            <v>40007</v>
          </cell>
          <cell r="B2127" t="str">
            <v>BEAVER, OK</v>
          </cell>
        </row>
        <row r="2128">
          <cell r="A2128">
            <v>40009</v>
          </cell>
          <cell r="B2128" t="str">
            <v>BECKHAM, OK</v>
          </cell>
        </row>
        <row r="2129">
          <cell r="A2129">
            <v>40011</v>
          </cell>
          <cell r="B2129" t="str">
            <v>BLAINE, OK</v>
          </cell>
        </row>
        <row r="2130">
          <cell r="A2130">
            <v>40013</v>
          </cell>
          <cell r="B2130" t="str">
            <v>BRYAN, OK</v>
          </cell>
        </row>
        <row r="2131">
          <cell r="A2131">
            <v>40015</v>
          </cell>
          <cell r="B2131" t="str">
            <v>CADDO, OK</v>
          </cell>
        </row>
        <row r="2132">
          <cell r="A2132">
            <v>40017</v>
          </cell>
          <cell r="B2132" t="str">
            <v>CANADIAN, OK</v>
          </cell>
        </row>
        <row r="2133">
          <cell r="A2133">
            <v>40019</v>
          </cell>
          <cell r="B2133" t="str">
            <v>CARTER, OK</v>
          </cell>
        </row>
        <row r="2134">
          <cell r="A2134">
            <v>40021</v>
          </cell>
          <cell r="B2134" t="str">
            <v>CHEROKEE, OK</v>
          </cell>
        </row>
        <row r="2135">
          <cell r="A2135">
            <v>40023</v>
          </cell>
          <cell r="B2135" t="str">
            <v>CHOCTAW, OK</v>
          </cell>
        </row>
        <row r="2136">
          <cell r="A2136">
            <v>40025</v>
          </cell>
          <cell r="B2136" t="str">
            <v>CIMARRON, OK</v>
          </cell>
        </row>
        <row r="2137">
          <cell r="A2137">
            <v>40027</v>
          </cell>
          <cell r="B2137" t="str">
            <v>CLEVELAND, OK</v>
          </cell>
        </row>
        <row r="2138">
          <cell r="A2138">
            <v>40029</v>
          </cell>
          <cell r="B2138" t="str">
            <v>COAL, OK</v>
          </cell>
        </row>
        <row r="2139">
          <cell r="A2139">
            <v>40031</v>
          </cell>
          <cell r="B2139" t="str">
            <v>COMANCHE, OK</v>
          </cell>
        </row>
        <row r="2140">
          <cell r="A2140">
            <v>40033</v>
          </cell>
          <cell r="B2140" t="str">
            <v>COTTON, OK</v>
          </cell>
        </row>
        <row r="2141">
          <cell r="A2141">
            <v>40035</v>
          </cell>
          <cell r="B2141" t="str">
            <v>CRAIG, OK</v>
          </cell>
        </row>
        <row r="2142">
          <cell r="A2142">
            <v>40037</v>
          </cell>
          <cell r="B2142" t="str">
            <v>CREEK, OK</v>
          </cell>
        </row>
        <row r="2143">
          <cell r="A2143">
            <v>40039</v>
          </cell>
          <cell r="B2143" t="str">
            <v>CUSTER, OK</v>
          </cell>
        </row>
        <row r="2144">
          <cell r="A2144">
            <v>40041</v>
          </cell>
          <cell r="B2144" t="str">
            <v>DELAWARE, OK</v>
          </cell>
        </row>
        <row r="2145">
          <cell r="A2145">
            <v>40043</v>
          </cell>
          <cell r="B2145" t="str">
            <v>DEWEY, OK</v>
          </cell>
        </row>
        <row r="2146">
          <cell r="A2146">
            <v>40045</v>
          </cell>
          <cell r="B2146" t="str">
            <v>ELLIS, OK</v>
          </cell>
        </row>
        <row r="2147">
          <cell r="A2147">
            <v>40047</v>
          </cell>
          <cell r="B2147" t="str">
            <v>GARFIELD, OK</v>
          </cell>
        </row>
        <row r="2148">
          <cell r="A2148">
            <v>40049</v>
          </cell>
          <cell r="B2148" t="str">
            <v>GARVIN, OK</v>
          </cell>
        </row>
        <row r="2149">
          <cell r="A2149">
            <v>40051</v>
          </cell>
          <cell r="B2149" t="str">
            <v>GRADY, OK</v>
          </cell>
        </row>
        <row r="2150">
          <cell r="A2150">
            <v>40053</v>
          </cell>
          <cell r="B2150" t="str">
            <v>GRANT, OK</v>
          </cell>
        </row>
        <row r="2151">
          <cell r="A2151">
            <v>40055</v>
          </cell>
          <cell r="B2151" t="str">
            <v>GREER, OK</v>
          </cell>
        </row>
        <row r="2152">
          <cell r="A2152">
            <v>40057</v>
          </cell>
          <cell r="B2152" t="str">
            <v>HARMON, OK</v>
          </cell>
        </row>
        <row r="2153">
          <cell r="A2153">
            <v>40059</v>
          </cell>
          <cell r="B2153" t="str">
            <v>HARPER, OK</v>
          </cell>
        </row>
        <row r="2154">
          <cell r="A2154">
            <v>40061</v>
          </cell>
          <cell r="B2154" t="str">
            <v>HASKELL, OK</v>
          </cell>
        </row>
        <row r="2155">
          <cell r="A2155">
            <v>40063</v>
          </cell>
          <cell r="B2155" t="str">
            <v>HUGHES, OK</v>
          </cell>
        </row>
        <row r="2156">
          <cell r="A2156">
            <v>40065</v>
          </cell>
          <cell r="B2156" t="str">
            <v>JACKSON, OK</v>
          </cell>
        </row>
        <row r="2157">
          <cell r="A2157">
            <v>40067</v>
          </cell>
          <cell r="B2157" t="str">
            <v>JEFFERSON, OK</v>
          </cell>
        </row>
        <row r="2158">
          <cell r="A2158">
            <v>40069</v>
          </cell>
          <cell r="B2158" t="str">
            <v>JOHNSTON, OK</v>
          </cell>
        </row>
        <row r="2159">
          <cell r="A2159">
            <v>40071</v>
          </cell>
          <cell r="B2159" t="str">
            <v>KAY, OK</v>
          </cell>
        </row>
        <row r="2160">
          <cell r="A2160">
            <v>40073</v>
          </cell>
          <cell r="B2160" t="str">
            <v>KINGFISHER, OK</v>
          </cell>
        </row>
        <row r="2161">
          <cell r="A2161">
            <v>40075</v>
          </cell>
          <cell r="B2161" t="str">
            <v>KIOWA, OK</v>
          </cell>
        </row>
        <row r="2162">
          <cell r="A2162">
            <v>40077</v>
          </cell>
          <cell r="B2162" t="str">
            <v>LATIMER, OK</v>
          </cell>
        </row>
        <row r="2163">
          <cell r="A2163">
            <v>40079</v>
          </cell>
          <cell r="B2163" t="str">
            <v>LE FLORE, OK</v>
          </cell>
        </row>
        <row r="2164">
          <cell r="A2164">
            <v>40081</v>
          </cell>
          <cell r="B2164" t="str">
            <v>LINCOLN, OK</v>
          </cell>
        </row>
        <row r="2165">
          <cell r="A2165">
            <v>40083</v>
          </cell>
          <cell r="B2165" t="str">
            <v>LOGAN, OK</v>
          </cell>
        </row>
        <row r="2166">
          <cell r="A2166">
            <v>40085</v>
          </cell>
          <cell r="B2166" t="str">
            <v>LOVE, OK</v>
          </cell>
        </row>
        <row r="2167">
          <cell r="A2167">
            <v>40087</v>
          </cell>
          <cell r="B2167" t="str">
            <v>MCCLAIN, OK</v>
          </cell>
        </row>
        <row r="2168">
          <cell r="A2168">
            <v>40089</v>
          </cell>
          <cell r="B2168" t="str">
            <v>MC CURTAIN, OK</v>
          </cell>
        </row>
        <row r="2169">
          <cell r="A2169">
            <v>40091</v>
          </cell>
          <cell r="B2169" t="str">
            <v>MCINTOSH, OK</v>
          </cell>
        </row>
        <row r="2170">
          <cell r="A2170">
            <v>40093</v>
          </cell>
          <cell r="B2170" t="str">
            <v>MAJOR, OK</v>
          </cell>
        </row>
        <row r="2171">
          <cell r="A2171">
            <v>40095</v>
          </cell>
          <cell r="B2171" t="str">
            <v>MARSHALL, OK</v>
          </cell>
        </row>
        <row r="2172">
          <cell r="A2172">
            <v>40097</v>
          </cell>
          <cell r="B2172" t="str">
            <v>MAYES, OK</v>
          </cell>
        </row>
        <row r="2173">
          <cell r="A2173">
            <v>40099</v>
          </cell>
          <cell r="B2173" t="str">
            <v>MURRAY, OK</v>
          </cell>
        </row>
        <row r="2174">
          <cell r="A2174">
            <v>40101</v>
          </cell>
          <cell r="B2174" t="str">
            <v>MUSKOGEE, OK</v>
          </cell>
        </row>
        <row r="2175">
          <cell r="A2175">
            <v>40103</v>
          </cell>
          <cell r="B2175" t="str">
            <v>NOBLE, OK</v>
          </cell>
        </row>
        <row r="2176">
          <cell r="A2176">
            <v>40105</v>
          </cell>
          <cell r="B2176" t="str">
            <v>NOWATA, OK</v>
          </cell>
        </row>
        <row r="2177">
          <cell r="A2177">
            <v>40107</v>
          </cell>
          <cell r="B2177" t="str">
            <v>OKFUSKEE, OK</v>
          </cell>
        </row>
        <row r="2178">
          <cell r="A2178">
            <v>40109</v>
          </cell>
          <cell r="B2178" t="str">
            <v>OKLAHOMA, OK</v>
          </cell>
        </row>
        <row r="2179">
          <cell r="A2179">
            <v>40111</v>
          </cell>
          <cell r="B2179" t="str">
            <v>OKMULGEE, OK</v>
          </cell>
        </row>
        <row r="2180">
          <cell r="A2180">
            <v>40113</v>
          </cell>
          <cell r="B2180" t="str">
            <v>OSAGE, OK</v>
          </cell>
        </row>
        <row r="2181">
          <cell r="A2181">
            <v>40115</v>
          </cell>
          <cell r="B2181" t="str">
            <v>OTTAWA, OK</v>
          </cell>
        </row>
        <row r="2182">
          <cell r="A2182">
            <v>40117</v>
          </cell>
          <cell r="B2182" t="str">
            <v>PAWNEE, OK</v>
          </cell>
        </row>
        <row r="2183">
          <cell r="A2183">
            <v>40119</v>
          </cell>
          <cell r="B2183" t="str">
            <v>PAYNE, OK</v>
          </cell>
        </row>
        <row r="2184">
          <cell r="A2184">
            <v>40121</v>
          </cell>
          <cell r="B2184" t="str">
            <v>PITTSBURG, OK</v>
          </cell>
        </row>
        <row r="2185">
          <cell r="A2185">
            <v>40123</v>
          </cell>
          <cell r="B2185" t="str">
            <v>PONTOTOC, OK</v>
          </cell>
        </row>
        <row r="2186">
          <cell r="A2186">
            <v>40125</v>
          </cell>
          <cell r="B2186" t="str">
            <v>POTTAWATOMIE, OK</v>
          </cell>
        </row>
        <row r="2187">
          <cell r="A2187">
            <v>40127</v>
          </cell>
          <cell r="B2187" t="str">
            <v>PUSHMATAHA, OK</v>
          </cell>
        </row>
        <row r="2188">
          <cell r="A2188">
            <v>40129</v>
          </cell>
          <cell r="B2188" t="str">
            <v>ROGER MILLS, OK</v>
          </cell>
        </row>
        <row r="2189">
          <cell r="A2189">
            <v>40131</v>
          </cell>
          <cell r="B2189" t="str">
            <v>ROGERS, OK</v>
          </cell>
        </row>
        <row r="2190">
          <cell r="A2190">
            <v>40133</v>
          </cell>
          <cell r="B2190" t="str">
            <v>SEMINOLE, OK</v>
          </cell>
        </row>
        <row r="2191">
          <cell r="A2191">
            <v>40135</v>
          </cell>
          <cell r="B2191" t="str">
            <v>SEQUOYAH, OK</v>
          </cell>
        </row>
        <row r="2192">
          <cell r="A2192">
            <v>40137</v>
          </cell>
          <cell r="B2192" t="str">
            <v>STEPHENS, OK</v>
          </cell>
        </row>
        <row r="2193">
          <cell r="A2193">
            <v>40139</v>
          </cell>
          <cell r="B2193" t="str">
            <v>TEXAS, OK</v>
          </cell>
        </row>
        <row r="2194">
          <cell r="A2194">
            <v>40141</v>
          </cell>
          <cell r="B2194" t="str">
            <v>TILLMAN, OK</v>
          </cell>
        </row>
        <row r="2195">
          <cell r="A2195">
            <v>40143</v>
          </cell>
          <cell r="B2195" t="str">
            <v>TULSA, OK</v>
          </cell>
        </row>
        <row r="2196">
          <cell r="A2196">
            <v>40145</v>
          </cell>
          <cell r="B2196" t="str">
            <v>WAGONER, OK</v>
          </cell>
        </row>
        <row r="2197">
          <cell r="A2197">
            <v>40147</v>
          </cell>
          <cell r="B2197" t="str">
            <v>WASHINGTON, OK</v>
          </cell>
        </row>
        <row r="2198">
          <cell r="A2198">
            <v>40149</v>
          </cell>
          <cell r="B2198" t="str">
            <v>WASHITA, OK</v>
          </cell>
        </row>
        <row r="2199">
          <cell r="A2199">
            <v>40151</v>
          </cell>
          <cell r="B2199" t="str">
            <v>WOODS, OK</v>
          </cell>
        </row>
        <row r="2200">
          <cell r="A2200">
            <v>40153</v>
          </cell>
          <cell r="B2200" t="str">
            <v>WOODWARD, OK</v>
          </cell>
        </row>
        <row r="2201">
          <cell r="A2201">
            <v>41001</v>
          </cell>
          <cell r="B2201" t="str">
            <v>BAKER, OR</v>
          </cell>
        </row>
        <row r="2202">
          <cell r="A2202">
            <v>41003</v>
          </cell>
          <cell r="B2202" t="str">
            <v>BENTON, OR</v>
          </cell>
        </row>
        <row r="2203">
          <cell r="A2203">
            <v>41005</v>
          </cell>
          <cell r="B2203" t="str">
            <v>CLACKAMAS, OR</v>
          </cell>
        </row>
        <row r="2204">
          <cell r="A2204">
            <v>41007</v>
          </cell>
          <cell r="B2204" t="str">
            <v>CLATSOP, OR</v>
          </cell>
        </row>
        <row r="2205">
          <cell r="A2205">
            <v>41009</v>
          </cell>
          <cell r="B2205" t="str">
            <v>COLUMBIA, OR</v>
          </cell>
        </row>
        <row r="2206">
          <cell r="A2206">
            <v>41011</v>
          </cell>
          <cell r="B2206" t="str">
            <v>COOS, OR</v>
          </cell>
        </row>
        <row r="2207">
          <cell r="A2207">
            <v>41013</v>
          </cell>
          <cell r="B2207" t="str">
            <v>CROOK, OR</v>
          </cell>
        </row>
        <row r="2208">
          <cell r="A2208">
            <v>41015</v>
          </cell>
          <cell r="B2208" t="str">
            <v>CURRY, OR</v>
          </cell>
        </row>
        <row r="2209">
          <cell r="A2209">
            <v>41017</v>
          </cell>
          <cell r="B2209" t="str">
            <v>DESCHUTES, OR</v>
          </cell>
        </row>
        <row r="2210">
          <cell r="A2210">
            <v>41019</v>
          </cell>
          <cell r="B2210" t="str">
            <v>DOUGLAS, OR</v>
          </cell>
        </row>
        <row r="2211">
          <cell r="A2211">
            <v>41021</v>
          </cell>
          <cell r="B2211" t="str">
            <v>GILLIAM, OR</v>
          </cell>
        </row>
        <row r="2212">
          <cell r="A2212">
            <v>41023</v>
          </cell>
          <cell r="B2212" t="str">
            <v>GRANT, OR</v>
          </cell>
        </row>
        <row r="2213">
          <cell r="A2213">
            <v>41025</v>
          </cell>
          <cell r="B2213" t="str">
            <v>HARNEY, OR</v>
          </cell>
        </row>
        <row r="2214">
          <cell r="A2214">
            <v>41027</v>
          </cell>
          <cell r="B2214" t="str">
            <v>HOOD RIVER, OR</v>
          </cell>
        </row>
        <row r="2215">
          <cell r="A2215">
            <v>41029</v>
          </cell>
          <cell r="B2215" t="str">
            <v>JACKSON, OR</v>
          </cell>
        </row>
        <row r="2216">
          <cell r="A2216">
            <v>41031</v>
          </cell>
          <cell r="B2216" t="str">
            <v>JEFFERSON, OR</v>
          </cell>
        </row>
        <row r="2217">
          <cell r="A2217">
            <v>41033</v>
          </cell>
          <cell r="B2217" t="str">
            <v>JOSEPHINE, OR</v>
          </cell>
        </row>
        <row r="2218">
          <cell r="A2218">
            <v>41035</v>
          </cell>
          <cell r="B2218" t="str">
            <v>KLAMATH, OR</v>
          </cell>
        </row>
        <row r="2219">
          <cell r="A2219">
            <v>41037</v>
          </cell>
          <cell r="B2219" t="str">
            <v>LAKE, OR</v>
          </cell>
        </row>
        <row r="2220">
          <cell r="A2220">
            <v>41039</v>
          </cell>
          <cell r="B2220" t="str">
            <v>LANE, OR</v>
          </cell>
        </row>
        <row r="2221">
          <cell r="A2221">
            <v>41041</v>
          </cell>
          <cell r="B2221" t="str">
            <v>LINCOLN, OR</v>
          </cell>
        </row>
        <row r="2222">
          <cell r="A2222">
            <v>41043</v>
          </cell>
          <cell r="B2222" t="str">
            <v>LINN, OR</v>
          </cell>
        </row>
        <row r="2223">
          <cell r="A2223">
            <v>41045</v>
          </cell>
          <cell r="B2223" t="str">
            <v>MALHEUR, OR</v>
          </cell>
        </row>
        <row r="2224">
          <cell r="A2224">
            <v>41047</v>
          </cell>
          <cell r="B2224" t="str">
            <v>MARION, OR</v>
          </cell>
        </row>
        <row r="2225">
          <cell r="A2225">
            <v>41049</v>
          </cell>
          <cell r="B2225" t="str">
            <v>MORROW, OR</v>
          </cell>
        </row>
        <row r="2226">
          <cell r="A2226">
            <v>41051</v>
          </cell>
          <cell r="B2226" t="str">
            <v>MULTNOMAH, OR</v>
          </cell>
        </row>
        <row r="2227">
          <cell r="A2227">
            <v>41053</v>
          </cell>
          <cell r="B2227" t="str">
            <v>POLK, OR</v>
          </cell>
        </row>
        <row r="2228">
          <cell r="A2228">
            <v>41055</v>
          </cell>
          <cell r="B2228" t="str">
            <v>SHERMAN, OR</v>
          </cell>
        </row>
        <row r="2229">
          <cell r="A2229">
            <v>41057</v>
          </cell>
          <cell r="B2229" t="str">
            <v>TILLAMOOK, OR</v>
          </cell>
        </row>
        <row r="2230">
          <cell r="A2230">
            <v>41059</v>
          </cell>
          <cell r="B2230" t="str">
            <v>UMATILLA, OR</v>
          </cell>
        </row>
        <row r="2231">
          <cell r="A2231">
            <v>41061</v>
          </cell>
          <cell r="B2231" t="str">
            <v>UNION, OR</v>
          </cell>
        </row>
        <row r="2232">
          <cell r="A2232">
            <v>41063</v>
          </cell>
          <cell r="B2232" t="str">
            <v>WALLOWA, OR</v>
          </cell>
        </row>
        <row r="2233">
          <cell r="A2233">
            <v>41065</v>
          </cell>
          <cell r="B2233" t="str">
            <v>WASCO, OR</v>
          </cell>
        </row>
        <row r="2234">
          <cell r="A2234">
            <v>41067</v>
          </cell>
          <cell r="B2234" t="str">
            <v>WASHINGTON, OR</v>
          </cell>
        </row>
        <row r="2235">
          <cell r="A2235">
            <v>41069</v>
          </cell>
          <cell r="B2235" t="str">
            <v>WHEELER, OR</v>
          </cell>
        </row>
        <row r="2236">
          <cell r="A2236">
            <v>41071</v>
          </cell>
          <cell r="B2236" t="str">
            <v>YAMHILL, OR</v>
          </cell>
        </row>
        <row r="2237">
          <cell r="A2237">
            <v>42001</v>
          </cell>
          <cell r="B2237" t="str">
            <v>ADAMS, PA</v>
          </cell>
        </row>
        <row r="2238">
          <cell r="A2238">
            <v>42003</v>
          </cell>
          <cell r="B2238" t="str">
            <v>ALLEGHENY, PA</v>
          </cell>
        </row>
        <row r="2239">
          <cell r="A2239">
            <v>42005</v>
          </cell>
          <cell r="B2239" t="str">
            <v>ARMSTRONG, PA</v>
          </cell>
        </row>
        <row r="2240">
          <cell r="A2240">
            <v>42007</v>
          </cell>
          <cell r="B2240" t="str">
            <v>BEAVER, PA</v>
          </cell>
        </row>
        <row r="2241">
          <cell r="A2241">
            <v>42009</v>
          </cell>
          <cell r="B2241" t="str">
            <v>BEDFORD, PA</v>
          </cell>
        </row>
        <row r="2242">
          <cell r="A2242">
            <v>42011</v>
          </cell>
          <cell r="B2242" t="str">
            <v>BERKS, PA</v>
          </cell>
        </row>
        <row r="2243">
          <cell r="A2243">
            <v>42013</v>
          </cell>
          <cell r="B2243" t="str">
            <v>BLAIR, PA</v>
          </cell>
        </row>
        <row r="2244">
          <cell r="A2244">
            <v>42015</v>
          </cell>
          <cell r="B2244" t="str">
            <v>BRADFORD, PA</v>
          </cell>
        </row>
        <row r="2245">
          <cell r="A2245">
            <v>42017</v>
          </cell>
          <cell r="B2245" t="str">
            <v>BUCKS, PA</v>
          </cell>
        </row>
        <row r="2246">
          <cell r="A2246">
            <v>42019</v>
          </cell>
          <cell r="B2246" t="str">
            <v>BUTLER, PA</v>
          </cell>
        </row>
        <row r="2247">
          <cell r="A2247">
            <v>42021</v>
          </cell>
          <cell r="B2247" t="str">
            <v>CAMBRIA, PA</v>
          </cell>
        </row>
        <row r="2248">
          <cell r="A2248">
            <v>42023</v>
          </cell>
          <cell r="B2248" t="str">
            <v>CAMERON, PA</v>
          </cell>
        </row>
        <row r="2249">
          <cell r="A2249">
            <v>42025</v>
          </cell>
          <cell r="B2249" t="str">
            <v>CARBON, PA</v>
          </cell>
        </row>
        <row r="2250">
          <cell r="A2250">
            <v>42027</v>
          </cell>
          <cell r="B2250" t="str">
            <v>CENTRE, PA</v>
          </cell>
        </row>
        <row r="2251">
          <cell r="A2251">
            <v>42029</v>
          </cell>
          <cell r="B2251" t="str">
            <v>CHESTER, PA</v>
          </cell>
        </row>
        <row r="2252">
          <cell r="A2252">
            <v>42031</v>
          </cell>
          <cell r="B2252" t="str">
            <v>CLARION, PA</v>
          </cell>
        </row>
        <row r="2253">
          <cell r="A2253">
            <v>42033</v>
          </cell>
          <cell r="B2253" t="str">
            <v>CLEARFIELD, PA</v>
          </cell>
        </row>
        <row r="2254">
          <cell r="A2254">
            <v>42035</v>
          </cell>
          <cell r="B2254" t="str">
            <v>CLINTON, PA</v>
          </cell>
        </row>
        <row r="2255">
          <cell r="A2255">
            <v>42037</v>
          </cell>
          <cell r="B2255" t="str">
            <v>COLUMBIA, PA</v>
          </cell>
        </row>
        <row r="2256">
          <cell r="A2256">
            <v>42039</v>
          </cell>
          <cell r="B2256" t="str">
            <v>CRAWFORD, PA</v>
          </cell>
        </row>
        <row r="2257">
          <cell r="A2257">
            <v>42041</v>
          </cell>
          <cell r="B2257" t="str">
            <v>CUMBERLAND, PA</v>
          </cell>
        </row>
        <row r="2258">
          <cell r="A2258">
            <v>42043</v>
          </cell>
          <cell r="B2258" t="str">
            <v>DAUPHIN, PA</v>
          </cell>
        </row>
        <row r="2259">
          <cell r="A2259">
            <v>42045</v>
          </cell>
          <cell r="B2259" t="str">
            <v>DELAWARE, PA</v>
          </cell>
        </row>
        <row r="2260">
          <cell r="A2260">
            <v>42047</v>
          </cell>
          <cell r="B2260" t="str">
            <v>ELK, PA</v>
          </cell>
        </row>
        <row r="2261">
          <cell r="A2261">
            <v>42049</v>
          </cell>
          <cell r="B2261" t="str">
            <v>ERIE, PA</v>
          </cell>
        </row>
        <row r="2262">
          <cell r="A2262">
            <v>42051</v>
          </cell>
          <cell r="B2262" t="str">
            <v>FAYETTE, PA</v>
          </cell>
        </row>
        <row r="2263">
          <cell r="A2263">
            <v>42053</v>
          </cell>
          <cell r="B2263" t="str">
            <v>FOREST, PA</v>
          </cell>
        </row>
        <row r="2264">
          <cell r="A2264">
            <v>42055</v>
          </cell>
          <cell r="B2264" t="str">
            <v>FRANKLIN, PA</v>
          </cell>
        </row>
        <row r="2265">
          <cell r="A2265">
            <v>42057</v>
          </cell>
          <cell r="B2265" t="str">
            <v>FULTON, PA</v>
          </cell>
        </row>
        <row r="2266">
          <cell r="A2266">
            <v>42059</v>
          </cell>
          <cell r="B2266" t="str">
            <v>GREENE, PA</v>
          </cell>
        </row>
        <row r="2267">
          <cell r="A2267">
            <v>42061</v>
          </cell>
          <cell r="B2267" t="str">
            <v>HUNTINGDON, PA</v>
          </cell>
        </row>
        <row r="2268">
          <cell r="A2268">
            <v>42063</v>
          </cell>
          <cell r="B2268" t="str">
            <v>INDIANA, PA</v>
          </cell>
        </row>
        <row r="2269">
          <cell r="A2269">
            <v>42065</v>
          </cell>
          <cell r="B2269" t="str">
            <v>JEFFERSON, PA</v>
          </cell>
        </row>
        <row r="2270">
          <cell r="A2270">
            <v>42067</v>
          </cell>
          <cell r="B2270" t="str">
            <v>JUNIATA, PA</v>
          </cell>
        </row>
        <row r="2271">
          <cell r="A2271">
            <v>42069</v>
          </cell>
          <cell r="B2271" t="str">
            <v>LACKAWANNA, PA</v>
          </cell>
        </row>
        <row r="2272">
          <cell r="A2272">
            <v>42071</v>
          </cell>
          <cell r="B2272" t="str">
            <v>LANCASTER, PA</v>
          </cell>
        </row>
        <row r="2273">
          <cell r="A2273">
            <v>42073</v>
          </cell>
          <cell r="B2273" t="str">
            <v>LAWRENCE, PA</v>
          </cell>
        </row>
        <row r="2274">
          <cell r="A2274">
            <v>42075</v>
          </cell>
          <cell r="B2274" t="str">
            <v>LEBANON, PA</v>
          </cell>
        </row>
        <row r="2275">
          <cell r="A2275">
            <v>42077</v>
          </cell>
          <cell r="B2275" t="str">
            <v>LEHIGH, PA</v>
          </cell>
        </row>
        <row r="2276">
          <cell r="A2276">
            <v>42079</v>
          </cell>
          <cell r="B2276" t="str">
            <v>LUZERNE, PA</v>
          </cell>
        </row>
        <row r="2277">
          <cell r="A2277">
            <v>42081</v>
          </cell>
          <cell r="B2277" t="str">
            <v>LYCOMING, PA</v>
          </cell>
        </row>
        <row r="2278">
          <cell r="A2278">
            <v>42083</v>
          </cell>
          <cell r="B2278" t="str">
            <v>MCKEAN, PA</v>
          </cell>
        </row>
        <row r="2279">
          <cell r="A2279">
            <v>42085</v>
          </cell>
          <cell r="B2279" t="str">
            <v>MERCER, PA</v>
          </cell>
        </row>
        <row r="2280">
          <cell r="A2280">
            <v>42087</v>
          </cell>
          <cell r="B2280" t="str">
            <v>MIFFLIN, PA</v>
          </cell>
        </row>
        <row r="2281">
          <cell r="A2281">
            <v>42089</v>
          </cell>
          <cell r="B2281" t="str">
            <v>MONROE, PA</v>
          </cell>
        </row>
        <row r="2282">
          <cell r="A2282">
            <v>42091</v>
          </cell>
          <cell r="B2282" t="str">
            <v>MONTGOMERY, PA</v>
          </cell>
        </row>
        <row r="2283">
          <cell r="A2283">
            <v>42093</v>
          </cell>
          <cell r="B2283" t="str">
            <v>MONTOUR, PA</v>
          </cell>
        </row>
        <row r="2284">
          <cell r="A2284">
            <v>42095</v>
          </cell>
          <cell r="B2284" t="str">
            <v>NORTHAMPTON, PA</v>
          </cell>
        </row>
        <row r="2285">
          <cell r="A2285">
            <v>42097</v>
          </cell>
          <cell r="B2285" t="str">
            <v>NORTHUMBERLAND, PA</v>
          </cell>
        </row>
        <row r="2286">
          <cell r="A2286">
            <v>42099</v>
          </cell>
          <cell r="B2286" t="str">
            <v>PERRY, PA</v>
          </cell>
        </row>
        <row r="2287">
          <cell r="A2287">
            <v>42101</v>
          </cell>
          <cell r="B2287" t="str">
            <v>PHILADELPHIA, PA</v>
          </cell>
        </row>
        <row r="2288">
          <cell r="A2288">
            <v>42103</v>
          </cell>
          <cell r="B2288" t="str">
            <v>PIKE, PA</v>
          </cell>
        </row>
        <row r="2289">
          <cell r="A2289">
            <v>42105</v>
          </cell>
          <cell r="B2289" t="str">
            <v>POTTER, PA</v>
          </cell>
        </row>
        <row r="2290">
          <cell r="A2290">
            <v>42107</v>
          </cell>
          <cell r="B2290" t="str">
            <v>SCHUYLKILL, PA</v>
          </cell>
        </row>
        <row r="2291">
          <cell r="A2291">
            <v>42109</v>
          </cell>
          <cell r="B2291" t="str">
            <v>SNYDER, PA</v>
          </cell>
        </row>
        <row r="2292">
          <cell r="A2292">
            <v>42111</v>
          </cell>
          <cell r="B2292" t="str">
            <v>SOMERSET, PA</v>
          </cell>
        </row>
        <row r="2293">
          <cell r="A2293">
            <v>42113</v>
          </cell>
          <cell r="B2293" t="str">
            <v>SULLIVAN, PA</v>
          </cell>
        </row>
        <row r="2294">
          <cell r="A2294">
            <v>42115</v>
          </cell>
          <cell r="B2294" t="str">
            <v>SUSQUEHANNA, PA</v>
          </cell>
        </row>
        <row r="2295">
          <cell r="A2295">
            <v>42117</v>
          </cell>
          <cell r="B2295" t="str">
            <v>TIOGA, PA</v>
          </cell>
        </row>
        <row r="2296">
          <cell r="A2296">
            <v>42119</v>
          </cell>
          <cell r="B2296" t="str">
            <v>UNION, PA</v>
          </cell>
        </row>
        <row r="2297">
          <cell r="A2297">
            <v>42121</v>
          </cell>
          <cell r="B2297" t="str">
            <v>VENANGO, PA</v>
          </cell>
        </row>
        <row r="2298">
          <cell r="A2298">
            <v>42123</v>
          </cell>
          <cell r="B2298" t="str">
            <v>WARREN, PA</v>
          </cell>
        </row>
        <row r="2299">
          <cell r="A2299">
            <v>42125</v>
          </cell>
          <cell r="B2299" t="str">
            <v>WASHINGTON, PA</v>
          </cell>
        </row>
        <row r="2300">
          <cell r="A2300">
            <v>42127</v>
          </cell>
          <cell r="B2300" t="str">
            <v>WAYNE, PA</v>
          </cell>
        </row>
        <row r="2301">
          <cell r="A2301">
            <v>42129</v>
          </cell>
          <cell r="B2301" t="str">
            <v>WESTMORELAND, PA</v>
          </cell>
        </row>
        <row r="2302">
          <cell r="A2302">
            <v>42131</v>
          </cell>
          <cell r="B2302" t="str">
            <v>WYOMING, PA</v>
          </cell>
        </row>
        <row r="2303">
          <cell r="A2303">
            <v>42133</v>
          </cell>
          <cell r="B2303" t="str">
            <v>YORK, PA</v>
          </cell>
        </row>
        <row r="2304">
          <cell r="A2304">
            <v>44001</v>
          </cell>
          <cell r="B2304" t="str">
            <v>BRISTOL, RI</v>
          </cell>
        </row>
        <row r="2305">
          <cell r="A2305">
            <v>44003</v>
          </cell>
          <cell r="B2305" t="str">
            <v>KENT, RI</v>
          </cell>
        </row>
        <row r="2306">
          <cell r="A2306">
            <v>44005</v>
          </cell>
          <cell r="B2306" t="str">
            <v>NEWPORT, RI</v>
          </cell>
        </row>
        <row r="2307">
          <cell r="A2307">
            <v>44007</v>
          </cell>
          <cell r="B2307" t="str">
            <v>PROVIDENCE, RI</v>
          </cell>
        </row>
        <row r="2308">
          <cell r="A2308">
            <v>44009</v>
          </cell>
          <cell r="B2308" t="str">
            <v>WASHINGTON, RI</v>
          </cell>
        </row>
        <row r="2309">
          <cell r="A2309">
            <v>45001</v>
          </cell>
          <cell r="B2309" t="str">
            <v>ABBEVILLE, SC</v>
          </cell>
        </row>
        <row r="2310">
          <cell r="A2310">
            <v>45003</v>
          </cell>
          <cell r="B2310" t="str">
            <v>AIKEN, SC</v>
          </cell>
        </row>
        <row r="2311">
          <cell r="A2311">
            <v>45005</v>
          </cell>
          <cell r="B2311" t="str">
            <v>ALLENDALE, SC</v>
          </cell>
        </row>
        <row r="2312">
          <cell r="A2312">
            <v>45007</v>
          </cell>
          <cell r="B2312" t="str">
            <v>ANDERSON, SC</v>
          </cell>
        </row>
        <row r="2313">
          <cell r="A2313">
            <v>45009</v>
          </cell>
          <cell r="B2313" t="str">
            <v>BAMBERG, SC</v>
          </cell>
        </row>
        <row r="2314">
          <cell r="A2314">
            <v>45011</v>
          </cell>
          <cell r="B2314" t="str">
            <v>BARNWELL, SC</v>
          </cell>
        </row>
        <row r="2315">
          <cell r="A2315">
            <v>45013</v>
          </cell>
          <cell r="B2315" t="str">
            <v>BEAUFORT, SC</v>
          </cell>
        </row>
        <row r="2316">
          <cell r="A2316">
            <v>45015</v>
          </cell>
          <cell r="B2316" t="str">
            <v>BERKELEY, SC</v>
          </cell>
        </row>
        <row r="2317">
          <cell r="A2317">
            <v>45017</v>
          </cell>
          <cell r="B2317" t="str">
            <v>CALHOUN, SC</v>
          </cell>
        </row>
        <row r="2318">
          <cell r="A2318">
            <v>45019</v>
          </cell>
          <cell r="B2318" t="str">
            <v>CHARLESTON, SC</v>
          </cell>
        </row>
        <row r="2319">
          <cell r="A2319">
            <v>45021</v>
          </cell>
          <cell r="B2319" t="str">
            <v>CHEROKEE, SC</v>
          </cell>
        </row>
        <row r="2320">
          <cell r="A2320">
            <v>45023</v>
          </cell>
          <cell r="B2320" t="str">
            <v>CHESTER, SC</v>
          </cell>
        </row>
        <row r="2321">
          <cell r="A2321">
            <v>45025</v>
          </cell>
          <cell r="B2321" t="str">
            <v>CHESTERFIELD, SC</v>
          </cell>
        </row>
        <row r="2322">
          <cell r="A2322">
            <v>45027</v>
          </cell>
          <cell r="B2322" t="str">
            <v>CLARENDON, SC</v>
          </cell>
        </row>
        <row r="2323">
          <cell r="A2323">
            <v>45029</v>
          </cell>
          <cell r="B2323" t="str">
            <v>COLLETON, SC</v>
          </cell>
        </row>
        <row r="2324">
          <cell r="A2324">
            <v>45031</v>
          </cell>
          <cell r="B2324" t="str">
            <v>DARLINGTON, SC</v>
          </cell>
        </row>
        <row r="2325">
          <cell r="A2325">
            <v>45033</v>
          </cell>
          <cell r="B2325" t="str">
            <v>DILLON, SC</v>
          </cell>
        </row>
        <row r="2326">
          <cell r="A2326">
            <v>45035</v>
          </cell>
          <cell r="B2326" t="str">
            <v>DORCHESTER, SC</v>
          </cell>
        </row>
        <row r="2327">
          <cell r="A2327">
            <v>45037</v>
          </cell>
          <cell r="B2327" t="str">
            <v>EDGEFIELD, SC</v>
          </cell>
        </row>
        <row r="2328">
          <cell r="A2328">
            <v>45039</v>
          </cell>
          <cell r="B2328" t="str">
            <v>FAIRFIELD, SC</v>
          </cell>
        </row>
        <row r="2329">
          <cell r="A2329">
            <v>45041</v>
          </cell>
          <cell r="B2329" t="str">
            <v>FLORENCE, SC</v>
          </cell>
        </row>
        <row r="2330">
          <cell r="A2330">
            <v>45043</v>
          </cell>
          <cell r="B2330" t="str">
            <v>GEORGETOWN, SC</v>
          </cell>
        </row>
        <row r="2331">
          <cell r="A2331">
            <v>45045</v>
          </cell>
          <cell r="B2331" t="str">
            <v>GREENVILLE, SC</v>
          </cell>
        </row>
        <row r="2332">
          <cell r="A2332">
            <v>45047</v>
          </cell>
          <cell r="B2332" t="str">
            <v>GREENWOOD, SC</v>
          </cell>
        </row>
        <row r="2333">
          <cell r="A2333">
            <v>45049</v>
          </cell>
          <cell r="B2333" t="str">
            <v>HAMPTON, SC</v>
          </cell>
        </row>
        <row r="2334">
          <cell r="A2334">
            <v>45051</v>
          </cell>
          <cell r="B2334" t="str">
            <v>HORRY, SC</v>
          </cell>
        </row>
        <row r="2335">
          <cell r="A2335">
            <v>45053</v>
          </cell>
          <cell r="B2335" t="str">
            <v>JASPER, SC</v>
          </cell>
        </row>
        <row r="2336">
          <cell r="A2336">
            <v>45055</v>
          </cell>
          <cell r="B2336" t="str">
            <v>KERSHAW, SC</v>
          </cell>
        </row>
        <row r="2337">
          <cell r="A2337">
            <v>45057</v>
          </cell>
          <cell r="B2337" t="str">
            <v>LANCASTER, SC</v>
          </cell>
        </row>
        <row r="2338">
          <cell r="A2338">
            <v>45059</v>
          </cell>
          <cell r="B2338" t="str">
            <v>LAURENS, SC</v>
          </cell>
        </row>
        <row r="2339">
          <cell r="A2339">
            <v>45061</v>
          </cell>
          <cell r="B2339" t="str">
            <v>LEE, SC</v>
          </cell>
        </row>
        <row r="2340">
          <cell r="A2340">
            <v>45063</v>
          </cell>
          <cell r="B2340" t="str">
            <v>LEXINGTON, SC</v>
          </cell>
        </row>
        <row r="2341">
          <cell r="A2341">
            <v>45065</v>
          </cell>
          <cell r="B2341" t="str">
            <v>MC CORMICK, SC</v>
          </cell>
        </row>
        <row r="2342">
          <cell r="A2342">
            <v>45067</v>
          </cell>
          <cell r="B2342" t="str">
            <v>MARION, SC</v>
          </cell>
        </row>
        <row r="2343">
          <cell r="A2343">
            <v>45069</v>
          </cell>
          <cell r="B2343" t="str">
            <v>MARLBORO, SC</v>
          </cell>
        </row>
        <row r="2344">
          <cell r="A2344">
            <v>45071</v>
          </cell>
          <cell r="B2344" t="str">
            <v>NEWBERRY, SC</v>
          </cell>
        </row>
        <row r="2345">
          <cell r="A2345">
            <v>45073</v>
          </cell>
          <cell r="B2345" t="str">
            <v>OCONEE, SC</v>
          </cell>
        </row>
        <row r="2346">
          <cell r="A2346">
            <v>45075</v>
          </cell>
          <cell r="B2346" t="str">
            <v>ORANGEBURG, SC</v>
          </cell>
        </row>
        <row r="2347">
          <cell r="A2347">
            <v>45077</v>
          </cell>
          <cell r="B2347" t="str">
            <v>PICKENS, SC</v>
          </cell>
        </row>
        <row r="2348">
          <cell r="A2348">
            <v>45079</v>
          </cell>
          <cell r="B2348" t="str">
            <v>RICHLAND, SC</v>
          </cell>
        </row>
        <row r="2349">
          <cell r="A2349">
            <v>45081</v>
          </cell>
          <cell r="B2349" t="str">
            <v>SALUDA, SC</v>
          </cell>
        </row>
        <row r="2350">
          <cell r="A2350">
            <v>45083</v>
          </cell>
          <cell r="B2350" t="str">
            <v>SPARTANBURG, SC</v>
          </cell>
        </row>
        <row r="2351">
          <cell r="A2351">
            <v>45085</v>
          </cell>
          <cell r="B2351" t="str">
            <v>SUMTER, SC</v>
          </cell>
        </row>
        <row r="2352">
          <cell r="A2352">
            <v>45087</v>
          </cell>
          <cell r="B2352" t="str">
            <v>UNION, SC</v>
          </cell>
        </row>
        <row r="2353">
          <cell r="A2353">
            <v>45089</v>
          </cell>
          <cell r="B2353" t="str">
            <v>WILLIAMSBURG, SC</v>
          </cell>
        </row>
        <row r="2354">
          <cell r="A2354">
            <v>45091</v>
          </cell>
          <cell r="B2354" t="str">
            <v>YORK, SC</v>
          </cell>
        </row>
        <row r="2355">
          <cell r="A2355">
            <v>46003</v>
          </cell>
          <cell r="B2355" t="str">
            <v>AURORA, SD</v>
          </cell>
        </row>
        <row r="2356">
          <cell r="A2356">
            <v>46005</v>
          </cell>
          <cell r="B2356" t="str">
            <v>BEADLE, SD</v>
          </cell>
        </row>
        <row r="2357">
          <cell r="A2357">
            <v>46007</v>
          </cell>
          <cell r="B2357" t="str">
            <v>BENNETT, SD</v>
          </cell>
        </row>
        <row r="2358">
          <cell r="A2358">
            <v>46009</v>
          </cell>
          <cell r="B2358" t="str">
            <v>BON HOMME, SD</v>
          </cell>
        </row>
        <row r="2359">
          <cell r="A2359">
            <v>46011</v>
          </cell>
          <cell r="B2359" t="str">
            <v>BROOKINGS, SD</v>
          </cell>
        </row>
        <row r="2360">
          <cell r="A2360">
            <v>46013</v>
          </cell>
          <cell r="B2360" t="str">
            <v>BROWN, SD</v>
          </cell>
        </row>
        <row r="2361">
          <cell r="A2361">
            <v>46015</v>
          </cell>
          <cell r="B2361" t="str">
            <v>BRULE, SD</v>
          </cell>
        </row>
        <row r="2362">
          <cell r="A2362">
            <v>46017</v>
          </cell>
          <cell r="B2362" t="str">
            <v>BUFFALO, SD</v>
          </cell>
        </row>
        <row r="2363">
          <cell r="A2363">
            <v>46019</v>
          </cell>
          <cell r="B2363" t="str">
            <v>BUTTE, SD</v>
          </cell>
        </row>
        <row r="2364">
          <cell r="A2364">
            <v>46021</v>
          </cell>
          <cell r="B2364" t="str">
            <v>CAMPBELL, SD</v>
          </cell>
        </row>
        <row r="2365">
          <cell r="A2365">
            <v>46023</v>
          </cell>
          <cell r="B2365" t="str">
            <v>CHARLES MIX, SD</v>
          </cell>
        </row>
        <row r="2366">
          <cell r="A2366">
            <v>46025</v>
          </cell>
          <cell r="B2366" t="str">
            <v>CLARK, SD</v>
          </cell>
        </row>
        <row r="2367">
          <cell r="A2367">
            <v>46027</v>
          </cell>
          <cell r="B2367" t="str">
            <v>CLAY, SD</v>
          </cell>
        </row>
        <row r="2368">
          <cell r="A2368">
            <v>46029</v>
          </cell>
          <cell r="B2368" t="str">
            <v>CODINGTON, SD</v>
          </cell>
        </row>
        <row r="2369">
          <cell r="A2369">
            <v>46031</v>
          </cell>
          <cell r="B2369" t="str">
            <v>CORSON, SD</v>
          </cell>
        </row>
        <row r="2370">
          <cell r="A2370">
            <v>46033</v>
          </cell>
          <cell r="B2370" t="str">
            <v>CUSTER, SD</v>
          </cell>
        </row>
        <row r="2371">
          <cell r="A2371">
            <v>46035</v>
          </cell>
          <cell r="B2371" t="str">
            <v>DAVISON, SD</v>
          </cell>
        </row>
        <row r="2372">
          <cell r="A2372">
            <v>46037</v>
          </cell>
          <cell r="B2372" t="str">
            <v>DAY, SD</v>
          </cell>
        </row>
        <row r="2373">
          <cell r="A2373">
            <v>46039</v>
          </cell>
          <cell r="B2373" t="str">
            <v>DEUEL, SD</v>
          </cell>
        </row>
        <row r="2374">
          <cell r="A2374">
            <v>46041</v>
          </cell>
          <cell r="B2374" t="str">
            <v>DEWEY, SD</v>
          </cell>
        </row>
        <row r="2375">
          <cell r="A2375">
            <v>46043</v>
          </cell>
          <cell r="B2375" t="str">
            <v>DOUGLAS, SD</v>
          </cell>
        </row>
        <row r="2376">
          <cell r="A2376">
            <v>46045</v>
          </cell>
          <cell r="B2376" t="str">
            <v>EDMUNDS, SD</v>
          </cell>
        </row>
        <row r="2377">
          <cell r="A2377">
            <v>46047</v>
          </cell>
          <cell r="B2377" t="str">
            <v>FALL RIVER, SD</v>
          </cell>
        </row>
        <row r="2378">
          <cell r="A2378">
            <v>46049</v>
          </cell>
          <cell r="B2378" t="str">
            <v>FAULK, SD</v>
          </cell>
        </row>
        <row r="2379">
          <cell r="A2379">
            <v>46051</v>
          </cell>
          <cell r="B2379" t="str">
            <v>GRANT, SD</v>
          </cell>
        </row>
        <row r="2380">
          <cell r="A2380">
            <v>46053</v>
          </cell>
          <cell r="B2380" t="str">
            <v>GREGORY, SD</v>
          </cell>
        </row>
        <row r="2381">
          <cell r="A2381">
            <v>46055</v>
          </cell>
          <cell r="B2381" t="str">
            <v>HAAKON, SD</v>
          </cell>
        </row>
        <row r="2382">
          <cell r="A2382">
            <v>46057</v>
          </cell>
          <cell r="B2382" t="str">
            <v>HAMLIN, SD</v>
          </cell>
        </row>
        <row r="2383">
          <cell r="A2383">
            <v>46059</v>
          </cell>
          <cell r="B2383" t="str">
            <v>HAND, SD</v>
          </cell>
        </row>
        <row r="2384">
          <cell r="A2384">
            <v>46061</v>
          </cell>
          <cell r="B2384" t="str">
            <v>HANSON, SD</v>
          </cell>
        </row>
        <row r="2385">
          <cell r="A2385">
            <v>46063</v>
          </cell>
          <cell r="B2385" t="str">
            <v>HARDING, SD</v>
          </cell>
        </row>
        <row r="2386">
          <cell r="A2386">
            <v>46065</v>
          </cell>
          <cell r="B2386" t="str">
            <v>HUGHES, SD</v>
          </cell>
        </row>
        <row r="2387">
          <cell r="A2387">
            <v>46067</v>
          </cell>
          <cell r="B2387" t="str">
            <v>HUTCHINSON, SD</v>
          </cell>
        </row>
        <row r="2388">
          <cell r="A2388">
            <v>46069</v>
          </cell>
          <cell r="B2388" t="str">
            <v>HYDE, SD</v>
          </cell>
        </row>
        <row r="2389">
          <cell r="A2389">
            <v>46071</v>
          </cell>
          <cell r="B2389" t="str">
            <v>JACKSON, SD</v>
          </cell>
        </row>
        <row r="2390">
          <cell r="A2390">
            <v>46073</v>
          </cell>
          <cell r="B2390" t="str">
            <v>JERAULD, SD</v>
          </cell>
        </row>
        <row r="2391">
          <cell r="A2391">
            <v>46075</v>
          </cell>
          <cell r="B2391" t="str">
            <v>JONES, SD</v>
          </cell>
        </row>
        <row r="2392">
          <cell r="A2392">
            <v>46077</v>
          </cell>
          <cell r="B2392" t="str">
            <v>KINGSBURY, SD</v>
          </cell>
        </row>
        <row r="2393">
          <cell r="A2393">
            <v>46079</v>
          </cell>
          <cell r="B2393" t="str">
            <v>LAKE, SD</v>
          </cell>
        </row>
        <row r="2394">
          <cell r="A2394">
            <v>46081</v>
          </cell>
          <cell r="B2394" t="str">
            <v>LAWRENCE, SD</v>
          </cell>
        </row>
        <row r="2395">
          <cell r="A2395">
            <v>46083</v>
          </cell>
          <cell r="B2395" t="str">
            <v>LINCOLN, SD</v>
          </cell>
        </row>
        <row r="2396">
          <cell r="A2396">
            <v>46085</v>
          </cell>
          <cell r="B2396" t="str">
            <v>LYMAN, SD</v>
          </cell>
        </row>
        <row r="2397">
          <cell r="A2397">
            <v>46087</v>
          </cell>
          <cell r="B2397" t="str">
            <v>MCCOOK, SD</v>
          </cell>
        </row>
        <row r="2398">
          <cell r="A2398">
            <v>46089</v>
          </cell>
          <cell r="B2398" t="str">
            <v>MC PHERSON, SD</v>
          </cell>
        </row>
        <row r="2399">
          <cell r="A2399">
            <v>46091</v>
          </cell>
          <cell r="B2399" t="str">
            <v>MARSHALL, SD</v>
          </cell>
        </row>
        <row r="2400">
          <cell r="A2400">
            <v>46093</v>
          </cell>
          <cell r="B2400" t="str">
            <v>MEADE, SD</v>
          </cell>
        </row>
        <row r="2401">
          <cell r="A2401">
            <v>46095</v>
          </cell>
          <cell r="B2401" t="str">
            <v>MELLETTE, SD</v>
          </cell>
        </row>
        <row r="2402">
          <cell r="A2402">
            <v>46097</v>
          </cell>
          <cell r="B2402" t="str">
            <v>MINER, SD</v>
          </cell>
        </row>
        <row r="2403">
          <cell r="A2403">
            <v>46099</v>
          </cell>
          <cell r="B2403" t="str">
            <v>MINNEHAHA, SD</v>
          </cell>
        </row>
        <row r="2404">
          <cell r="A2404">
            <v>46101</v>
          </cell>
          <cell r="B2404" t="str">
            <v>MOODY, SD</v>
          </cell>
        </row>
        <row r="2405">
          <cell r="A2405">
            <v>46103</v>
          </cell>
          <cell r="B2405" t="str">
            <v>PENNINGTON, SD</v>
          </cell>
        </row>
        <row r="2406">
          <cell r="A2406">
            <v>46105</v>
          </cell>
          <cell r="B2406" t="str">
            <v>PERKINS, SD</v>
          </cell>
        </row>
        <row r="2407">
          <cell r="A2407">
            <v>46107</v>
          </cell>
          <cell r="B2407" t="str">
            <v>POTTER, SD</v>
          </cell>
        </row>
        <row r="2408">
          <cell r="A2408">
            <v>46109</v>
          </cell>
          <cell r="B2408" t="str">
            <v>ROBERTS, SD</v>
          </cell>
        </row>
        <row r="2409">
          <cell r="A2409">
            <v>46111</v>
          </cell>
          <cell r="B2409" t="str">
            <v>SANBORN, SD</v>
          </cell>
        </row>
        <row r="2410">
          <cell r="A2410">
            <v>46113</v>
          </cell>
          <cell r="B2410" t="str">
            <v>SHANNON, SD</v>
          </cell>
        </row>
        <row r="2411">
          <cell r="A2411">
            <v>46115</v>
          </cell>
          <cell r="B2411" t="str">
            <v>SPINK, SD</v>
          </cell>
        </row>
        <row r="2412">
          <cell r="A2412">
            <v>46117</v>
          </cell>
          <cell r="B2412" t="str">
            <v>STANLEY, SD</v>
          </cell>
        </row>
        <row r="2413">
          <cell r="A2413">
            <v>46119</v>
          </cell>
          <cell r="B2413" t="str">
            <v>SULLY, SD</v>
          </cell>
        </row>
        <row r="2414">
          <cell r="A2414">
            <v>46121</v>
          </cell>
          <cell r="B2414" t="str">
            <v>TODD, SD</v>
          </cell>
        </row>
        <row r="2415">
          <cell r="A2415">
            <v>46123</v>
          </cell>
          <cell r="B2415" t="str">
            <v>TRIPP, SD</v>
          </cell>
        </row>
        <row r="2416">
          <cell r="A2416">
            <v>46125</v>
          </cell>
          <cell r="B2416" t="str">
            <v>TURNER, SD</v>
          </cell>
        </row>
        <row r="2417">
          <cell r="A2417">
            <v>46127</v>
          </cell>
          <cell r="B2417" t="str">
            <v>UNION, SD</v>
          </cell>
        </row>
        <row r="2418">
          <cell r="A2418">
            <v>46129</v>
          </cell>
          <cell r="B2418" t="str">
            <v>WALWORTH, SD</v>
          </cell>
        </row>
        <row r="2419">
          <cell r="A2419">
            <v>46135</v>
          </cell>
          <cell r="B2419" t="str">
            <v>YANKTON, SD</v>
          </cell>
        </row>
        <row r="2420">
          <cell r="A2420">
            <v>46137</v>
          </cell>
          <cell r="B2420" t="str">
            <v>ZIEBACH, SD</v>
          </cell>
        </row>
        <row r="2421">
          <cell r="A2421">
            <v>47001</v>
          </cell>
          <cell r="B2421" t="str">
            <v>ANDERSON, TN</v>
          </cell>
        </row>
        <row r="2422">
          <cell r="A2422">
            <v>47003</v>
          </cell>
          <cell r="B2422" t="str">
            <v>BEDFORD, TN</v>
          </cell>
        </row>
        <row r="2423">
          <cell r="A2423">
            <v>47005</v>
          </cell>
          <cell r="B2423" t="str">
            <v>BENTON, TN</v>
          </cell>
        </row>
        <row r="2424">
          <cell r="A2424">
            <v>47007</v>
          </cell>
          <cell r="B2424" t="str">
            <v>BLEDSOE, TN</v>
          </cell>
        </row>
        <row r="2425">
          <cell r="A2425">
            <v>47009</v>
          </cell>
          <cell r="B2425" t="str">
            <v>BLOUNT, TN</v>
          </cell>
        </row>
        <row r="2426">
          <cell r="A2426">
            <v>47011</v>
          </cell>
          <cell r="B2426" t="str">
            <v>BRADLEY, TN</v>
          </cell>
        </row>
        <row r="2427">
          <cell r="A2427">
            <v>47013</v>
          </cell>
          <cell r="B2427" t="str">
            <v>CAMPBELL, TN</v>
          </cell>
        </row>
        <row r="2428">
          <cell r="A2428">
            <v>47015</v>
          </cell>
          <cell r="B2428" t="str">
            <v>CANNON, TN</v>
          </cell>
        </row>
        <row r="2429">
          <cell r="A2429">
            <v>47017</v>
          </cell>
          <cell r="B2429" t="str">
            <v>CARROLL, TN</v>
          </cell>
        </row>
        <row r="2430">
          <cell r="A2430">
            <v>47019</v>
          </cell>
          <cell r="B2430" t="str">
            <v>CARTER, TN</v>
          </cell>
        </row>
        <row r="2431">
          <cell r="A2431">
            <v>47021</v>
          </cell>
          <cell r="B2431" t="str">
            <v>CHEATHAM, TN</v>
          </cell>
        </row>
        <row r="2432">
          <cell r="A2432">
            <v>47023</v>
          </cell>
          <cell r="B2432" t="str">
            <v>CHESTER, TN</v>
          </cell>
        </row>
        <row r="2433">
          <cell r="A2433">
            <v>47025</v>
          </cell>
          <cell r="B2433" t="str">
            <v>CLAIBORNE, TN</v>
          </cell>
        </row>
        <row r="2434">
          <cell r="A2434">
            <v>47027</v>
          </cell>
          <cell r="B2434" t="str">
            <v>CLAY, TN</v>
          </cell>
        </row>
        <row r="2435">
          <cell r="A2435">
            <v>47029</v>
          </cell>
          <cell r="B2435" t="str">
            <v>COCKE, TN</v>
          </cell>
        </row>
        <row r="2436">
          <cell r="A2436">
            <v>47031</v>
          </cell>
          <cell r="B2436" t="str">
            <v>COFFEE, TN</v>
          </cell>
        </row>
        <row r="2437">
          <cell r="A2437">
            <v>47033</v>
          </cell>
          <cell r="B2437" t="str">
            <v>CROCKETT, TN</v>
          </cell>
        </row>
        <row r="2438">
          <cell r="A2438">
            <v>47035</v>
          </cell>
          <cell r="B2438" t="str">
            <v>CUMBERLAND, TN</v>
          </cell>
        </row>
        <row r="2439">
          <cell r="A2439">
            <v>47037</v>
          </cell>
          <cell r="B2439" t="str">
            <v>DAVIDSON, TN</v>
          </cell>
        </row>
        <row r="2440">
          <cell r="A2440">
            <v>47039</v>
          </cell>
          <cell r="B2440" t="str">
            <v>DECATUR, TN</v>
          </cell>
        </row>
        <row r="2441">
          <cell r="A2441">
            <v>47041</v>
          </cell>
          <cell r="B2441" t="str">
            <v>DEKALB, TN</v>
          </cell>
        </row>
        <row r="2442">
          <cell r="A2442">
            <v>47043</v>
          </cell>
          <cell r="B2442" t="str">
            <v>DICKSON, TN</v>
          </cell>
        </row>
        <row r="2443">
          <cell r="A2443">
            <v>47045</v>
          </cell>
          <cell r="B2443" t="str">
            <v>DYER, TN</v>
          </cell>
        </row>
        <row r="2444">
          <cell r="A2444">
            <v>47047</v>
          </cell>
          <cell r="B2444" t="str">
            <v>FAYETTE, TN</v>
          </cell>
        </row>
        <row r="2445">
          <cell r="A2445">
            <v>47049</v>
          </cell>
          <cell r="B2445" t="str">
            <v>FENTRESS, TN</v>
          </cell>
        </row>
        <row r="2446">
          <cell r="A2446">
            <v>47051</v>
          </cell>
          <cell r="B2446" t="str">
            <v>FRANKLIN, TN</v>
          </cell>
        </row>
        <row r="2447">
          <cell r="A2447">
            <v>47053</v>
          </cell>
          <cell r="B2447" t="str">
            <v>GIBSON, TN</v>
          </cell>
        </row>
        <row r="2448">
          <cell r="A2448">
            <v>47055</v>
          </cell>
          <cell r="B2448" t="str">
            <v>GILES, TN</v>
          </cell>
        </row>
        <row r="2449">
          <cell r="A2449">
            <v>47057</v>
          </cell>
          <cell r="B2449" t="str">
            <v>GRAINGER, TN</v>
          </cell>
        </row>
        <row r="2450">
          <cell r="A2450">
            <v>47059</v>
          </cell>
          <cell r="B2450" t="str">
            <v>GREENE, TN</v>
          </cell>
        </row>
        <row r="2451">
          <cell r="A2451">
            <v>47061</v>
          </cell>
          <cell r="B2451" t="str">
            <v>GRUNDY, TN</v>
          </cell>
        </row>
        <row r="2452">
          <cell r="A2452">
            <v>47063</v>
          </cell>
          <cell r="B2452" t="str">
            <v>HAMBLEN, TN</v>
          </cell>
        </row>
        <row r="2453">
          <cell r="A2453">
            <v>47065</v>
          </cell>
          <cell r="B2453" t="str">
            <v>HAMILTON, TN</v>
          </cell>
        </row>
        <row r="2454">
          <cell r="A2454">
            <v>47067</v>
          </cell>
          <cell r="B2454" t="str">
            <v>HANCOCK, TN</v>
          </cell>
        </row>
        <row r="2455">
          <cell r="A2455">
            <v>47069</v>
          </cell>
          <cell r="B2455" t="str">
            <v>HARDEMAN, TN</v>
          </cell>
        </row>
        <row r="2456">
          <cell r="A2456">
            <v>47071</v>
          </cell>
          <cell r="B2456" t="str">
            <v>HARDIN, TN</v>
          </cell>
        </row>
        <row r="2457">
          <cell r="A2457">
            <v>47073</v>
          </cell>
          <cell r="B2457" t="str">
            <v>HAWKINS, TN</v>
          </cell>
        </row>
        <row r="2458">
          <cell r="A2458">
            <v>47075</v>
          </cell>
          <cell r="B2458" t="str">
            <v>HAYWOOD, TN</v>
          </cell>
        </row>
        <row r="2459">
          <cell r="A2459">
            <v>47077</v>
          </cell>
          <cell r="B2459" t="str">
            <v>HENDERSON, TN</v>
          </cell>
        </row>
        <row r="2460">
          <cell r="A2460">
            <v>47079</v>
          </cell>
          <cell r="B2460" t="str">
            <v>HENRY, TN</v>
          </cell>
        </row>
        <row r="2461">
          <cell r="A2461">
            <v>47081</v>
          </cell>
          <cell r="B2461" t="str">
            <v>HICKMAN, TN</v>
          </cell>
        </row>
        <row r="2462">
          <cell r="A2462">
            <v>47083</v>
          </cell>
          <cell r="B2462" t="str">
            <v>HOUSTON, TN</v>
          </cell>
        </row>
        <row r="2463">
          <cell r="A2463">
            <v>47085</v>
          </cell>
          <cell r="B2463" t="str">
            <v>HUMPHREYS, TN</v>
          </cell>
        </row>
        <row r="2464">
          <cell r="A2464">
            <v>47087</v>
          </cell>
          <cell r="B2464" t="str">
            <v>JACKSON, TN</v>
          </cell>
        </row>
        <row r="2465">
          <cell r="A2465">
            <v>47089</v>
          </cell>
          <cell r="B2465" t="str">
            <v>JEFFERSON, TN</v>
          </cell>
        </row>
        <row r="2466">
          <cell r="A2466">
            <v>47091</v>
          </cell>
          <cell r="B2466" t="str">
            <v>JOHNSON, TN</v>
          </cell>
        </row>
        <row r="2467">
          <cell r="A2467">
            <v>47093</v>
          </cell>
          <cell r="B2467" t="str">
            <v>KNOX, TN</v>
          </cell>
        </row>
        <row r="2468">
          <cell r="A2468">
            <v>47095</v>
          </cell>
          <cell r="B2468" t="str">
            <v>LAKE, TN</v>
          </cell>
        </row>
        <row r="2469">
          <cell r="A2469">
            <v>47097</v>
          </cell>
          <cell r="B2469" t="str">
            <v>LAUDERDALE, TN</v>
          </cell>
        </row>
        <row r="2470">
          <cell r="A2470">
            <v>47099</v>
          </cell>
          <cell r="B2470" t="str">
            <v>LAWRENCE, TN</v>
          </cell>
        </row>
        <row r="2471">
          <cell r="A2471">
            <v>47101</v>
          </cell>
          <cell r="B2471" t="str">
            <v>LEWIS, TN</v>
          </cell>
        </row>
        <row r="2472">
          <cell r="A2472">
            <v>47103</v>
          </cell>
          <cell r="B2472" t="str">
            <v>LINCOLN, TN</v>
          </cell>
        </row>
        <row r="2473">
          <cell r="A2473">
            <v>47105</v>
          </cell>
          <cell r="B2473" t="str">
            <v>LOUDON, TN</v>
          </cell>
        </row>
        <row r="2474">
          <cell r="A2474">
            <v>47107</v>
          </cell>
          <cell r="B2474" t="str">
            <v>MCMINN, TN</v>
          </cell>
        </row>
        <row r="2475">
          <cell r="A2475">
            <v>47109</v>
          </cell>
          <cell r="B2475" t="str">
            <v>MCNAIRY, TN</v>
          </cell>
        </row>
        <row r="2476">
          <cell r="A2476">
            <v>47111</v>
          </cell>
          <cell r="B2476" t="str">
            <v>MACON, TN</v>
          </cell>
        </row>
        <row r="2477">
          <cell r="A2477">
            <v>47113</v>
          </cell>
          <cell r="B2477" t="str">
            <v>MADISON, TN</v>
          </cell>
        </row>
        <row r="2478">
          <cell r="A2478">
            <v>47115</v>
          </cell>
          <cell r="B2478" t="str">
            <v>MARION, TN</v>
          </cell>
        </row>
        <row r="2479">
          <cell r="A2479">
            <v>47117</v>
          </cell>
          <cell r="B2479" t="str">
            <v>MARSHALL, TN</v>
          </cell>
        </row>
        <row r="2480">
          <cell r="A2480">
            <v>47119</v>
          </cell>
          <cell r="B2480" t="str">
            <v>MAURY, TN</v>
          </cell>
        </row>
        <row r="2481">
          <cell r="A2481">
            <v>47121</v>
          </cell>
          <cell r="B2481" t="str">
            <v>MEIGS, TN</v>
          </cell>
        </row>
        <row r="2482">
          <cell r="A2482">
            <v>47123</v>
          </cell>
          <cell r="B2482" t="str">
            <v>MONROE, TN</v>
          </cell>
        </row>
        <row r="2483">
          <cell r="A2483">
            <v>47125</v>
          </cell>
          <cell r="B2483" t="str">
            <v>MONTGOMERY, TN</v>
          </cell>
        </row>
        <row r="2484">
          <cell r="A2484">
            <v>47127</v>
          </cell>
          <cell r="B2484" t="str">
            <v>MOORE, TN</v>
          </cell>
        </row>
        <row r="2485">
          <cell r="A2485">
            <v>47129</v>
          </cell>
          <cell r="B2485" t="str">
            <v>MORGAN, TN</v>
          </cell>
        </row>
        <row r="2486">
          <cell r="A2486">
            <v>47131</v>
          </cell>
          <cell r="B2486" t="str">
            <v>OBION, TN</v>
          </cell>
        </row>
        <row r="2487">
          <cell r="A2487">
            <v>47133</v>
          </cell>
          <cell r="B2487" t="str">
            <v>OVERTON, TN</v>
          </cell>
        </row>
        <row r="2488">
          <cell r="A2488">
            <v>47135</v>
          </cell>
          <cell r="B2488" t="str">
            <v>PERRY, TN</v>
          </cell>
        </row>
        <row r="2489">
          <cell r="A2489">
            <v>47137</v>
          </cell>
          <cell r="B2489" t="str">
            <v>PICKETT, TN</v>
          </cell>
        </row>
        <row r="2490">
          <cell r="A2490">
            <v>47139</v>
          </cell>
          <cell r="B2490" t="str">
            <v>POLK, TN</v>
          </cell>
        </row>
        <row r="2491">
          <cell r="A2491">
            <v>47141</v>
          </cell>
          <cell r="B2491" t="str">
            <v>PUTNAM, TN</v>
          </cell>
        </row>
        <row r="2492">
          <cell r="A2492">
            <v>47143</v>
          </cell>
          <cell r="B2492" t="str">
            <v>RHEA, TN</v>
          </cell>
        </row>
        <row r="2493">
          <cell r="A2493">
            <v>47145</v>
          </cell>
          <cell r="B2493" t="str">
            <v>ROANE, TN</v>
          </cell>
        </row>
        <row r="2494">
          <cell r="A2494">
            <v>47147</v>
          </cell>
          <cell r="B2494" t="str">
            <v>ROBERTSON, TN</v>
          </cell>
        </row>
        <row r="2495">
          <cell r="A2495">
            <v>47149</v>
          </cell>
          <cell r="B2495" t="str">
            <v>RUTHERFORD, TN</v>
          </cell>
        </row>
        <row r="2496">
          <cell r="A2496">
            <v>47151</v>
          </cell>
          <cell r="B2496" t="str">
            <v>SCOTT, TN</v>
          </cell>
        </row>
        <row r="2497">
          <cell r="A2497">
            <v>47153</v>
          </cell>
          <cell r="B2497" t="str">
            <v>SEQUATCHIE, TN</v>
          </cell>
        </row>
        <row r="2498">
          <cell r="A2498">
            <v>47155</v>
          </cell>
          <cell r="B2498" t="str">
            <v>SEVIER, TN</v>
          </cell>
        </row>
        <row r="2499">
          <cell r="A2499">
            <v>47157</v>
          </cell>
          <cell r="B2499" t="str">
            <v>SHELBY, TN</v>
          </cell>
        </row>
        <row r="2500">
          <cell r="A2500">
            <v>47159</v>
          </cell>
          <cell r="B2500" t="str">
            <v>SMITH, TN</v>
          </cell>
        </row>
        <row r="2501">
          <cell r="A2501">
            <v>47161</v>
          </cell>
          <cell r="B2501" t="str">
            <v>STEWART, TN</v>
          </cell>
        </row>
        <row r="2502">
          <cell r="A2502">
            <v>47163</v>
          </cell>
          <cell r="B2502" t="str">
            <v>SULLIVAN, TN</v>
          </cell>
        </row>
        <row r="2503">
          <cell r="A2503">
            <v>47165</v>
          </cell>
          <cell r="B2503" t="str">
            <v>SUMNER, TN</v>
          </cell>
        </row>
        <row r="2504">
          <cell r="A2504">
            <v>47167</v>
          </cell>
          <cell r="B2504" t="str">
            <v>TIPTON, TN</v>
          </cell>
        </row>
        <row r="2505">
          <cell r="A2505">
            <v>47169</v>
          </cell>
          <cell r="B2505" t="str">
            <v>TROUSDALE, TN</v>
          </cell>
        </row>
        <row r="2506">
          <cell r="A2506">
            <v>47171</v>
          </cell>
          <cell r="B2506" t="str">
            <v>UNICOI, TN</v>
          </cell>
        </row>
        <row r="2507">
          <cell r="A2507">
            <v>47173</v>
          </cell>
          <cell r="B2507" t="str">
            <v>UNION, TN</v>
          </cell>
        </row>
        <row r="2508">
          <cell r="A2508">
            <v>47175</v>
          </cell>
          <cell r="B2508" t="str">
            <v>VAN BUREN, TN</v>
          </cell>
        </row>
        <row r="2509">
          <cell r="A2509">
            <v>47177</v>
          </cell>
          <cell r="B2509" t="str">
            <v>WARREN, TN</v>
          </cell>
        </row>
        <row r="2510">
          <cell r="A2510">
            <v>47179</v>
          </cell>
          <cell r="B2510" t="str">
            <v>WASHINGTON, TN</v>
          </cell>
        </row>
        <row r="2511">
          <cell r="A2511">
            <v>47181</v>
          </cell>
          <cell r="B2511" t="str">
            <v>WAYNE, TN</v>
          </cell>
        </row>
        <row r="2512">
          <cell r="A2512">
            <v>47183</v>
          </cell>
          <cell r="B2512" t="str">
            <v>WEAKLEY, TN</v>
          </cell>
        </row>
        <row r="2513">
          <cell r="A2513">
            <v>47185</v>
          </cell>
          <cell r="B2513" t="str">
            <v>WHITE, TN</v>
          </cell>
        </row>
        <row r="2514">
          <cell r="A2514">
            <v>47187</v>
          </cell>
          <cell r="B2514" t="str">
            <v>WILLIAMSON, TN</v>
          </cell>
        </row>
        <row r="2515">
          <cell r="A2515">
            <v>47189</v>
          </cell>
          <cell r="B2515" t="str">
            <v>WILSON, TN</v>
          </cell>
        </row>
        <row r="2516">
          <cell r="A2516">
            <v>48001</v>
          </cell>
          <cell r="B2516" t="str">
            <v>ANDERSON, TX</v>
          </cell>
        </row>
        <row r="2517">
          <cell r="A2517">
            <v>48003</v>
          </cell>
          <cell r="B2517" t="str">
            <v>ANDREWS, TX</v>
          </cell>
        </row>
        <row r="2518">
          <cell r="A2518">
            <v>48005</v>
          </cell>
          <cell r="B2518" t="str">
            <v>ANGELINA, TX</v>
          </cell>
        </row>
        <row r="2519">
          <cell r="A2519">
            <v>48007</v>
          </cell>
          <cell r="B2519" t="str">
            <v>ARANSAS, TX</v>
          </cell>
        </row>
        <row r="2520">
          <cell r="A2520">
            <v>48009</v>
          </cell>
          <cell r="B2520" t="str">
            <v>ARCHER, TX</v>
          </cell>
        </row>
        <row r="2521">
          <cell r="A2521">
            <v>48011</v>
          </cell>
          <cell r="B2521" t="str">
            <v>ARMSTRONG, TX</v>
          </cell>
        </row>
        <row r="2522">
          <cell r="A2522">
            <v>48013</v>
          </cell>
          <cell r="B2522" t="str">
            <v>ATASCOSA, TX</v>
          </cell>
        </row>
        <row r="2523">
          <cell r="A2523">
            <v>48015</v>
          </cell>
          <cell r="B2523" t="str">
            <v>AUSTIN, TX</v>
          </cell>
        </row>
        <row r="2524">
          <cell r="A2524">
            <v>48017</v>
          </cell>
          <cell r="B2524" t="str">
            <v>BAILEY, TX</v>
          </cell>
        </row>
        <row r="2525">
          <cell r="A2525">
            <v>48019</v>
          </cell>
          <cell r="B2525" t="str">
            <v>BANDERA, TX</v>
          </cell>
        </row>
        <row r="2526">
          <cell r="A2526">
            <v>48021</v>
          </cell>
          <cell r="B2526" t="str">
            <v>BASTROP, TX</v>
          </cell>
        </row>
        <row r="2527">
          <cell r="A2527">
            <v>48023</v>
          </cell>
          <cell r="B2527" t="str">
            <v>BAYLOR, TX</v>
          </cell>
        </row>
        <row r="2528">
          <cell r="A2528">
            <v>48025</v>
          </cell>
          <cell r="B2528" t="str">
            <v>BEE, TX</v>
          </cell>
        </row>
        <row r="2529">
          <cell r="A2529">
            <v>48027</v>
          </cell>
          <cell r="B2529" t="str">
            <v>BELL, TX</v>
          </cell>
        </row>
        <row r="2530">
          <cell r="A2530">
            <v>48029</v>
          </cell>
          <cell r="B2530" t="str">
            <v>BEXAR, TX</v>
          </cell>
        </row>
        <row r="2531">
          <cell r="A2531">
            <v>48031</v>
          </cell>
          <cell r="B2531" t="str">
            <v>BLANCO, TX</v>
          </cell>
        </row>
        <row r="2532">
          <cell r="A2532">
            <v>48033</v>
          </cell>
          <cell r="B2532" t="str">
            <v>BORDEN, TX</v>
          </cell>
        </row>
        <row r="2533">
          <cell r="A2533">
            <v>48035</v>
          </cell>
          <cell r="B2533" t="str">
            <v>BOSQUE, TX</v>
          </cell>
        </row>
        <row r="2534">
          <cell r="A2534">
            <v>48037</v>
          </cell>
          <cell r="B2534" t="str">
            <v>BOWIE, TX</v>
          </cell>
        </row>
        <row r="2535">
          <cell r="A2535">
            <v>48039</v>
          </cell>
          <cell r="B2535" t="str">
            <v>BRAZORIA, TX</v>
          </cell>
        </row>
        <row r="2536">
          <cell r="A2536">
            <v>48041</v>
          </cell>
          <cell r="B2536" t="str">
            <v>BRAZOS, TX</v>
          </cell>
        </row>
        <row r="2537">
          <cell r="A2537">
            <v>48043</v>
          </cell>
          <cell r="B2537" t="str">
            <v>BREWSTER, TX</v>
          </cell>
        </row>
        <row r="2538">
          <cell r="A2538">
            <v>48045</v>
          </cell>
          <cell r="B2538" t="str">
            <v>BRISCOE, TX</v>
          </cell>
        </row>
        <row r="2539">
          <cell r="A2539">
            <v>48047</v>
          </cell>
          <cell r="B2539" t="str">
            <v>BROOKS, TX</v>
          </cell>
        </row>
        <row r="2540">
          <cell r="A2540">
            <v>48049</v>
          </cell>
          <cell r="B2540" t="str">
            <v>BROWN, TX</v>
          </cell>
        </row>
        <row r="2541">
          <cell r="A2541">
            <v>48051</v>
          </cell>
          <cell r="B2541" t="str">
            <v>BURLESON, TX</v>
          </cell>
        </row>
        <row r="2542">
          <cell r="A2542">
            <v>48053</v>
          </cell>
          <cell r="B2542" t="str">
            <v>BURNET, TX</v>
          </cell>
        </row>
        <row r="2543">
          <cell r="A2543">
            <v>48055</v>
          </cell>
          <cell r="B2543" t="str">
            <v>CALDWELL, TX</v>
          </cell>
        </row>
        <row r="2544">
          <cell r="A2544">
            <v>48057</v>
          </cell>
          <cell r="B2544" t="str">
            <v>CALHOUN, TX</v>
          </cell>
        </row>
        <row r="2545">
          <cell r="A2545">
            <v>48059</v>
          </cell>
          <cell r="B2545" t="str">
            <v>CALLAHAN, TX</v>
          </cell>
        </row>
        <row r="2546">
          <cell r="A2546">
            <v>48061</v>
          </cell>
          <cell r="B2546" t="str">
            <v>CAMERON, TX</v>
          </cell>
        </row>
        <row r="2547">
          <cell r="A2547">
            <v>48063</v>
          </cell>
          <cell r="B2547" t="str">
            <v>CAMP, TX</v>
          </cell>
        </row>
        <row r="2548">
          <cell r="A2548">
            <v>48065</v>
          </cell>
          <cell r="B2548" t="str">
            <v>CARSON, TX</v>
          </cell>
        </row>
        <row r="2549">
          <cell r="A2549">
            <v>48067</v>
          </cell>
          <cell r="B2549" t="str">
            <v>CASS, TX</v>
          </cell>
        </row>
        <row r="2550">
          <cell r="A2550">
            <v>48069</v>
          </cell>
          <cell r="B2550" t="str">
            <v>CASTRO, TX</v>
          </cell>
        </row>
        <row r="2551">
          <cell r="A2551">
            <v>48071</v>
          </cell>
          <cell r="B2551" t="str">
            <v>CHAMBERS, TX</v>
          </cell>
        </row>
        <row r="2552">
          <cell r="A2552">
            <v>48073</v>
          </cell>
          <cell r="B2552" t="str">
            <v>CHEROKEE, TX</v>
          </cell>
        </row>
        <row r="2553">
          <cell r="A2553">
            <v>48075</v>
          </cell>
          <cell r="B2553" t="str">
            <v>CHILDRESS, TX</v>
          </cell>
        </row>
        <row r="2554">
          <cell r="A2554">
            <v>48077</v>
          </cell>
          <cell r="B2554" t="str">
            <v>CLAY, TX</v>
          </cell>
        </row>
        <row r="2555">
          <cell r="A2555">
            <v>48079</v>
          </cell>
          <cell r="B2555" t="str">
            <v>COCHRAN, TX</v>
          </cell>
        </row>
        <row r="2556">
          <cell r="A2556">
            <v>48081</v>
          </cell>
          <cell r="B2556" t="str">
            <v>COKE, TX</v>
          </cell>
        </row>
        <row r="2557">
          <cell r="A2557">
            <v>48083</v>
          </cell>
          <cell r="B2557" t="str">
            <v>COLEMAN, TX</v>
          </cell>
        </row>
        <row r="2558">
          <cell r="A2558">
            <v>48085</v>
          </cell>
          <cell r="B2558" t="str">
            <v>COLLIN, TX</v>
          </cell>
        </row>
        <row r="2559">
          <cell r="A2559">
            <v>48087</v>
          </cell>
          <cell r="B2559" t="str">
            <v>COLLINGSWORTH, TX</v>
          </cell>
        </row>
        <row r="2560">
          <cell r="A2560">
            <v>48089</v>
          </cell>
          <cell r="B2560" t="str">
            <v>COLORADO, TX</v>
          </cell>
        </row>
        <row r="2561">
          <cell r="A2561">
            <v>48091</v>
          </cell>
          <cell r="B2561" t="str">
            <v>COMAL, TX</v>
          </cell>
        </row>
        <row r="2562">
          <cell r="A2562">
            <v>48093</v>
          </cell>
          <cell r="B2562" t="str">
            <v>COMANCHE, TX</v>
          </cell>
        </row>
        <row r="2563">
          <cell r="A2563">
            <v>48095</v>
          </cell>
          <cell r="B2563" t="str">
            <v>CONCHO, TX</v>
          </cell>
        </row>
        <row r="2564">
          <cell r="A2564">
            <v>48097</v>
          </cell>
          <cell r="B2564" t="str">
            <v>COOKE, TX</v>
          </cell>
        </row>
        <row r="2565">
          <cell r="A2565">
            <v>48099</v>
          </cell>
          <cell r="B2565" t="str">
            <v>CORYELL, TX</v>
          </cell>
        </row>
        <row r="2566">
          <cell r="A2566">
            <v>48101</v>
          </cell>
          <cell r="B2566" t="str">
            <v>COTTLE, TX</v>
          </cell>
        </row>
        <row r="2567">
          <cell r="A2567">
            <v>48103</v>
          </cell>
          <cell r="B2567" t="str">
            <v>CRANE, TX</v>
          </cell>
        </row>
        <row r="2568">
          <cell r="A2568">
            <v>48105</v>
          </cell>
          <cell r="B2568" t="str">
            <v>CROCKETT, TX</v>
          </cell>
        </row>
        <row r="2569">
          <cell r="A2569">
            <v>48107</v>
          </cell>
          <cell r="B2569" t="str">
            <v>CROSBY, TX</v>
          </cell>
        </row>
        <row r="2570">
          <cell r="A2570">
            <v>48109</v>
          </cell>
          <cell r="B2570" t="str">
            <v>CULBERSON, TX</v>
          </cell>
        </row>
        <row r="2571">
          <cell r="A2571">
            <v>48111</v>
          </cell>
          <cell r="B2571" t="str">
            <v>DALLAM, TX</v>
          </cell>
        </row>
        <row r="2572">
          <cell r="A2572">
            <v>48113</v>
          </cell>
          <cell r="B2572" t="str">
            <v>DALLAS, TX</v>
          </cell>
        </row>
        <row r="2573">
          <cell r="A2573">
            <v>48115</v>
          </cell>
          <cell r="B2573" t="str">
            <v>DAWSON, TX</v>
          </cell>
        </row>
        <row r="2574">
          <cell r="A2574">
            <v>48117</v>
          </cell>
          <cell r="B2574" t="str">
            <v>DEAF SMITH, TX</v>
          </cell>
        </row>
        <row r="2575">
          <cell r="A2575">
            <v>48119</v>
          </cell>
          <cell r="B2575" t="str">
            <v>DELTA, TX</v>
          </cell>
        </row>
        <row r="2576">
          <cell r="A2576">
            <v>48121</v>
          </cell>
          <cell r="B2576" t="str">
            <v>DENTON, TX</v>
          </cell>
        </row>
        <row r="2577">
          <cell r="A2577">
            <v>48123</v>
          </cell>
          <cell r="B2577" t="str">
            <v>DE WITT, TX</v>
          </cell>
        </row>
        <row r="2578">
          <cell r="A2578">
            <v>48125</v>
          </cell>
          <cell r="B2578" t="str">
            <v>DICKENS, TX</v>
          </cell>
        </row>
        <row r="2579">
          <cell r="A2579">
            <v>48127</v>
          </cell>
          <cell r="B2579" t="str">
            <v>DIMMIT, TX</v>
          </cell>
        </row>
        <row r="2580">
          <cell r="A2580">
            <v>48129</v>
          </cell>
          <cell r="B2580" t="str">
            <v>DONLEY, TX</v>
          </cell>
        </row>
        <row r="2581">
          <cell r="A2581">
            <v>48131</v>
          </cell>
          <cell r="B2581" t="str">
            <v>DUVAL, TX</v>
          </cell>
        </row>
        <row r="2582">
          <cell r="A2582">
            <v>48133</v>
          </cell>
          <cell r="B2582" t="str">
            <v>EASTLAND, TX</v>
          </cell>
        </row>
        <row r="2583">
          <cell r="A2583">
            <v>48135</v>
          </cell>
          <cell r="B2583" t="str">
            <v>ECTOR, TX</v>
          </cell>
        </row>
        <row r="2584">
          <cell r="A2584">
            <v>48137</v>
          </cell>
          <cell r="B2584" t="str">
            <v>EDWARDS, TX</v>
          </cell>
        </row>
        <row r="2585">
          <cell r="A2585">
            <v>48139</v>
          </cell>
          <cell r="B2585" t="str">
            <v>ELLIS, TX</v>
          </cell>
        </row>
        <row r="2586">
          <cell r="A2586">
            <v>48141</v>
          </cell>
          <cell r="B2586" t="str">
            <v>EL PASO, TX</v>
          </cell>
        </row>
        <row r="2587">
          <cell r="A2587">
            <v>48143</v>
          </cell>
          <cell r="B2587" t="str">
            <v>ERATH, TX</v>
          </cell>
        </row>
        <row r="2588">
          <cell r="A2588">
            <v>48145</v>
          </cell>
          <cell r="B2588" t="str">
            <v>FALLS, TX</v>
          </cell>
        </row>
        <row r="2589">
          <cell r="A2589">
            <v>48147</v>
          </cell>
          <cell r="B2589" t="str">
            <v>FANNIN, TX</v>
          </cell>
        </row>
        <row r="2590">
          <cell r="A2590">
            <v>48149</v>
          </cell>
          <cell r="B2590" t="str">
            <v>FAYETTE, TX</v>
          </cell>
        </row>
        <row r="2591">
          <cell r="A2591">
            <v>48151</v>
          </cell>
          <cell r="B2591" t="str">
            <v>FISHER, TX</v>
          </cell>
        </row>
        <row r="2592">
          <cell r="A2592">
            <v>48153</v>
          </cell>
          <cell r="B2592" t="str">
            <v>FLOYD, TX</v>
          </cell>
        </row>
        <row r="2593">
          <cell r="A2593">
            <v>48155</v>
          </cell>
          <cell r="B2593" t="str">
            <v>FOARD, TX</v>
          </cell>
        </row>
        <row r="2594">
          <cell r="A2594">
            <v>48157</v>
          </cell>
          <cell r="B2594" t="str">
            <v>FORT BEND, TX</v>
          </cell>
        </row>
        <row r="2595">
          <cell r="A2595">
            <v>48159</v>
          </cell>
          <cell r="B2595" t="str">
            <v>FRANKLIN, TX</v>
          </cell>
        </row>
        <row r="2596">
          <cell r="A2596">
            <v>48161</v>
          </cell>
          <cell r="B2596" t="str">
            <v>FREESTONE, TX</v>
          </cell>
        </row>
        <row r="2597">
          <cell r="A2597">
            <v>48163</v>
          </cell>
          <cell r="B2597" t="str">
            <v>FRIO, TX</v>
          </cell>
        </row>
        <row r="2598">
          <cell r="A2598">
            <v>48165</v>
          </cell>
          <cell r="B2598" t="str">
            <v>GAINES, TX</v>
          </cell>
        </row>
        <row r="2599">
          <cell r="A2599">
            <v>48167</v>
          </cell>
          <cell r="B2599" t="str">
            <v>GALVESTON, TX</v>
          </cell>
        </row>
        <row r="2600">
          <cell r="A2600">
            <v>48169</v>
          </cell>
          <cell r="B2600" t="str">
            <v>GARZA, TX</v>
          </cell>
        </row>
        <row r="2601">
          <cell r="A2601">
            <v>48171</v>
          </cell>
          <cell r="B2601" t="str">
            <v>GILLESPIE, TX</v>
          </cell>
        </row>
        <row r="2602">
          <cell r="A2602">
            <v>48173</v>
          </cell>
          <cell r="B2602" t="str">
            <v>GLASSCOCK, TX</v>
          </cell>
        </row>
        <row r="2603">
          <cell r="A2603">
            <v>48175</v>
          </cell>
          <cell r="B2603" t="str">
            <v>GOLIAD, TX</v>
          </cell>
        </row>
        <row r="2604">
          <cell r="A2604">
            <v>48177</v>
          </cell>
          <cell r="B2604" t="str">
            <v>GONZALES, TX</v>
          </cell>
        </row>
        <row r="2605">
          <cell r="A2605">
            <v>48179</v>
          </cell>
          <cell r="B2605" t="str">
            <v>GRAY, TX</v>
          </cell>
        </row>
        <row r="2606">
          <cell r="A2606">
            <v>48181</v>
          </cell>
          <cell r="B2606" t="str">
            <v>GRAYSON, TX</v>
          </cell>
        </row>
        <row r="2607">
          <cell r="A2607">
            <v>48183</v>
          </cell>
          <cell r="B2607" t="str">
            <v>GREGG, TX</v>
          </cell>
        </row>
        <row r="2608">
          <cell r="A2608">
            <v>48185</v>
          </cell>
          <cell r="B2608" t="str">
            <v>GRIMES, TX</v>
          </cell>
        </row>
        <row r="2609">
          <cell r="A2609">
            <v>48187</v>
          </cell>
          <cell r="B2609" t="str">
            <v>GUADALUPE, TX</v>
          </cell>
        </row>
        <row r="2610">
          <cell r="A2610">
            <v>48189</v>
          </cell>
          <cell r="B2610" t="str">
            <v>HALE, TX</v>
          </cell>
        </row>
        <row r="2611">
          <cell r="A2611">
            <v>48191</v>
          </cell>
          <cell r="B2611" t="str">
            <v>HALL, TX</v>
          </cell>
        </row>
        <row r="2612">
          <cell r="A2612">
            <v>48193</v>
          </cell>
          <cell r="B2612" t="str">
            <v>HAMILTON, TX</v>
          </cell>
        </row>
        <row r="2613">
          <cell r="A2613">
            <v>48195</v>
          </cell>
          <cell r="B2613" t="str">
            <v>HANSFORD, TX</v>
          </cell>
        </row>
        <row r="2614">
          <cell r="A2614">
            <v>48197</v>
          </cell>
          <cell r="B2614" t="str">
            <v>HARDEMAN, TX</v>
          </cell>
        </row>
        <row r="2615">
          <cell r="A2615">
            <v>48199</v>
          </cell>
          <cell r="B2615" t="str">
            <v>HARDIN, TX</v>
          </cell>
        </row>
        <row r="2616">
          <cell r="A2616">
            <v>48201</v>
          </cell>
          <cell r="B2616" t="str">
            <v>HARRIS, TX</v>
          </cell>
        </row>
        <row r="2617">
          <cell r="A2617">
            <v>48203</v>
          </cell>
          <cell r="B2617" t="str">
            <v>HARRISON, TX</v>
          </cell>
        </row>
        <row r="2618">
          <cell r="A2618">
            <v>48205</v>
          </cell>
          <cell r="B2618" t="str">
            <v>HARTLEY, TX</v>
          </cell>
        </row>
        <row r="2619">
          <cell r="A2619">
            <v>48207</v>
          </cell>
          <cell r="B2619" t="str">
            <v>HASKELL, TX</v>
          </cell>
        </row>
        <row r="2620">
          <cell r="A2620">
            <v>48209</v>
          </cell>
          <cell r="B2620" t="str">
            <v>HAYS, TX</v>
          </cell>
        </row>
        <row r="2621">
          <cell r="A2621">
            <v>48211</v>
          </cell>
          <cell r="B2621" t="str">
            <v>HEMPHILL, TX</v>
          </cell>
        </row>
        <row r="2622">
          <cell r="A2622">
            <v>48213</v>
          </cell>
          <cell r="B2622" t="str">
            <v>HENDERSON, TX</v>
          </cell>
        </row>
        <row r="2623">
          <cell r="A2623">
            <v>48215</v>
          </cell>
          <cell r="B2623" t="str">
            <v>HIDALGO, TX</v>
          </cell>
        </row>
        <row r="2624">
          <cell r="A2624">
            <v>48217</v>
          </cell>
          <cell r="B2624" t="str">
            <v>HILL, TX</v>
          </cell>
        </row>
        <row r="2625">
          <cell r="A2625">
            <v>48219</v>
          </cell>
          <cell r="B2625" t="str">
            <v>HOCKLEY, TX</v>
          </cell>
        </row>
        <row r="2626">
          <cell r="A2626">
            <v>48221</v>
          </cell>
          <cell r="B2626" t="str">
            <v>HOOD, TX</v>
          </cell>
        </row>
        <row r="2627">
          <cell r="A2627">
            <v>48223</v>
          </cell>
          <cell r="B2627" t="str">
            <v>HOPKINS, TX</v>
          </cell>
        </row>
        <row r="2628">
          <cell r="A2628">
            <v>48225</v>
          </cell>
          <cell r="B2628" t="str">
            <v>HOUSTON, TX</v>
          </cell>
        </row>
        <row r="2629">
          <cell r="A2629">
            <v>48227</v>
          </cell>
          <cell r="B2629" t="str">
            <v>HOWARD, TX</v>
          </cell>
        </row>
        <row r="2630">
          <cell r="A2630">
            <v>48229</v>
          </cell>
          <cell r="B2630" t="str">
            <v>HUDSPETH, TX</v>
          </cell>
        </row>
        <row r="2631">
          <cell r="A2631">
            <v>48231</v>
          </cell>
          <cell r="B2631" t="str">
            <v>HUNT, TX</v>
          </cell>
        </row>
        <row r="2632">
          <cell r="A2632">
            <v>48233</v>
          </cell>
          <cell r="B2632" t="str">
            <v>HUTCHINSON, TX</v>
          </cell>
        </row>
        <row r="2633">
          <cell r="A2633">
            <v>48235</v>
          </cell>
          <cell r="B2633" t="str">
            <v>IRION, TX</v>
          </cell>
        </row>
        <row r="2634">
          <cell r="A2634">
            <v>48237</v>
          </cell>
          <cell r="B2634" t="str">
            <v>JACK, TX</v>
          </cell>
        </row>
        <row r="2635">
          <cell r="A2635">
            <v>48239</v>
          </cell>
          <cell r="B2635" t="str">
            <v>JACKSON, TX</v>
          </cell>
        </row>
        <row r="2636">
          <cell r="A2636">
            <v>48241</v>
          </cell>
          <cell r="B2636" t="str">
            <v>JASPER, TX</v>
          </cell>
        </row>
        <row r="2637">
          <cell r="A2637">
            <v>48243</v>
          </cell>
          <cell r="B2637" t="str">
            <v>JEFF DAVIS, TX</v>
          </cell>
        </row>
        <row r="2638">
          <cell r="A2638">
            <v>48245</v>
          </cell>
          <cell r="B2638" t="str">
            <v>JEFFERSON, TX</v>
          </cell>
        </row>
        <row r="2639">
          <cell r="A2639">
            <v>48247</v>
          </cell>
          <cell r="B2639" t="str">
            <v>JIM HOGG, TX</v>
          </cell>
        </row>
        <row r="2640">
          <cell r="A2640">
            <v>48249</v>
          </cell>
          <cell r="B2640" t="str">
            <v>JIM WELLS, TX</v>
          </cell>
        </row>
        <row r="2641">
          <cell r="A2641">
            <v>48251</v>
          </cell>
          <cell r="B2641" t="str">
            <v>JOHNSON, TX</v>
          </cell>
        </row>
        <row r="2642">
          <cell r="A2642">
            <v>48253</v>
          </cell>
          <cell r="B2642" t="str">
            <v>JONES, TX</v>
          </cell>
        </row>
        <row r="2643">
          <cell r="A2643">
            <v>48255</v>
          </cell>
          <cell r="B2643" t="str">
            <v>KARNES, TX</v>
          </cell>
        </row>
        <row r="2644">
          <cell r="A2644">
            <v>48257</v>
          </cell>
          <cell r="B2644" t="str">
            <v>KAUFMAN, TX</v>
          </cell>
        </row>
        <row r="2645">
          <cell r="A2645">
            <v>48259</v>
          </cell>
          <cell r="B2645" t="str">
            <v>KENDALL, TX</v>
          </cell>
        </row>
        <row r="2646">
          <cell r="A2646">
            <v>48261</v>
          </cell>
          <cell r="B2646" t="str">
            <v>KENEDY, TX</v>
          </cell>
        </row>
        <row r="2647">
          <cell r="A2647">
            <v>48263</v>
          </cell>
          <cell r="B2647" t="str">
            <v>KENT, TX</v>
          </cell>
        </row>
        <row r="2648">
          <cell r="A2648">
            <v>48265</v>
          </cell>
          <cell r="B2648" t="str">
            <v>KERR, TX</v>
          </cell>
        </row>
        <row r="2649">
          <cell r="A2649">
            <v>48267</v>
          </cell>
          <cell r="B2649" t="str">
            <v>KIMBLE, TX</v>
          </cell>
        </row>
        <row r="2650">
          <cell r="A2650">
            <v>48269</v>
          </cell>
          <cell r="B2650" t="str">
            <v>KING, TX</v>
          </cell>
        </row>
        <row r="2651">
          <cell r="A2651">
            <v>48271</v>
          </cell>
          <cell r="B2651" t="str">
            <v>KINNEY, TX</v>
          </cell>
        </row>
        <row r="2652">
          <cell r="A2652">
            <v>48273</v>
          </cell>
          <cell r="B2652" t="str">
            <v>KLEBERG, TX</v>
          </cell>
        </row>
        <row r="2653">
          <cell r="A2653">
            <v>48275</v>
          </cell>
          <cell r="B2653" t="str">
            <v>KNOX, TX</v>
          </cell>
        </row>
        <row r="2654">
          <cell r="A2654">
            <v>48277</v>
          </cell>
          <cell r="B2654" t="str">
            <v>LAMAR, TX</v>
          </cell>
        </row>
        <row r="2655">
          <cell r="A2655">
            <v>48279</v>
          </cell>
          <cell r="B2655" t="str">
            <v>LAMB, TX</v>
          </cell>
        </row>
        <row r="2656">
          <cell r="A2656">
            <v>48281</v>
          </cell>
          <cell r="B2656" t="str">
            <v>LAMPASAS, TX</v>
          </cell>
        </row>
        <row r="2657">
          <cell r="A2657">
            <v>48283</v>
          </cell>
          <cell r="B2657" t="str">
            <v>LA SALLE, TX</v>
          </cell>
        </row>
        <row r="2658">
          <cell r="A2658">
            <v>48285</v>
          </cell>
          <cell r="B2658" t="str">
            <v>LAVACA, TX</v>
          </cell>
        </row>
        <row r="2659">
          <cell r="A2659">
            <v>48287</v>
          </cell>
          <cell r="B2659" t="str">
            <v>LEE, TX</v>
          </cell>
        </row>
        <row r="2660">
          <cell r="A2660">
            <v>48289</v>
          </cell>
          <cell r="B2660" t="str">
            <v>LEON, TX</v>
          </cell>
        </row>
        <row r="2661">
          <cell r="A2661">
            <v>48291</v>
          </cell>
          <cell r="B2661" t="str">
            <v>LIBERTY, TX</v>
          </cell>
        </row>
        <row r="2662">
          <cell r="A2662">
            <v>48293</v>
          </cell>
          <cell r="B2662" t="str">
            <v>LIMESTONE, TX</v>
          </cell>
        </row>
        <row r="2663">
          <cell r="A2663">
            <v>48295</v>
          </cell>
          <cell r="B2663" t="str">
            <v>LIPSCOMB, TX</v>
          </cell>
        </row>
        <row r="2664">
          <cell r="A2664">
            <v>48297</v>
          </cell>
          <cell r="B2664" t="str">
            <v>LIVE OAK, TX</v>
          </cell>
        </row>
        <row r="2665">
          <cell r="A2665">
            <v>48299</v>
          </cell>
          <cell r="B2665" t="str">
            <v>LLANO, TX</v>
          </cell>
        </row>
        <row r="2666">
          <cell r="A2666">
            <v>48303</v>
          </cell>
          <cell r="B2666" t="str">
            <v>LUBBOCK, TX</v>
          </cell>
        </row>
        <row r="2667">
          <cell r="A2667">
            <v>48305</v>
          </cell>
          <cell r="B2667" t="str">
            <v>LYNN, TX</v>
          </cell>
        </row>
        <row r="2668">
          <cell r="A2668">
            <v>48307</v>
          </cell>
          <cell r="B2668" t="str">
            <v>MC CULLOCH, TX</v>
          </cell>
        </row>
        <row r="2669">
          <cell r="A2669">
            <v>48309</v>
          </cell>
          <cell r="B2669" t="str">
            <v>MCLENNAN, TX</v>
          </cell>
        </row>
        <row r="2670">
          <cell r="A2670">
            <v>48311</v>
          </cell>
          <cell r="B2670" t="str">
            <v>MCMULLEN, TX</v>
          </cell>
        </row>
        <row r="2671">
          <cell r="A2671">
            <v>48313</v>
          </cell>
          <cell r="B2671" t="str">
            <v>MADISON, TX</v>
          </cell>
        </row>
        <row r="2672">
          <cell r="A2672">
            <v>48315</v>
          </cell>
          <cell r="B2672" t="str">
            <v>MARION, TX</v>
          </cell>
        </row>
        <row r="2673">
          <cell r="A2673">
            <v>48317</v>
          </cell>
          <cell r="B2673" t="str">
            <v>MARTIN, TX</v>
          </cell>
        </row>
        <row r="2674">
          <cell r="A2674">
            <v>48319</v>
          </cell>
          <cell r="B2674" t="str">
            <v>MASON, TX</v>
          </cell>
        </row>
        <row r="2675">
          <cell r="A2675">
            <v>48321</v>
          </cell>
          <cell r="B2675" t="str">
            <v>MATAGORDA, TX</v>
          </cell>
        </row>
        <row r="2676">
          <cell r="A2676">
            <v>48323</v>
          </cell>
          <cell r="B2676" t="str">
            <v>MAVERICK, TX</v>
          </cell>
        </row>
        <row r="2677">
          <cell r="A2677">
            <v>48325</v>
          </cell>
          <cell r="B2677" t="str">
            <v>MEDINA, TX</v>
          </cell>
        </row>
        <row r="2678">
          <cell r="A2678">
            <v>48327</v>
          </cell>
          <cell r="B2678" t="str">
            <v>MENARD, TX</v>
          </cell>
        </row>
        <row r="2679">
          <cell r="A2679">
            <v>48329</v>
          </cell>
          <cell r="B2679" t="str">
            <v>MIDLAND, TX</v>
          </cell>
        </row>
        <row r="2680">
          <cell r="A2680">
            <v>48331</v>
          </cell>
          <cell r="B2680" t="str">
            <v>MILAM, TX</v>
          </cell>
        </row>
        <row r="2681">
          <cell r="A2681">
            <v>48333</v>
          </cell>
          <cell r="B2681" t="str">
            <v>MILLS, TX</v>
          </cell>
        </row>
        <row r="2682">
          <cell r="A2682">
            <v>48335</v>
          </cell>
          <cell r="B2682" t="str">
            <v>MITCHELL, TX</v>
          </cell>
        </row>
        <row r="2683">
          <cell r="A2683">
            <v>48337</v>
          </cell>
          <cell r="B2683" t="str">
            <v>MONTAGUE, TX</v>
          </cell>
        </row>
        <row r="2684">
          <cell r="A2684">
            <v>48339</v>
          </cell>
          <cell r="B2684" t="str">
            <v>MONTGOMERY, TX</v>
          </cell>
        </row>
        <row r="2685">
          <cell r="A2685">
            <v>48341</v>
          </cell>
          <cell r="B2685" t="str">
            <v>MOORE, TX</v>
          </cell>
        </row>
        <row r="2686">
          <cell r="A2686">
            <v>48343</v>
          </cell>
          <cell r="B2686" t="str">
            <v>MORRIS, TX</v>
          </cell>
        </row>
        <row r="2687">
          <cell r="A2687">
            <v>48345</v>
          </cell>
          <cell r="B2687" t="str">
            <v>MOTLEY, TX</v>
          </cell>
        </row>
        <row r="2688">
          <cell r="A2688">
            <v>48347</v>
          </cell>
          <cell r="B2688" t="str">
            <v>NACOGDOCHES, TX</v>
          </cell>
        </row>
        <row r="2689">
          <cell r="A2689">
            <v>48349</v>
          </cell>
          <cell r="B2689" t="str">
            <v>NAVARRO, TX</v>
          </cell>
        </row>
        <row r="2690">
          <cell r="A2690">
            <v>48351</v>
          </cell>
          <cell r="B2690" t="str">
            <v>NEWTON, TX</v>
          </cell>
        </row>
        <row r="2691">
          <cell r="A2691">
            <v>48353</v>
          </cell>
          <cell r="B2691" t="str">
            <v>NOLAN, TX</v>
          </cell>
        </row>
        <row r="2692">
          <cell r="A2692">
            <v>48355</v>
          </cell>
          <cell r="B2692" t="str">
            <v>NUECES, TX</v>
          </cell>
        </row>
        <row r="2693">
          <cell r="A2693">
            <v>48357</v>
          </cell>
          <cell r="B2693" t="str">
            <v>OCHILTREE, TX</v>
          </cell>
        </row>
        <row r="2694">
          <cell r="A2694">
            <v>48359</v>
          </cell>
          <cell r="B2694" t="str">
            <v>OLDHAM, TX</v>
          </cell>
        </row>
        <row r="2695">
          <cell r="A2695">
            <v>48361</v>
          </cell>
          <cell r="B2695" t="str">
            <v>ORANGE, TX</v>
          </cell>
        </row>
        <row r="2696">
          <cell r="A2696">
            <v>48363</v>
          </cell>
          <cell r="B2696" t="str">
            <v>PALO PINTO, TX</v>
          </cell>
        </row>
        <row r="2697">
          <cell r="A2697">
            <v>48365</v>
          </cell>
          <cell r="B2697" t="str">
            <v>PANOLA, TX</v>
          </cell>
        </row>
        <row r="2698">
          <cell r="A2698">
            <v>48367</v>
          </cell>
          <cell r="B2698" t="str">
            <v>PARKER, TX</v>
          </cell>
        </row>
        <row r="2699">
          <cell r="A2699">
            <v>48369</v>
          </cell>
          <cell r="B2699" t="str">
            <v>PARMER, TX</v>
          </cell>
        </row>
        <row r="2700">
          <cell r="A2700">
            <v>48371</v>
          </cell>
          <cell r="B2700" t="str">
            <v>PECOS, TX</v>
          </cell>
        </row>
        <row r="2701">
          <cell r="A2701">
            <v>48373</v>
          </cell>
          <cell r="B2701" t="str">
            <v>POLK, TX</v>
          </cell>
        </row>
        <row r="2702">
          <cell r="A2702">
            <v>48375</v>
          </cell>
          <cell r="B2702" t="str">
            <v>POTTER, TX</v>
          </cell>
        </row>
        <row r="2703">
          <cell r="A2703">
            <v>48377</v>
          </cell>
          <cell r="B2703" t="str">
            <v>PRESIDIO, TX</v>
          </cell>
        </row>
        <row r="2704">
          <cell r="A2704">
            <v>48379</v>
          </cell>
          <cell r="B2704" t="str">
            <v>RAINS, TX</v>
          </cell>
        </row>
        <row r="2705">
          <cell r="A2705">
            <v>48381</v>
          </cell>
          <cell r="B2705" t="str">
            <v>RANDALL, TX</v>
          </cell>
        </row>
        <row r="2706">
          <cell r="A2706">
            <v>48383</v>
          </cell>
          <cell r="B2706" t="str">
            <v>REAGAN, TX</v>
          </cell>
        </row>
        <row r="2707">
          <cell r="A2707">
            <v>48385</v>
          </cell>
          <cell r="B2707" t="str">
            <v>REAL, TX</v>
          </cell>
        </row>
        <row r="2708">
          <cell r="A2708">
            <v>48387</v>
          </cell>
          <cell r="B2708" t="str">
            <v>RED RIVER, TX</v>
          </cell>
        </row>
        <row r="2709">
          <cell r="A2709">
            <v>48389</v>
          </cell>
          <cell r="B2709" t="str">
            <v>REEVES, TX</v>
          </cell>
        </row>
        <row r="2710">
          <cell r="A2710">
            <v>48391</v>
          </cell>
          <cell r="B2710" t="str">
            <v>REFUGIO, TX</v>
          </cell>
        </row>
        <row r="2711">
          <cell r="A2711">
            <v>48393</v>
          </cell>
          <cell r="B2711" t="str">
            <v>ROBERTS, TX</v>
          </cell>
        </row>
        <row r="2712">
          <cell r="A2712">
            <v>48395</v>
          </cell>
          <cell r="B2712" t="str">
            <v>ROBERTSON, TX</v>
          </cell>
        </row>
        <row r="2713">
          <cell r="A2713">
            <v>48397</v>
          </cell>
          <cell r="B2713" t="str">
            <v>ROCKWALL, TX</v>
          </cell>
        </row>
        <row r="2714">
          <cell r="A2714">
            <v>48399</v>
          </cell>
          <cell r="B2714" t="str">
            <v>RUNNELS, TX</v>
          </cell>
        </row>
        <row r="2715">
          <cell r="A2715">
            <v>48401</v>
          </cell>
          <cell r="B2715" t="str">
            <v>RUSK, TX</v>
          </cell>
        </row>
        <row r="2716">
          <cell r="A2716">
            <v>48403</v>
          </cell>
          <cell r="B2716" t="str">
            <v>SABINE, TX</v>
          </cell>
        </row>
        <row r="2717">
          <cell r="A2717">
            <v>48405</v>
          </cell>
          <cell r="B2717" t="str">
            <v>SAN AUGUSTINE, TX</v>
          </cell>
        </row>
        <row r="2718">
          <cell r="A2718">
            <v>48407</v>
          </cell>
          <cell r="B2718" t="str">
            <v>SAN JACINTO, TX</v>
          </cell>
        </row>
        <row r="2719">
          <cell r="A2719">
            <v>48409</v>
          </cell>
          <cell r="B2719" t="str">
            <v>SAN PATRICIO, TX</v>
          </cell>
        </row>
        <row r="2720">
          <cell r="A2720">
            <v>48411</v>
          </cell>
          <cell r="B2720" t="str">
            <v>SAN SABA, TX</v>
          </cell>
        </row>
        <row r="2721">
          <cell r="A2721">
            <v>48413</v>
          </cell>
          <cell r="B2721" t="str">
            <v>SCHLEICHER, TX</v>
          </cell>
        </row>
        <row r="2722">
          <cell r="A2722">
            <v>48415</v>
          </cell>
          <cell r="B2722" t="str">
            <v>SCURRY, TX</v>
          </cell>
        </row>
        <row r="2723">
          <cell r="A2723">
            <v>48417</v>
          </cell>
          <cell r="B2723" t="str">
            <v>SHACKELFORD, TX</v>
          </cell>
        </row>
        <row r="2724">
          <cell r="A2724">
            <v>48419</v>
          </cell>
          <cell r="B2724" t="str">
            <v>SHELBY, TX</v>
          </cell>
        </row>
        <row r="2725">
          <cell r="A2725">
            <v>48421</v>
          </cell>
          <cell r="B2725" t="str">
            <v>SHERMAN, TX</v>
          </cell>
        </row>
        <row r="2726">
          <cell r="A2726">
            <v>48423</v>
          </cell>
          <cell r="B2726" t="str">
            <v>SMITH, TX</v>
          </cell>
        </row>
        <row r="2727">
          <cell r="A2727">
            <v>48425</v>
          </cell>
          <cell r="B2727" t="str">
            <v>SOMERVELL, TX</v>
          </cell>
        </row>
        <row r="2728">
          <cell r="A2728">
            <v>48427</v>
          </cell>
          <cell r="B2728" t="str">
            <v>STARR, TX</v>
          </cell>
        </row>
        <row r="2729">
          <cell r="A2729">
            <v>48429</v>
          </cell>
          <cell r="B2729" t="str">
            <v>STEPHENS, TX</v>
          </cell>
        </row>
        <row r="2730">
          <cell r="A2730">
            <v>48431</v>
          </cell>
          <cell r="B2730" t="str">
            <v>STERLING, TX</v>
          </cell>
        </row>
        <row r="2731">
          <cell r="A2731">
            <v>48433</v>
          </cell>
          <cell r="B2731" t="str">
            <v>STONEWALL, TX</v>
          </cell>
        </row>
        <row r="2732">
          <cell r="A2732">
            <v>48435</v>
          </cell>
          <cell r="B2732" t="str">
            <v>SUTTON, TX</v>
          </cell>
        </row>
        <row r="2733">
          <cell r="A2733">
            <v>48437</v>
          </cell>
          <cell r="B2733" t="str">
            <v>SWISHER, TX</v>
          </cell>
        </row>
        <row r="2734">
          <cell r="A2734">
            <v>48439</v>
          </cell>
          <cell r="B2734" t="str">
            <v>TARRANT, TX</v>
          </cell>
        </row>
        <row r="2735">
          <cell r="A2735">
            <v>48441</v>
          </cell>
          <cell r="B2735" t="str">
            <v>TAYLOR, TX</v>
          </cell>
        </row>
        <row r="2736">
          <cell r="A2736">
            <v>48443</v>
          </cell>
          <cell r="B2736" t="str">
            <v>TERRELL, TX</v>
          </cell>
        </row>
        <row r="2737">
          <cell r="A2737">
            <v>48445</v>
          </cell>
          <cell r="B2737" t="str">
            <v>TERRY, TX</v>
          </cell>
        </row>
        <row r="2738">
          <cell r="A2738">
            <v>48447</v>
          </cell>
          <cell r="B2738" t="str">
            <v>THROCKMORTON, TX</v>
          </cell>
        </row>
        <row r="2739">
          <cell r="A2739">
            <v>48449</v>
          </cell>
          <cell r="B2739" t="str">
            <v>TITUS, TX</v>
          </cell>
        </row>
        <row r="2740">
          <cell r="A2740">
            <v>48451</v>
          </cell>
          <cell r="B2740" t="str">
            <v>TOM GREEN, TX</v>
          </cell>
        </row>
        <row r="2741">
          <cell r="A2741">
            <v>48453</v>
          </cell>
          <cell r="B2741" t="str">
            <v>TRAVIS, TX</v>
          </cell>
        </row>
        <row r="2742">
          <cell r="A2742">
            <v>48455</v>
          </cell>
          <cell r="B2742" t="str">
            <v>TRINITY, TX</v>
          </cell>
        </row>
        <row r="2743">
          <cell r="A2743">
            <v>48457</v>
          </cell>
          <cell r="B2743" t="str">
            <v>TYLER, TX</v>
          </cell>
        </row>
        <row r="2744">
          <cell r="A2744">
            <v>48459</v>
          </cell>
          <cell r="B2744" t="str">
            <v>UPSHUR, TX</v>
          </cell>
        </row>
        <row r="2745">
          <cell r="A2745">
            <v>48461</v>
          </cell>
          <cell r="B2745" t="str">
            <v>UPTON, TX</v>
          </cell>
        </row>
        <row r="2746">
          <cell r="A2746">
            <v>48463</v>
          </cell>
          <cell r="B2746" t="str">
            <v>UVALDE, TX</v>
          </cell>
        </row>
        <row r="2747">
          <cell r="A2747">
            <v>48465</v>
          </cell>
          <cell r="B2747" t="str">
            <v>VAL VERDE, TX</v>
          </cell>
        </row>
        <row r="2748">
          <cell r="A2748">
            <v>48467</v>
          </cell>
          <cell r="B2748" t="str">
            <v>VAN ZANDT, TX</v>
          </cell>
        </row>
        <row r="2749">
          <cell r="A2749">
            <v>48469</v>
          </cell>
          <cell r="B2749" t="str">
            <v>VICTORIA, TX</v>
          </cell>
        </row>
        <row r="2750">
          <cell r="A2750">
            <v>48471</v>
          </cell>
          <cell r="B2750" t="str">
            <v>WALKER, TX</v>
          </cell>
        </row>
        <row r="2751">
          <cell r="A2751">
            <v>48473</v>
          </cell>
          <cell r="B2751" t="str">
            <v>WALLER, TX</v>
          </cell>
        </row>
        <row r="2752">
          <cell r="A2752">
            <v>48475</v>
          </cell>
          <cell r="B2752" t="str">
            <v>WARD, TX</v>
          </cell>
        </row>
        <row r="2753">
          <cell r="A2753">
            <v>48477</v>
          </cell>
          <cell r="B2753" t="str">
            <v>WASHINGTON, TX</v>
          </cell>
        </row>
        <row r="2754">
          <cell r="A2754">
            <v>48479</v>
          </cell>
          <cell r="B2754" t="str">
            <v>WEBB, TX</v>
          </cell>
        </row>
        <row r="2755">
          <cell r="A2755">
            <v>48481</v>
          </cell>
          <cell r="B2755" t="str">
            <v>WHARTON, TX</v>
          </cell>
        </row>
        <row r="2756">
          <cell r="A2756">
            <v>48483</v>
          </cell>
          <cell r="B2756" t="str">
            <v>WHEELER, TX</v>
          </cell>
        </row>
        <row r="2757">
          <cell r="A2757">
            <v>48485</v>
          </cell>
          <cell r="B2757" t="str">
            <v>WICHITA, TX</v>
          </cell>
        </row>
        <row r="2758">
          <cell r="A2758">
            <v>48487</v>
          </cell>
          <cell r="B2758" t="str">
            <v>WILBARGER, TX</v>
          </cell>
        </row>
        <row r="2759">
          <cell r="A2759">
            <v>48489</v>
          </cell>
          <cell r="B2759" t="str">
            <v>WILLACY, TX</v>
          </cell>
        </row>
        <row r="2760">
          <cell r="A2760">
            <v>48491</v>
          </cell>
          <cell r="B2760" t="str">
            <v>WILLIAMSON, TX</v>
          </cell>
        </row>
        <row r="2761">
          <cell r="A2761">
            <v>48493</v>
          </cell>
          <cell r="B2761" t="str">
            <v>WILSON, TX</v>
          </cell>
        </row>
        <row r="2762">
          <cell r="A2762">
            <v>48495</v>
          </cell>
          <cell r="B2762" t="str">
            <v>WINKLER, TX</v>
          </cell>
        </row>
        <row r="2763">
          <cell r="A2763">
            <v>48497</v>
          </cell>
          <cell r="B2763" t="str">
            <v>WISE, TX</v>
          </cell>
        </row>
        <row r="2764">
          <cell r="A2764">
            <v>48499</v>
          </cell>
          <cell r="B2764" t="str">
            <v>WOOD, TX</v>
          </cell>
        </row>
        <row r="2765">
          <cell r="A2765">
            <v>48501</v>
          </cell>
          <cell r="B2765" t="str">
            <v>YOAKUM, TX</v>
          </cell>
        </row>
        <row r="2766">
          <cell r="A2766">
            <v>48503</v>
          </cell>
          <cell r="B2766" t="str">
            <v>YOUNG, TX</v>
          </cell>
        </row>
        <row r="2767">
          <cell r="A2767">
            <v>48505</v>
          </cell>
          <cell r="B2767" t="str">
            <v>ZAPATA, TX</v>
          </cell>
        </row>
        <row r="2768">
          <cell r="A2768">
            <v>48507</v>
          </cell>
          <cell r="B2768" t="str">
            <v>ZAVALA, TX</v>
          </cell>
        </row>
        <row r="2769">
          <cell r="A2769">
            <v>49001</v>
          </cell>
          <cell r="B2769" t="str">
            <v>BEAVER, UT</v>
          </cell>
        </row>
        <row r="2770">
          <cell r="A2770">
            <v>49003</v>
          </cell>
          <cell r="B2770" t="str">
            <v>BOX ELDER, UT</v>
          </cell>
        </row>
        <row r="2771">
          <cell r="A2771">
            <v>49005</v>
          </cell>
          <cell r="B2771" t="str">
            <v>CACHE, UT</v>
          </cell>
        </row>
        <row r="2772">
          <cell r="A2772">
            <v>49007</v>
          </cell>
          <cell r="B2772" t="str">
            <v>CARBON, UT</v>
          </cell>
        </row>
        <row r="2773">
          <cell r="A2773">
            <v>49009</v>
          </cell>
          <cell r="B2773" t="str">
            <v>DAGGETT, UT</v>
          </cell>
        </row>
        <row r="2774">
          <cell r="A2774">
            <v>49011</v>
          </cell>
          <cell r="B2774" t="str">
            <v>DAVIS, UT</v>
          </cell>
        </row>
        <row r="2775">
          <cell r="A2775">
            <v>49013</v>
          </cell>
          <cell r="B2775" t="str">
            <v>DUCHESNE, UT</v>
          </cell>
        </row>
        <row r="2776">
          <cell r="A2776">
            <v>49015</v>
          </cell>
          <cell r="B2776" t="str">
            <v>EMERY, UT</v>
          </cell>
        </row>
        <row r="2777">
          <cell r="A2777">
            <v>49017</v>
          </cell>
          <cell r="B2777" t="str">
            <v>GARFIELD, UT</v>
          </cell>
        </row>
        <row r="2778">
          <cell r="A2778">
            <v>49019</v>
          </cell>
          <cell r="B2778" t="str">
            <v>GRAND, UT</v>
          </cell>
        </row>
        <row r="2779">
          <cell r="A2779">
            <v>49021</v>
          </cell>
          <cell r="B2779" t="str">
            <v>IRON, UT</v>
          </cell>
        </row>
        <row r="2780">
          <cell r="A2780">
            <v>49023</v>
          </cell>
          <cell r="B2780" t="str">
            <v>JUAB, UT</v>
          </cell>
        </row>
        <row r="2781">
          <cell r="A2781">
            <v>49025</v>
          </cell>
          <cell r="B2781" t="str">
            <v>KANE, UT</v>
          </cell>
        </row>
        <row r="2782">
          <cell r="A2782">
            <v>49027</v>
          </cell>
          <cell r="B2782" t="str">
            <v>MILLARD, UT</v>
          </cell>
        </row>
        <row r="2783">
          <cell r="A2783">
            <v>49029</v>
          </cell>
          <cell r="B2783" t="str">
            <v>MORGAN, UT</v>
          </cell>
        </row>
        <row r="2784">
          <cell r="A2784">
            <v>49031</v>
          </cell>
          <cell r="B2784" t="str">
            <v>PIUTE, UT</v>
          </cell>
        </row>
        <row r="2785">
          <cell r="A2785">
            <v>49033</v>
          </cell>
          <cell r="B2785" t="str">
            <v>RICH, UT</v>
          </cell>
        </row>
        <row r="2786">
          <cell r="A2786">
            <v>49035</v>
          </cell>
          <cell r="B2786" t="str">
            <v>SALT LAKE, UT</v>
          </cell>
        </row>
        <row r="2787">
          <cell r="A2787">
            <v>49037</v>
          </cell>
          <cell r="B2787" t="str">
            <v>SAN JUAN, UT</v>
          </cell>
        </row>
        <row r="2788">
          <cell r="A2788">
            <v>49039</v>
          </cell>
          <cell r="B2788" t="str">
            <v>SANPETE, UT</v>
          </cell>
        </row>
        <row r="2789">
          <cell r="A2789">
            <v>49041</v>
          </cell>
          <cell r="B2789" t="str">
            <v>SEVIER, UT</v>
          </cell>
        </row>
        <row r="2790">
          <cell r="A2790">
            <v>49043</v>
          </cell>
          <cell r="B2790" t="str">
            <v>SUMMIT, UT</v>
          </cell>
        </row>
        <row r="2791">
          <cell r="A2791">
            <v>49045</v>
          </cell>
          <cell r="B2791" t="str">
            <v>TOOELE, UT</v>
          </cell>
        </row>
        <row r="2792">
          <cell r="A2792">
            <v>49047</v>
          </cell>
          <cell r="B2792" t="str">
            <v>UINTAH, UT</v>
          </cell>
        </row>
        <row r="2793">
          <cell r="A2793">
            <v>49049</v>
          </cell>
          <cell r="B2793" t="str">
            <v>UTAH, UT</v>
          </cell>
        </row>
        <row r="2794">
          <cell r="A2794">
            <v>49051</v>
          </cell>
          <cell r="B2794" t="str">
            <v>WASATCH, UT</v>
          </cell>
        </row>
        <row r="2795">
          <cell r="A2795">
            <v>49053</v>
          </cell>
          <cell r="B2795" t="str">
            <v>WASHINGTON, UT</v>
          </cell>
        </row>
        <row r="2796">
          <cell r="A2796">
            <v>49055</v>
          </cell>
          <cell r="B2796" t="str">
            <v>WAYNE, UT</v>
          </cell>
        </row>
        <row r="2797">
          <cell r="A2797">
            <v>49057</v>
          </cell>
          <cell r="B2797" t="str">
            <v>WEBER, UT</v>
          </cell>
        </row>
        <row r="2798">
          <cell r="A2798">
            <v>50001</v>
          </cell>
          <cell r="B2798" t="str">
            <v>ADDISON, VT</v>
          </cell>
        </row>
        <row r="2799">
          <cell r="A2799">
            <v>50003</v>
          </cell>
          <cell r="B2799" t="str">
            <v>BENNINGTON, VT</v>
          </cell>
        </row>
        <row r="2800">
          <cell r="A2800">
            <v>50005</v>
          </cell>
          <cell r="B2800" t="str">
            <v>CALEDONIA, VT</v>
          </cell>
        </row>
        <row r="2801">
          <cell r="A2801">
            <v>50007</v>
          </cell>
          <cell r="B2801" t="str">
            <v>CHITTENDEN, VT</v>
          </cell>
        </row>
        <row r="2802">
          <cell r="A2802">
            <v>50009</v>
          </cell>
          <cell r="B2802" t="str">
            <v>ESSEX, VT</v>
          </cell>
        </row>
        <row r="2803">
          <cell r="A2803">
            <v>50011</v>
          </cell>
          <cell r="B2803" t="str">
            <v>FRANKLIN, VT</v>
          </cell>
        </row>
        <row r="2804">
          <cell r="A2804">
            <v>50013</v>
          </cell>
          <cell r="B2804" t="str">
            <v>GRAND ISLE, VT</v>
          </cell>
        </row>
        <row r="2805">
          <cell r="A2805">
            <v>50015</v>
          </cell>
          <cell r="B2805" t="str">
            <v>LAMOILLE, VT</v>
          </cell>
        </row>
        <row r="2806">
          <cell r="A2806">
            <v>50017</v>
          </cell>
          <cell r="B2806" t="str">
            <v>ORANGE, VT</v>
          </cell>
        </row>
        <row r="2807">
          <cell r="A2807">
            <v>50019</v>
          </cell>
          <cell r="B2807" t="str">
            <v>ORLEANS, VT</v>
          </cell>
        </row>
        <row r="2808">
          <cell r="A2808">
            <v>50021</v>
          </cell>
          <cell r="B2808" t="str">
            <v>RUTLAND, VT</v>
          </cell>
        </row>
        <row r="2809">
          <cell r="A2809">
            <v>50023</v>
          </cell>
          <cell r="B2809" t="str">
            <v>WASHINGTON, VT</v>
          </cell>
        </row>
        <row r="2810">
          <cell r="A2810">
            <v>50025</v>
          </cell>
          <cell r="B2810" t="str">
            <v>WINDHAM, VT</v>
          </cell>
        </row>
        <row r="2811">
          <cell r="A2811">
            <v>50027</v>
          </cell>
          <cell r="B2811" t="str">
            <v>WINDSOR, VT</v>
          </cell>
        </row>
        <row r="2812">
          <cell r="A2812">
            <v>51001</v>
          </cell>
          <cell r="B2812" t="str">
            <v>ACCOMACK, VA</v>
          </cell>
        </row>
        <row r="2813">
          <cell r="A2813">
            <v>51003</v>
          </cell>
          <cell r="B2813" t="str">
            <v>ALBEMARLE, VA</v>
          </cell>
        </row>
        <row r="2814">
          <cell r="A2814">
            <v>51005</v>
          </cell>
          <cell r="B2814" t="str">
            <v>ALLEGHANY, VA</v>
          </cell>
        </row>
        <row r="2815">
          <cell r="A2815">
            <v>51007</v>
          </cell>
          <cell r="B2815" t="str">
            <v>AMELIA, VA</v>
          </cell>
        </row>
        <row r="2816">
          <cell r="A2816">
            <v>51009</v>
          </cell>
          <cell r="B2816" t="str">
            <v>AMHERST, VA</v>
          </cell>
        </row>
        <row r="2817">
          <cell r="A2817">
            <v>51011</v>
          </cell>
          <cell r="B2817" t="str">
            <v>APPOMATTOX, VA</v>
          </cell>
        </row>
        <row r="2818">
          <cell r="A2818">
            <v>51013</v>
          </cell>
          <cell r="B2818" t="str">
            <v>ARLINGTON, VA</v>
          </cell>
        </row>
        <row r="2819">
          <cell r="A2819">
            <v>51015</v>
          </cell>
          <cell r="B2819" t="str">
            <v>AUGUSTA, VA</v>
          </cell>
        </row>
        <row r="2820">
          <cell r="A2820">
            <v>51017</v>
          </cell>
          <cell r="B2820" t="str">
            <v>BATH, VA</v>
          </cell>
        </row>
        <row r="2821">
          <cell r="A2821">
            <v>51019</v>
          </cell>
          <cell r="B2821" t="str">
            <v>BEDFORD, VA</v>
          </cell>
        </row>
        <row r="2822">
          <cell r="A2822">
            <v>51021</v>
          </cell>
          <cell r="B2822" t="str">
            <v>BLAND, VA</v>
          </cell>
        </row>
        <row r="2823">
          <cell r="A2823">
            <v>51023</v>
          </cell>
          <cell r="B2823" t="str">
            <v>BOTETOURT, VA</v>
          </cell>
        </row>
        <row r="2824">
          <cell r="A2824">
            <v>51025</v>
          </cell>
          <cell r="B2824" t="str">
            <v>BRUNSWICK, VA</v>
          </cell>
        </row>
        <row r="2825">
          <cell r="A2825">
            <v>51027</v>
          </cell>
          <cell r="B2825" t="str">
            <v>BUCHANAN, VA</v>
          </cell>
        </row>
        <row r="2826">
          <cell r="A2826">
            <v>51029</v>
          </cell>
          <cell r="B2826" t="str">
            <v>BUCKINGHAM, VA</v>
          </cell>
        </row>
        <row r="2827">
          <cell r="A2827">
            <v>51031</v>
          </cell>
          <cell r="B2827" t="str">
            <v>CAMPBELL, VA</v>
          </cell>
        </row>
        <row r="2828">
          <cell r="A2828">
            <v>51033</v>
          </cell>
          <cell r="B2828" t="str">
            <v>CAROLINE, VA</v>
          </cell>
        </row>
        <row r="2829">
          <cell r="A2829">
            <v>51035</v>
          </cell>
          <cell r="B2829" t="str">
            <v>CARROLL, VA</v>
          </cell>
        </row>
        <row r="2830">
          <cell r="A2830">
            <v>51036</v>
          </cell>
          <cell r="B2830" t="str">
            <v>CHARLES CITY, VA</v>
          </cell>
        </row>
        <row r="2831">
          <cell r="A2831">
            <v>51037</v>
          </cell>
          <cell r="B2831" t="str">
            <v>CHARLOTTE, VA</v>
          </cell>
        </row>
        <row r="2832">
          <cell r="A2832">
            <v>51041</v>
          </cell>
          <cell r="B2832" t="str">
            <v>CHESTERFIELD, VA</v>
          </cell>
        </row>
        <row r="2833">
          <cell r="A2833">
            <v>51043</v>
          </cell>
          <cell r="B2833" t="str">
            <v>CLARKE, VA</v>
          </cell>
        </row>
        <row r="2834">
          <cell r="A2834">
            <v>51045</v>
          </cell>
          <cell r="B2834" t="str">
            <v>CRAIG, VA</v>
          </cell>
        </row>
        <row r="2835">
          <cell r="A2835">
            <v>51047</v>
          </cell>
          <cell r="B2835" t="str">
            <v>CULPEPER, VA</v>
          </cell>
        </row>
        <row r="2836">
          <cell r="A2836">
            <v>51049</v>
          </cell>
          <cell r="B2836" t="str">
            <v>CUMBERLAND, VA</v>
          </cell>
        </row>
        <row r="2837">
          <cell r="A2837">
            <v>51051</v>
          </cell>
          <cell r="B2837" t="str">
            <v>DICKENSON, VA</v>
          </cell>
        </row>
        <row r="2838">
          <cell r="A2838">
            <v>51053</v>
          </cell>
          <cell r="B2838" t="str">
            <v>DINWIDDIE, VA</v>
          </cell>
        </row>
        <row r="2839">
          <cell r="A2839">
            <v>51057</v>
          </cell>
          <cell r="B2839" t="str">
            <v>ESSEX, VA</v>
          </cell>
        </row>
        <row r="2840">
          <cell r="A2840">
            <v>51059</v>
          </cell>
          <cell r="B2840" t="str">
            <v>FAIRFAX, VA</v>
          </cell>
        </row>
        <row r="2841">
          <cell r="A2841">
            <v>51061</v>
          </cell>
          <cell r="B2841" t="str">
            <v>FAUQUIER, VA</v>
          </cell>
        </row>
        <row r="2842">
          <cell r="A2842">
            <v>51063</v>
          </cell>
          <cell r="B2842" t="str">
            <v>FLOYD, VA</v>
          </cell>
        </row>
        <row r="2843">
          <cell r="A2843">
            <v>51065</v>
          </cell>
          <cell r="B2843" t="str">
            <v>FLUVANNA, VA</v>
          </cell>
        </row>
        <row r="2844">
          <cell r="A2844">
            <v>51067</v>
          </cell>
          <cell r="B2844" t="str">
            <v>FRANKLIN, VA</v>
          </cell>
        </row>
        <row r="2845">
          <cell r="A2845">
            <v>51069</v>
          </cell>
          <cell r="B2845" t="str">
            <v>FREDERICK, VA</v>
          </cell>
        </row>
        <row r="2846">
          <cell r="A2846">
            <v>51071</v>
          </cell>
          <cell r="B2846" t="str">
            <v>GILES, VA</v>
          </cell>
        </row>
        <row r="2847">
          <cell r="A2847">
            <v>51073</v>
          </cell>
          <cell r="B2847" t="str">
            <v>GLOUCESTER, VA</v>
          </cell>
        </row>
        <row r="2848">
          <cell r="A2848">
            <v>51075</v>
          </cell>
          <cell r="B2848" t="str">
            <v>GOOCHLAND, VA</v>
          </cell>
        </row>
        <row r="2849">
          <cell r="A2849">
            <v>51077</v>
          </cell>
          <cell r="B2849" t="str">
            <v>GRAYSON, VA</v>
          </cell>
        </row>
        <row r="2850">
          <cell r="A2850">
            <v>51079</v>
          </cell>
          <cell r="B2850" t="str">
            <v>GREENE, VA</v>
          </cell>
        </row>
        <row r="2851">
          <cell r="A2851">
            <v>51081</v>
          </cell>
          <cell r="B2851" t="str">
            <v>GREENSVILLE, VA</v>
          </cell>
        </row>
        <row r="2852">
          <cell r="A2852">
            <v>51083</v>
          </cell>
          <cell r="B2852" t="str">
            <v>HALIFAX, VA</v>
          </cell>
        </row>
        <row r="2853">
          <cell r="A2853">
            <v>51085</v>
          </cell>
          <cell r="B2853" t="str">
            <v>HANOVER, VA</v>
          </cell>
        </row>
        <row r="2854">
          <cell r="A2854">
            <v>51087</v>
          </cell>
          <cell r="B2854" t="str">
            <v>HENRICO, VA</v>
          </cell>
        </row>
        <row r="2855">
          <cell r="A2855">
            <v>51089</v>
          </cell>
          <cell r="B2855" t="str">
            <v>HENRY, VA</v>
          </cell>
        </row>
        <row r="2856">
          <cell r="A2856">
            <v>51091</v>
          </cell>
          <cell r="B2856" t="str">
            <v>HIGHLAND, VA</v>
          </cell>
        </row>
        <row r="2857">
          <cell r="A2857">
            <v>51093</v>
          </cell>
          <cell r="B2857" t="str">
            <v>ISLE OF WIGHT, VA</v>
          </cell>
        </row>
        <row r="2858">
          <cell r="A2858">
            <v>51095</v>
          </cell>
          <cell r="B2858" t="str">
            <v>JAMES CITY, VA</v>
          </cell>
        </row>
        <row r="2859">
          <cell r="A2859">
            <v>51097</v>
          </cell>
          <cell r="B2859" t="str">
            <v>KING AND QUEEN, VA</v>
          </cell>
        </row>
        <row r="2860">
          <cell r="A2860">
            <v>51099</v>
          </cell>
          <cell r="B2860" t="str">
            <v>KING GEORGE, VA</v>
          </cell>
        </row>
        <row r="2861">
          <cell r="A2861">
            <v>51101</v>
          </cell>
          <cell r="B2861" t="str">
            <v>KING WILLIAM, VA</v>
          </cell>
        </row>
        <row r="2862">
          <cell r="A2862">
            <v>51103</v>
          </cell>
          <cell r="B2862" t="str">
            <v>LANCASTER, VA</v>
          </cell>
        </row>
        <row r="2863">
          <cell r="A2863">
            <v>51105</v>
          </cell>
          <cell r="B2863" t="str">
            <v>LEE, VA</v>
          </cell>
        </row>
        <row r="2864">
          <cell r="A2864">
            <v>51107</v>
          </cell>
          <cell r="B2864" t="str">
            <v>LOUDOUN, VA</v>
          </cell>
        </row>
        <row r="2865">
          <cell r="A2865">
            <v>51109</v>
          </cell>
          <cell r="B2865" t="str">
            <v>LOUISA, VA</v>
          </cell>
        </row>
        <row r="2866">
          <cell r="A2866">
            <v>51111</v>
          </cell>
          <cell r="B2866" t="str">
            <v>LUNENBERG, VA</v>
          </cell>
        </row>
        <row r="2867">
          <cell r="A2867">
            <v>51113</v>
          </cell>
          <cell r="B2867" t="str">
            <v>MADISON, VA</v>
          </cell>
        </row>
        <row r="2868">
          <cell r="A2868">
            <v>51115</v>
          </cell>
          <cell r="B2868" t="str">
            <v>MATHEWS, VA</v>
          </cell>
        </row>
        <row r="2869">
          <cell r="A2869">
            <v>51117</v>
          </cell>
          <cell r="B2869" t="str">
            <v>MECKLENBURG, VA</v>
          </cell>
        </row>
        <row r="2870">
          <cell r="A2870">
            <v>51119</v>
          </cell>
          <cell r="B2870" t="str">
            <v>MIDDLESEX, VA</v>
          </cell>
        </row>
        <row r="2871">
          <cell r="A2871">
            <v>51121</v>
          </cell>
          <cell r="B2871" t="str">
            <v>MONTGOMERY, VA</v>
          </cell>
        </row>
        <row r="2872">
          <cell r="A2872">
            <v>51125</v>
          </cell>
          <cell r="B2872" t="str">
            <v>NELSON, VA</v>
          </cell>
        </row>
        <row r="2873">
          <cell r="A2873">
            <v>51127</v>
          </cell>
          <cell r="B2873" t="str">
            <v>NEW KENT, VA</v>
          </cell>
        </row>
        <row r="2874">
          <cell r="A2874">
            <v>51131</v>
          </cell>
          <cell r="B2874" t="str">
            <v>NORTHAMPTON, VA</v>
          </cell>
        </row>
        <row r="2875">
          <cell r="A2875">
            <v>51133</v>
          </cell>
          <cell r="B2875" t="str">
            <v>NORTHUMBERLAND, VA</v>
          </cell>
        </row>
        <row r="2876">
          <cell r="A2876">
            <v>51135</v>
          </cell>
          <cell r="B2876" t="str">
            <v>NOTTOWAY, VA</v>
          </cell>
        </row>
        <row r="2877">
          <cell r="A2877">
            <v>51137</v>
          </cell>
          <cell r="B2877" t="str">
            <v>ORANGE, VA</v>
          </cell>
        </row>
        <row r="2878">
          <cell r="A2878">
            <v>51139</v>
          </cell>
          <cell r="B2878" t="str">
            <v>PAGE, VA</v>
          </cell>
        </row>
        <row r="2879">
          <cell r="A2879">
            <v>51141</v>
          </cell>
          <cell r="B2879" t="str">
            <v>PATRICK, VA</v>
          </cell>
        </row>
        <row r="2880">
          <cell r="A2880">
            <v>51143</v>
          </cell>
          <cell r="B2880" t="str">
            <v>PITTSYLVANIA, VA</v>
          </cell>
        </row>
        <row r="2881">
          <cell r="A2881">
            <v>51145</v>
          </cell>
          <cell r="B2881" t="str">
            <v>POWHATAN, VA</v>
          </cell>
        </row>
        <row r="2882">
          <cell r="A2882">
            <v>51147</v>
          </cell>
          <cell r="B2882" t="str">
            <v>PRINCE EDWARD, VA</v>
          </cell>
        </row>
        <row r="2883">
          <cell r="A2883">
            <v>51149</v>
          </cell>
          <cell r="B2883" t="str">
            <v>PRINCE GEORGE, VA</v>
          </cell>
        </row>
        <row r="2884">
          <cell r="A2884">
            <v>51153</v>
          </cell>
          <cell r="B2884" t="str">
            <v>PRINCE WILLIAM, VA</v>
          </cell>
        </row>
        <row r="2885">
          <cell r="A2885">
            <v>51155</v>
          </cell>
          <cell r="B2885" t="str">
            <v>PULASKI, VA</v>
          </cell>
        </row>
        <row r="2886">
          <cell r="A2886">
            <v>51157</v>
          </cell>
          <cell r="B2886" t="str">
            <v>RAPPAHANNOCK, VA</v>
          </cell>
        </row>
        <row r="2887">
          <cell r="A2887">
            <v>51159</v>
          </cell>
          <cell r="B2887" t="str">
            <v>RICHMOND, VA</v>
          </cell>
        </row>
        <row r="2888">
          <cell r="A2888">
            <v>51161</v>
          </cell>
          <cell r="B2888" t="str">
            <v>ROANOKE, VA</v>
          </cell>
        </row>
        <row r="2889">
          <cell r="A2889">
            <v>51163</v>
          </cell>
          <cell r="B2889" t="str">
            <v>ROCKBRIDGE, VA</v>
          </cell>
        </row>
        <row r="2890">
          <cell r="A2890">
            <v>51165</v>
          </cell>
          <cell r="B2890" t="str">
            <v>ROCKINGHAM, VA</v>
          </cell>
        </row>
        <row r="2891">
          <cell r="A2891">
            <v>51167</v>
          </cell>
          <cell r="B2891" t="str">
            <v>RUSSELL, VA</v>
          </cell>
        </row>
        <row r="2892">
          <cell r="A2892">
            <v>51169</v>
          </cell>
          <cell r="B2892" t="str">
            <v>SCOTT, VA</v>
          </cell>
        </row>
        <row r="2893">
          <cell r="A2893">
            <v>51171</v>
          </cell>
          <cell r="B2893" t="str">
            <v>SHENANDOAH, VA</v>
          </cell>
        </row>
        <row r="2894">
          <cell r="A2894">
            <v>51173</v>
          </cell>
          <cell r="B2894" t="str">
            <v>SMYTH, VA</v>
          </cell>
        </row>
        <row r="2895">
          <cell r="A2895">
            <v>51175</v>
          </cell>
          <cell r="B2895" t="str">
            <v>SOUTHAMPTON, VA</v>
          </cell>
        </row>
        <row r="2896">
          <cell r="A2896">
            <v>51177</v>
          </cell>
          <cell r="B2896" t="str">
            <v>SPOTSYLVANIA, VA</v>
          </cell>
        </row>
        <row r="2897">
          <cell r="A2897">
            <v>51179</v>
          </cell>
          <cell r="B2897" t="str">
            <v>STAFFORD, VA</v>
          </cell>
        </row>
        <row r="2898">
          <cell r="A2898">
            <v>51181</v>
          </cell>
          <cell r="B2898" t="str">
            <v>SURRY, VA</v>
          </cell>
        </row>
        <row r="2899">
          <cell r="A2899">
            <v>51183</v>
          </cell>
          <cell r="B2899" t="str">
            <v>SUSSEX, VA</v>
          </cell>
        </row>
        <row r="2900">
          <cell r="A2900">
            <v>51185</v>
          </cell>
          <cell r="B2900" t="str">
            <v>TAZEWELL, VA</v>
          </cell>
        </row>
        <row r="2901">
          <cell r="A2901">
            <v>51187</v>
          </cell>
          <cell r="B2901" t="str">
            <v>WARREN, VA</v>
          </cell>
        </row>
        <row r="2902">
          <cell r="A2902">
            <v>51191</v>
          </cell>
          <cell r="B2902" t="str">
            <v>WASHINGTON, VA</v>
          </cell>
        </row>
        <row r="2903">
          <cell r="A2903">
            <v>51193</v>
          </cell>
          <cell r="B2903" t="str">
            <v>WESTMORELAND, VA</v>
          </cell>
        </row>
        <row r="2904">
          <cell r="A2904">
            <v>51195</v>
          </cell>
          <cell r="B2904" t="str">
            <v>WISE, VA</v>
          </cell>
        </row>
        <row r="2905">
          <cell r="A2905">
            <v>51197</v>
          </cell>
          <cell r="B2905" t="str">
            <v>WYTHE, VA</v>
          </cell>
        </row>
        <row r="2906">
          <cell r="A2906">
            <v>51199</v>
          </cell>
          <cell r="B2906" t="str">
            <v>YORK, VA</v>
          </cell>
        </row>
        <row r="2907">
          <cell r="A2907">
            <v>51510</v>
          </cell>
          <cell r="B2907" t="str">
            <v>ALEXANDRIA CITY, VA</v>
          </cell>
        </row>
        <row r="2908">
          <cell r="A2908">
            <v>51520</v>
          </cell>
          <cell r="B2908" t="str">
            <v>BRISTOL CITY, VA</v>
          </cell>
        </row>
        <row r="2909">
          <cell r="A2909">
            <v>51530</v>
          </cell>
          <cell r="B2909" t="str">
            <v>BUENA VISTA CITY, VA</v>
          </cell>
        </row>
        <row r="2910">
          <cell r="A2910">
            <v>51540</v>
          </cell>
          <cell r="B2910" t="str">
            <v>CHARLOTTESVILLE CITY, VA</v>
          </cell>
        </row>
        <row r="2911">
          <cell r="A2911">
            <v>51550</v>
          </cell>
          <cell r="B2911" t="str">
            <v>CHESAPEAKE CITY, VA</v>
          </cell>
        </row>
        <row r="2912">
          <cell r="A2912">
            <v>51560</v>
          </cell>
          <cell r="B2912" t="str">
            <v>CLIFTON FORGE CITY, VA</v>
          </cell>
        </row>
        <row r="2913">
          <cell r="A2913">
            <v>51570</v>
          </cell>
          <cell r="B2913" t="str">
            <v>COLONIAL HEIGHTS CY, VA</v>
          </cell>
        </row>
        <row r="2914">
          <cell r="A2914">
            <v>51590</v>
          </cell>
          <cell r="B2914" t="str">
            <v>DANVILLE CITY, VA</v>
          </cell>
        </row>
        <row r="2915">
          <cell r="A2915">
            <v>51600</v>
          </cell>
          <cell r="B2915" t="str">
            <v>FAIRFAX CITY, VA</v>
          </cell>
        </row>
        <row r="2916">
          <cell r="A2916">
            <v>51610</v>
          </cell>
          <cell r="B2916" t="str">
            <v>FALLS CHURCH CITY, VA</v>
          </cell>
        </row>
        <row r="2917">
          <cell r="A2917">
            <v>51620</v>
          </cell>
          <cell r="B2917" t="str">
            <v>FRANKLIN CITY, VA</v>
          </cell>
        </row>
        <row r="2918">
          <cell r="A2918">
            <v>51640</v>
          </cell>
          <cell r="B2918" t="str">
            <v>GALAX CITY, VA</v>
          </cell>
        </row>
        <row r="2919">
          <cell r="A2919">
            <v>51650</v>
          </cell>
          <cell r="B2919" t="str">
            <v>HAMPTON CITY, VA</v>
          </cell>
        </row>
        <row r="2920">
          <cell r="A2920">
            <v>51660</v>
          </cell>
          <cell r="B2920" t="str">
            <v>HARRISONBURG CITY, VA</v>
          </cell>
        </row>
        <row r="2921">
          <cell r="A2921">
            <v>51670</v>
          </cell>
          <cell r="B2921" t="str">
            <v>HOPEWELL CITY, VA</v>
          </cell>
        </row>
        <row r="2922">
          <cell r="A2922">
            <v>51678</v>
          </cell>
          <cell r="B2922" t="str">
            <v>LEXINGTON CITY, VA</v>
          </cell>
        </row>
        <row r="2923">
          <cell r="A2923">
            <v>51680</v>
          </cell>
          <cell r="B2923" t="str">
            <v>LYNCHBURG CITY, VA</v>
          </cell>
        </row>
        <row r="2924">
          <cell r="A2924">
            <v>51685</v>
          </cell>
          <cell r="B2924" t="str">
            <v>MANASSAS PARK CITY, VA</v>
          </cell>
        </row>
        <row r="2925">
          <cell r="A2925">
            <v>51700</v>
          </cell>
          <cell r="B2925" t="str">
            <v>NEWPORT NEWS CITY, VA</v>
          </cell>
        </row>
        <row r="2926">
          <cell r="A2926">
            <v>51710</v>
          </cell>
          <cell r="B2926" t="str">
            <v>NORFOLK CITY, VA</v>
          </cell>
        </row>
        <row r="2927">
          <cell r="A2927">
            <v>51720</v>
          </cell>
          <cell r="B2927" t="str">
            <v>NORTON CITY, VA</v>
          </cell>
        </row>
        <row r="2928">
          <cell r="A2928">
            <v>51730</v>
          </cell>
          <cell r="B2928" t="str">
            <v>PETERSBURG CITY, VA</v>
          </cell>
        </row>
        <row r="2929">
          <cell r="A2929">
            <v>51735</v>
          </cell>
          <cell r="B2929" t="str">
            <v>POQUOSON CITY, VA</v>
          </cell>
        </row>
        <row r="2930">
          <cell r="A2930">
            <v>51740</v>
          </cell>
          <cell r="B2930" t="str">
            <v>PORTSMOUTH CITY, VA</v>
          </cell>
        </row>
        <row r="2931">
          <cell r="A2931">
            <v>51750</v>
          </cell>
          <cell r="B2931" t="str">
            <v>RADFORD CITY, VA</v>
          </cell>
        </row>
        <row r="2932">
          <cell r="A2932">
            <v>51760</v>
          </cell>
          <cell r="B2932" t="str">
            <v>RICHMOND CITY, VA</v>
          </cell>
        </row>
        <row r="2933">
          <cell r="A2933">
            <v>51770</v>
          </cell>
          <cell r="B2933" t="str">
            <v>ROANOKE CITY, VA</v>
          </cell>
        </row>
        <row r="2934">
          <cell r="A2934">
            <v>51775</v>
          </cell>
          <cell r="B2934" t="str">
            <v>SALEM CITY, VA</v>
          </cell>
        </row>
        <row r="2935">
          <cell r="A2935">
            <v>51790</v>
          </cell>
          <cell r="B2935" t="str">
            <v>STAUNTON CITY, VA</v>
          </cell>
        </row>
        <row r="2936">
          <cell r="A2936">
            <v>51800</v>
          </cell>
          <cell r="B2936" t="str">
            <v>SUFFOLK CITY, VA</v>
          </cell>
        </row>
        <row r="2937">
          <cell r="A2937">
            <v>51810</v>
          </cell>
          <cell r="B2937" t="str">
            <v>VIRGINIA BEACH CITY, VA</v>
          </cell>
        </row>
        <row r="2938">
          <cell r="A2938">
            <v>51820</v>
          </cell>
          <cell r="B2938" t="str">
            <v>WAYNESBORO CITY, VA</v>
          </cell>
        </row>
        <row r="2939">
          <cell r="A2939">
            <v>51840</v>
          </cell>
          <cell r="B2939" t="str">
            <v>WINCHESTER CITY, VA</v>
          </cell>
        </row>
        <row r="2940">
          <cell r="A2940">
            <v>53001</v>
          </cell>
          <cell r="B2940" t="str">
            <v>ADAMS, WA</v>
          </cell>
        </row>
        <row r="2941">
          <cell r="A2941">
            <v>53003</v>
          </cell>
          <cell r="B2941" t="str">
            <v>ASOTIN, WA</v>
          </cell>
        </row>
        <row r="2942">
          <cell r="A2942">
            <v>53005</v>
          </cell>
          <cell r="B2942" t="str">
            <v>BENTON, WA</v>
          </cell>
        </row>
        <row r="2943">
          <cell r="A2943">
            <v>53007</v>
          </cell>
          <cell r="B2943" t="str">
            <v>CHELAN, WA</v>
          </cell>
        </row>
        <row r="2944">
          <cell r="A2944">
            <v>53009</v>
          </cell>
          <cell r="B2944" t="str">
            <v>CLALLAM, WA</v>
          </cell>
        </row>
        <row r="2945">
          <cell r="A2945">
            <v>53011</v>
          </cell>
          <cell r="B2945" t="str">
            <v>CLARK, WA</v>
          </cell>
        </row>
        <row r="2946">
          <cell r="A2946">
            <v>53013</v>
          </cell>
          <cell r="B2946" t="str">
            <v>COLUMBIA, WA</v>
          </cell>
        </row>
        <row r="2947">
          <cell r="A2947">
            <v>53015</v>
          </cell>
          <cell r="B2947" t="str">
            <v>COWLITZ, WA</v>
          </cell>
        </row>
        <row r="2948">
          <cell r="A2948">
            <v>53017</v>
          </cell>
          <cell r="B2948" t="str">
            <v>DOUGLAS, WA</v>
          </cell>
        </row>
        <row r="2949">
          <cell r="A2949">
            <v>53019</v>
          </cell>
          <cell r="B2949" t="str">
            <v>FERRY, WA</v>
          </cell>
        </row>
        <row r="2950">
          <cell r="A2950">
            <v>53021</v>
          </cell>
          <cell r="B2950" t="str">
            <v>FRANKLIN, WA</v>
          </cell>
        </row>
        <row r="2951">
          <cell r="A2951">
            <v>53023</v>
          </cell>
          <cell r="B2951" t="str">
            <v>GARFIELD, WA</v>
          </cell>
        </row>
        <row r="2952">
          <cell r="A2952">
            <v>53025</v>
          </cell>
          <cell r="B2952" t="str">
            <v>GRANT, WA</v>
          </cell>
        </row>
        <row r="2953">
          <cell r="A2953">
            <v>53027</v>
          </cell>
          <cell r="B2953" t="str">
            <v>GRAYS HARBOR, WA</v>
          </cell>
        </row>
        <row r="2954">
          <cell r="A2954">
            <v>53029</v>
          </cell>
          <cell r="B2954" t="str">
            <v>ISLAND, WA</v>
          </cell>
        </row>
        <row r="2955">
          <cell r="A2955">
            <v>53031</v>
          </cell>
          <cell r="B2955" t="str">
            <v>JEFFERSON, WA</v>
          </cell>
        </row>
        <row r="2956">
          <cell r="A2956">
            <v>53033</v>
          </cell>
          <cell r="B2956" t="str">
            <v>KING, WA</v>
          </cell>
        </row>
        <row r="2957">
          <cell r="A2957">
            <v>53035</v>
          </cell>
          <cell r="B2957" t="str">
            <v>KITSAP, WA</v>
          </cell>
        </row>
        <row r="2958">
          <cell r="A2958">
            <v>53037</v>
          </cell>
          <cell r="B2958" t="str">
            <v>KITTITAS, WA</v>
          </cell>
        </row>
        <row r="2959">
          <cell r="A2959">
            <v>53039</v>
          </cell>
          <cell r="B2959" t="str">
            <v>KLICKITAT, WA</v>
          </cell>
        </row>
        <row r="2960">
          <cell r="A2960">
            <v>53041</v>
          </cell>
          <cell r="B2960" t="str">
            <v>LEWIS, WA</v>
          </cell>
        </row>
        <row r="2961">
          <cell r="A2961">
            <v>53043</v>
          </cell>
          <cell r="B2961" t="str">
            <v>LINCOLN, WA</v>
          </cell>
        </row>
        <row r="2962">
          <cell r="A2962">
            <v>53045</v>
          </cell>
          <cell r="B2962" t="str">
            <v>MASON, WA</v>
          </cell>
        </row>
        <row r="2963">
          <cell r="A2963">
            <v>53047</v>
          </cell>
          <cell r="B2963" t="str">
            <v>OKANOGAN, WA</v>
          </cell>
        </row>
        <row r="2964">
          <cell r="A2964">
            <v>53049</v>
          </cell>
          <cell r="B2964" t="str">
            <v>PACIFIC, WA</v>
          </cell>
        </row>
        <row r="2965">
          <cell r="A2965">
            <v>53051</v>
          </cell>
          <cell r="B2965" t="str">
            <v>PEND OREILLE, WA</v>
          </cell>
        </row>
        <row r="2966">
          <cell r="A2966">
            <v>53053</v>
          </cell>
          <cell r="B2966" t="str">
            <v>PIERCE, WA</v>
          </cell>
        </row>
        <row r="2967">
          <cell r="A2967">
            <v>53055</v>
          </cell>
          <cell r="B2967" t="str">
            <v>SAN JUAN, WA</v>
          </cell>
        </row>
        <row r="2968">
          <cell r="A2968">
            <v>53057</v>
          </cell>
          <cell r="B2968" t="str">
            <v>SKAGIT, WA</v>
          </cell>
        </row>
        <row r="2969">
          <cell r="A2969">
            <v>53059</v>
          </cell>
          <cell r="B2969" t="str">
            <v>SKAMANIA, WA</v>
          </cell>
        </row>
        <row r="2970">
          <cell r="A2970">
            <v>53061</v>
          </cell>
          <cell r="B2970" t="str">
            <v>SNOHOMISH, WA</v>
          </cell>
        </row>
        <row r="2971">
          <cell r="A2971">
            <v>53063</v>
          </cell>
          <cell r="B2971" t="str">
            <v>SPOKANE, WA</v>
          </cell>
        </row>
        <row r="2972">
          <cell r="A2972">
            <v>53065</v>
          </cell>
          <cell r="B2972" t="str">
            <v>STEVENS, WA</v>
          </cell>
        </row>
        <row r="2973">
          <cell r="A2973">
            <v>53067</v>
          </cell>
          <cell r="B2973" t="str">
            <v>THURSTON, WA</v>
          </cell>
        </row>
        <row r="2974">
          <cell r="A2974">
            <v>53069</v>
          </cell>
          <cell r="B2974" t="str">
            <v>WAHKIAKUM, WA</v>
          </cell>
        </row>
        <row r="2975">
          <cell r="A2975">
            <v>53071</v>
          </cell>
          <cell r="B2975" t="str">
            <v>WALLA WALLA, WA</v>
          </cell>
        </row>
        <row r="2976">
          <cell r="A2976">
            <v>53073</v>
          </cell>
          <cell r="B2976" t="str">
            <v>WHATCOM, WA</v>
          </cell>
        </row>
        <row r="2977">
          <cell r="A2977">
            <v>53075</v>
          </cell>
          <cell r="B2977" t="str">
            <v>WHITMAN, WA</v>
          </cell>
        </row>
        <row r="2978">
          <cell r="A2978">
            <v>53077</v>
          </cell>
          <cell r="B2978" t="str">
            <v>YAKIMA, WA</v>
          </cell>
        </row>
        <row r="2979">
          <cell r="A2979">
            <v>54001</v>
          </cell>
          <cell r="B2979" t="str">
            <v>BARBOUR, WV</v>
          </cell>
        </row>
        <row r="2980">
          <cell r="A2980">
            <v>54003</v>
          </cell>
          <cell r="B2980" t="str">
            <v>BERKELEY, WV</v>
          </cell>
        </row>
        <row r="2981">
          <cell r="A2981">
            <v>54005</v>
          </cell>
          <cell r="B2981" t="str">
            <v>BOONE, WV</v>
          </cell>
        </row>
        <row r="2982">
          <cell r="A2982">
            <v>54007</v>
          </cell>
          <cell r="B2982" t="str">
            <v>BRAXTON, WV</v>
          </cell>
        </row>
        <row r="2983">
          <cell r="A2983">
            <v>54009</v>
          </cell>
          <cell r="B2983" t="str">
            <v>BROOKE, WV</v>
          </cell>
        </row>
        <row r="2984">
          <cell r="A2984">
            <v>54011</v>
          </cell>
          <cell r="B2984" t="str">
            <v>CABELL, WV</v>
          </cell>
        </row>
        <row r="2985">
          <cell r="A2985">
            <v>54013</v>
          </cell>
          <cell r="B2985" t="str">
            <v>CALHOUN, WV</v>
          </cell>
        </row>
        <row r="2986">
          <cell r="A2986">
            <v>54015</v>
          </cell>
          <cell r="B2986" t="str">
            <v>CLAY, WV</v>
          </cell>
        </row>
        <row r="2987">
          <cell r="A2987">
            <v>54017</v>
          </cell>
          <cell r="B2987" t="str">
            <v>DODDRIDGE, WV</v>
          </cell>
        </row>
        <row r="2988">
          <cell r="A2988">
            <v>54019</v>
          </cell>
          <cell r="B2988" t="str">
            <v>FAYETTE, WV</v>
          </cell>
        </row>
        <row r="2989">
          <cell r="A2989">
            <v>54021</v>
          </cell>
          <cell r="B2989" t="str">
            <v>GILMER, WV</v>
          </cell>
        </row>
        <row r="2990">
          <cell r="A2990">
            <v>54023</v>
          </cell>
          <cell r="B2990" t="str">
            <v>GRANT, WV</v>
          </cell>
        </row>
        <row r="2991">
          <cell r="A2991">
            <v>54025</v>
          </cell>
          <cell r="B2991" t="str">
            <v>GREENBRIER, WV</v>
          </cell>
        </row>
        <row r="2992">
          <cell r="A2992">
            <v>54027</v>
          </cell>
          <cell r="B2992" t="str">
            <v>HAMPSHIRE, WV</v>
          </cell>
        </row>
        <row r="2993">
          <cell r="A2993">
            <v>54029</v>
          </cell>
          <cell r="B2993" t="str">
            <v>HANCOCK, WV</v>
          </cell>
        </row>
        <row r="2994">
          <cell r="A2994">
            <v>54031</v>
          </cell>
          <cell r="B2994" t="str">
            <v>HARDY, WV</v>
          </cell>
        </row>
        <row r="2995">
          <cell r="A2995">
            <v>54033</v>
          </cell>
          <cell r="B2995" t="str">
            <v>HARRISON, WV</v>
          </cell>
        </row>
        <row r="2996">
          <cell r="A2996">
            <v>54035</v>
          </cell>
          <cell r="B2996" t="str">
            <v>JACKSON, WV</v>
          </cell>
        </row>
        <row r="2997">
          <cell r="A2997">
            <v>54037</v>
          </cell>
          <cell r="B2997" t="str">
            <v>JEFFERSON, WV</v>
          </cell>
        </row>
        <row r="2998">
          <cell r="A2998">
            <v>54039</v>
          </cell>
          <cell r="B2998" t="str">
            <v>KANAWHA, WV</v>
          </cell>
        </row>
        <row r="2999">
          <cell r="A2999">
            <v>54041</v>
          </cell>
          <cell r="B2999" t="str">
            <v>LEWIS, WV</v>
          </cell>
        </row>
        <row r="3000">
          <cell r="A3000">
            <v>54043</v>
          </cell>
          <cell r="B3000" t="str">
            <v>LINCOLN, WV</v>
          </cell>
        </row>
        <row r="3001">
          <cell r="A3001">
            <v>54045</v>
          </cell>
          <cell r="B3001" t="str">
            <v>LOGAN, WV</v>
          </cell>
        </row>
        <row r="3002">
          <cell r="A3002">
            <v>54047</v>
          </cell>
          <cell r="B3002" t="str">
            <v>MCDOWELL, WV</v>
          </cell>
        </row>
        <row r="3003">
          <cell r="A3003">
            <v>54049</v>
          </cell>
          <cell r="B3003" t="str">
            <v>MARION, WV</v>
          </cell>
        </row>
        <row r="3004">
          <cell r="A3004">
            <v>54051</v>
          </cell>
          <cell r="B3004" t="str">
            <v>MARSHALL, WV</v>
          </cell>
        </row>
        <row r="3005">
          <cell r="A3005">
            <v>54053</v>
          </cell>
          <cell r="B3005" t="str">
            <v>MASON, WV</v>
          </cell>
        </row>
        <row r="3006">
          <cell r="A3006">
            <v>54055</v>
          </cell>
          <cell r="B3006" t="str">
            <v>MERCER, WV</v>
          </cell>
        </row>
        <row r="3007">
          <cell r="A3007">
            <v>54057</v>
          </cell>
          <cell r="B3007" t="str">
            <v>MINERAL, WV</v>
          </cell>
        </row>
        <row r="3008">
          <cell r="A3008">
            <v>54059</v>
          </cell>
          <cell r="B3008" t="str">
            <v>MINGO, WV</v>
          </cell>
        </row>
        <row r="3009">
          <cell r="A3009">
            <v>54061</v>
          </cell>
          <cell r="B3009" t="str">
            <v>MONONGALIA, WV</v>
          </cell>
        </row>
        <row r="3010">
          <cell r="A3010">
            <v>54063</v>
          </cell>
          <cell r="B3010" t="str">
            <v>MONROE, WV</v>
          </cell>
        </row>
        <row r="3011">
          <cell r="A3011">
            <v>54065</v>
          </cell>
          <cell r="B3011" t="str">
            <v>MORGAN, WV</v>
          </cell>
        </row>
        <row r="3012">
          <cell r="A3012">
            <v>54067</v>
          </cell>
          <cell r="B3012" t="str">
            <v>NICHOLAS, WV</v>
          </cell>
        </row>
        <row r="3013">
          <cell r="A3013">
            <v>54069</v>
          </cell>
          <cell r="B3013" t="str">
            <v>OHIO, WV</v>
          </cell>
        </row>
        <row r="3014">
          <cell r="A3014">
            <v>54071</v>
          </cell>
          <cell r="B3014" t="str">
            <v>PENDLETON, WV</v>
          </cell>
        </row>
        <row r="3015">
          <cell r="A3015">
            <v>54073</v>
          </cell>
          <cell r="B3015" t="str">
            <v>PLEASANTS, WV</v>
          </cell>
        </row>
        <row r="3016">
          <cell r="A3016">
            <v>54075</v>
          </cell>
          <cell r="B3016" t="str">
            <v>POCAHONTAS, WV</v>
          </cell>
        </row>
        <row r="3017">
          <cell r="A3017">
            <v>54077</v>
          </cell>
          <cell r="B3017" t="str">
            <v>PRESTON, WV</v>
          </cell>
        </row>
        <row r="3018">
          <cell r="A3018">
            <v>54079</v>
          </cell>
          <cell r="B3018" t="str">
            <v>PUTNAM, WV</v>
          </cell>
        </row>
        <row r="3019">
          <cell r="A3019">
            <v>54081</v>
          </cell>
          <cell r="B3019" t="str">
            <v>RALEIGH, WV</v>
          </cell>
        </row>
        <row r="3020">
          <cell r="A3020">
            <v>54083</v>
          </cell>
          <cell r="B3020" t="str">
            <v>RANDOLPH, WV</v>
          </cell>
        </row>
        <row r="3021">
          <cell r="A3021">
            <v>54085</v>
          </cell>
          <cell r="B3021" t="str">
            <v>RITCHIE, WV</v>
          </cell>
        </row>
        <row r="3022">
          <cell r="A3022">
            <v>54087</v>
          </cell>
          <cell r="B3022" t="str">
            <v>ROANE, WV</v>
          </cell>
        </row>
        <row r="3023">
          <cell r="A3023">
            <v>54089</v>
          </cell>
          <cell r="B3023" t="str">
            <v>SUMMERS, WV</v>
          </cell>
        </row>
        <row r="3024">
          <cell r="A3024">
            <v>54091</v>
          </cell>
          <cell r="B3024" t="str">
            <v>TAYLOR, WV</v>
          </cell>
        </row>
        <row r="3025">
          <cell r="A3025">
            <v>54093</v>
          </cell>
          <cell r="B3025" t="str">
            <v>TUCKER, WV</v>
          </cell>
        </row>
        <row r="3026">
          <cell r="A3026">
            <v>54095</v>
          </cell>
          <cell r="B3026" t="str">
            <v>TYLER, WV</v>
          </cell>
        </row>
        <row r="3027">
          <cell r="A3027">
            <v>54097</v>
          </cell>
          <cell r="B3027" t="str">
            <v>UPSHUR, WV</v>
          </cell>
        </row>
        <row r="3028">
          <cell r="A3028">
            <v>54099</v>
          </cell>
          <cell r="B3028" t="str">
            <v>WAYNE, WV</v>
          </cell>
        </row>
        <row r="3029">
          <cell r="A3029">
            <v>54101</v>
          </cell>
          <cell r="B3029" t="str">
            <v>WEBSTER, WV</v>
          </cell>
        </row>
        <row r="3030">
          <cell r="A3030">
            <v>54103</v>
          </cell>
          <cell r="B3030" t="str">
            <v>WETZEL, WV</v>
          </cell>
        </row>
        <row r="3031">
          <cell r="A3031">
            <v>54105</v>
          </cell>
          <cell r="B3031" t="str">
            <v>WIRT, WV</v>
          </cell>
        </row>
        <row r="3032">
          <cell r="A3032">
            <v>54107</v>
          </cell>
          <cell r="B3032" t="str">
            <v>WOOD, WV</v>
          </cell>
        </row>
        <row r="3033">
          <cell r="A3033">
            <v>54109</v>
          </cell>
          <cell r="B3033" t="str">
            <v>WYOMING, WV</v>
          </cell>
        </row>
        <row r="3034">
          <cell r="A3034">
            <v>55001</v>
          </cell>
          <cell r="B3034" t="str">
            <v>ADAMS, WI</v>
          </cell>
        </row>
        <row r="3035">
          <cell r="A3035">
            <v>55003</v>
          </cell>
          <cell r="B3035" t="str">
            <v>ASHLAND, WI</v>
          </cell>
        </row>
        <row r="3036">
          <cell r="A3036">
            <v>55005</v>
          </cell>
          <cell r="B3036" t="str">
            <v>BARRON, WI</v>
          </cell>
        </row>
        <row r="3037">
          <cell r="A3037">
            <v>55007</v>
          </cell>
          <cell r="B3037" t="str">
            <v>BAYFIELD, WI</v>
          </cell>
        </row>
        <row r="3038">
          <cell r="A3038">
            <v>55009</v>
          </cell>
          <cell r="B3038" t="str">
            <v>BROWN, WI</v>
          </cell>
        </row>
        <row r="3039">
          <cell r="A3039">
            <v>55011</v>
          </cell>
          <cell r="B3039" t="str">
            <v>BUFFALO, WI</v>
          </cell>
        </row>
        <row r="3040">
          <cell r="A3040">
            <v>55013</v>
          </cell>
          <cell r="B3040" t="str">
            <v>BURNETT, WI</v>
          </cell>
        </row>
        <row r="3041">
          <cell r="A3041">
            <v>55015</v>
          </cell>
          <cell r="B3041" t="str">
            <v>CALUMET, WI</v>
          </cell>
        </row>
        <row r="3042">
          <cell r="A3042">
            <v>55017</v>
          </cell>
          <cell r="B3042" t="str">
            <v>CHIPPEWA, WI</v>
          </cell>
        </row>
        <row r="3043">
          <cell r="A3043">
            <v>55019</v>
          </cell>
          <cell r="B3043" t="str">
            <v>CLARK, WI</v>
          </cell>
        </row>
        <row r="3044">
          <cell r="A3044">
            <v>55021</v>
          </cell>
          <cell r="B3044" t="str">
            <v>COLUMBIA, WI</v>
          </cell>
        </row>
        <row r="3045">
          <cell r="A3045">
            <v>55023</v>
          </cell>
          <cell r="B3045" t="str">
            <v>CRAWFORD, WI</v>
          </cell>
        </row>
        <row r="3046">
          <cell r="A3046">
            <v>55025</v>
          </cell>
          <cell r="B3046" t="str">
            <v>DANE, WI</v>
          </cell>
        </row>
        <row r="3047">
          <cell r="A3047">
            <v>55027</v>
          </cell>
          <cell r="B3047" t="str">
            <v>DODGE, WI</v>
          </cell>
        </row>
        <row r="3048">
          <cell r="A3048">
            <v>55029</v>
          </cell>
          <cell r="B3048" t="str">
            <v>DOOR, WI</v>
          </cell>
        </row>
        <row r="3049">
          <cell r="A3049">
            <v>55031</v>
          </cell>
          <cell r="B3049" t="str">
            <v>DOUGLAS, WI</v>
          </cell>
        </row>
        <row r="3050">
          <cell r="A3050">
            <v>55033</v>
          </cell>
          <cell r="B3050" t="str">
            <v>DUNN, WI</v>
          </cell>
        </row>
        <row r="3051">
          <cell r="A3051">
            <v>55035</v>
          </cell>
          <cell r="B3051" t="str">
            <v>EAU CLAIRE, WI</v>
          </cell>
        </row>
        <row r="3052">
          <cell r="A3052">
            <v>55037</v>
          </cell>
          <cell r="B3052" t="str">
            <v>FLORENCE, WI</v>
          </cell>
        </row>
        <row r="3053">
          <cell r="A3053">
            <v>55039</v>
          </cell>
          <cell r="B3053" t="str">
            <v>FOND DU LAC, WI</v>
          </cell>
        </row>
        <row r="3054">
          <cell r="A3054">
            <v>55041</v>
          </cell>
          <cell r="B3054" t="str">
            <v>FOREST, WI</v>
          </cell>
        </row>
        <row r="3055">
          <cell r="A3055">
            <v>55043</v>
          </cell>
          <cell r="B3055" t="str">
            <v>GRANT, WI</v>
          </cell>
        </row>
        <row r="3056">
          <cell r="A3056">
            <v>55045</v>
          </cell>
          <cell r="B3056" t="str">
            <v>GREEN, WI</v>
          </cell>
        </row>
        <row r="3057">
          <cell r="A3057">
            <v>55047</v>
          </cell>
          <cell r="B3057" t="str">
            <v>GREEN LAKE, WI</v>
          </cell>
        </row>
        <row r="3058">
          <cell r="A3058">
            <v>55049</v>
          </cell>
          <cell r="B3058" t="str">
            <v>IOWA, WI</v>
          </cell>
        </row>
        <row r="3059">
          <cell r="A3059">
            <v>55051</v>
          </cell>
          <cell r="B3059" t="str">
            <v>IRON, WI</v>
          </cell>
        </row>
        <row r="3060">
          <cell r="A3060">
            <v>55053</v>
          </cell>
          <cell r="B3060" t="str">
            <v>JACKSON, WI</v>
          </cell>
        </row>
        <row r="3061">
          <cell r="A3061">
            <v>55055</v>
          </cell>
          <cell r="B3061" t="str">
            <v>JEFFERSON, WI</v>
          </cell>
        </row>
        <row r="3062">
          <cell r="A3062">
            <v>55057</v>
          </cell>
          <cell r="B3062" t="str">
            <v>JUNEAU, WI</v>
          </cell>
        </row>
        <row r="3063">
          <cell r="A3063">
            <v>55059</v>
          </cell>
          <cell r="B3063" t="str">
            <v>KENOSHA, WI</v>
          </cell>
        </row>
        <row r="3064">
          <cell r="A3064">
            <v>55061</v>
          </cell>
          <cell r="B3064" t="str">
            <v>KEWAUNEE, WI</v>
          </cell>
        </row>
        <row r="3065">
          <cell r="A3065">
            <v>55063</v>
          </cell>
          <cell r="B3065" t="str">
            <v>LA CROSSE, WI</v>
          </cell>
        </row>
        <row r="3066">
          <cell r="A3066">
            <v>55065</v>
          </cell>
          <cell r="B3066" t="str">
            <v>LAFAYETTE, WI</v>
          </cell>
        </row>
        <row r="3067">
          <cell r="A3067">
            <v>55067</v>
          </cell>
          <cell r="B3067" t="str">
            <v>LANGLADE, WI</v>
          </cell>
        </row>
        <row r="3068">
          <cell r="A3068">
            <v>55069</v>
          </cell>
          <cell r="B3068" t="str">
            <v>LINCOLN, WI</v>
          </cell>
        </row>
        <row r="3069">
          <cell r="A3069">
            <v>55071</v>
          </cell>
          <cell r="B3069" t="str">
            <v>MANITOWOC, WI</v>
          </cell>
        </row>
        <row r="3070">
          <cell r="A3070">
            <v>55073</v>
          </cell>
          <cell r="B3070" t="str">
            <v>MARATHON, WI</v>
          </cell>
        </row>
        <row r="3071">
          <cell r="A3071">
            <v>55075</v>
          </cell>
          <cell r="B3071" t="str">
            <v>MARINETTE, WI</v>
          </cell>
        </row>
        <row r="3072">
          <cell r="A3072">
            <v>55077</v>
          </cell>
          <cell r="B3072" t="str">
            <v>MARQUETTE, WI</v>
          </cell>
        </row>
        <row r="3073">
          <cell r="A3073">
            <v>55078</v>
          </cell>
          <cell r="B3073" t="str">
            <v>MENOMINEE, WI</v>
          </cell>
        </row>
        <row r="3074">
          <cell r="A3074">
            <v>55079</v>
          </cell>
          <cell r="B3074" t="str">
            <v>MILWAUKEE, WI</v>
          </cell>
        </row>
        <row r="3075">
          <cell r="A3075">
            <v>55081</v>
          </cell>
          <cell r="B3075" t="str">
            <v>MONROE, WI</v>
          </cell>
        </row>
        <row r="3076">
          <cell r="A3076">
            <v>55083</v>
          </cell>
          <cell r="B3076" t="str">
            <v>OCONTO, WI</v>
          </cell>
        </row>
        <row r="3077">
          <cell r="A3077">
            <v>55085</v>
          </cell>
          <cell r="B3077" t="str">
            <v>ONEIDA, WI</v>
          </cell>
        </row>
        <row r="3078">
          <cell r="A3078">
            <v>55087</v>
          </cell>
          <cell r="B3078" t="str">
            <v>OUTAGAMIE, WI</v>
          </cell>
        </row>
        <row r="3079">
          <cell r="A3079">
            <v>55089</v>
          </cell>
          <cell r="B3079" t="str">
            <v>OZAUKEE, WI</v>
          </cell>
        </row>
        <row r="3080">
          <cell r="A3080">
            <v>55091</v>
          </cell>
          <cell r="B3080" t="str">
            <v>PEPIN, WI</v>
          </cell>
        </row>
        <row r="3081">
          <cell r="A3081">
            <v>55093</v>
          </cell>
          <cell r="B3081" t="str">
            <v>PIERCE, WI</v>
          </cell>
        </row>
        <row r="3082">
          <cell r="A3082">
            <v>55095</v>
          </cell>
          <cell r="B3082" t="str">
            <v>POLK, WI</v>
          </cell>
        </row>
        <row r="3083">
          <cell r="A3083">
            <v>55097</v>
          </cell>
          <cell r="B3083" t="str">
            <v>PORTAGE, WI</v>
          </cell>
        </row>
        <row r="3084">
          <cell r="A3084">
            <v>55099</v>
          </cell>
          <cell r="B3084" t="str">
            <v>PRICE, WI</v>
          </cell>
        </row>
        <row r="3085">
          <cell r="A3085">
            <v>55101</v>
          </cell>
          <cell r="B3085" t="str">
            <v>RACINE, WI</v>
          </cell>
        </row>
        <row r="3086">
          <cell r="A3086">
            <v>55103</v>
          </cell>
          <cell r="B3086" t="str">
            <v>RICHLAND, WI</v>
          </cell>
        </row>
        <row r="3087">
          <cell r="A3087">
            <v>55105</v>
          </cell>
          <cell r="B3087" t="str">
            <v>ROCK, WI</v>
          </cell>
        </row>
        <row r="3088">
          <cell r="A3088">
            <v>55107</v>
          </cell>
          <cell r="B3088" t="str">
            <v>RUSK, WI</v>
          </cell>
        </row>
        <row r="3089">
          <cell r="A3089">
            <v>55109</v>
          </cell>
          <cell r="B3089" t="str">
            <v>ST CROIX, WI</v>
          </cell>
        </row>
        <row r="3090">
          <cell r="A3090">
            <v>55111</v>
          </cell>
          <cell r="B3090" t="str">
            <v>SAUK, WI</v>
          </cell>
        </row>
        <row r="3091">
          <cell r="A3091">
            <v>55113</v>
          </cell>
          <cell r="B3091" t="str">
            <v>SAWYER, WI</v>
          </cell>
        </row>
        <row r="3092">
          <cell r="A3092">
            <v>55115</v>
          </cell>
          <cell r="B3092" t="str">
            <v>SHAWANO, WI</v>
          </cell>
        </row>
        <row r="3093">
          <cell r="A3093">
            <v>55117</v>
          </cell>
          <cell r="B3093" t="str">
            <v>SHEBOYGAN, WI</v>
          </cell>
        </row>
        <row r="3094">
          <cell r="A3094">
            <v>55119</v>
          </cell>
          <cell r="B3094" t="str">
            <v>TAYLOR, WI</v>
          </cell>
        </row>
        <row r="3095">
          <cell r="A3095">
            <v>55121</v>
          </cell>
          <cell r="B3095" t="str">
            <v>TREMPEALEAU, WI</v>
          </cell>
        </row>
        <row r="3096">
          <cell r="A3096">
            <v>55123</v>
          </cell>
          <cell r="B3096" t="str">
            <v>VERNON, WI</v>
          </cell>
        </row>
        <row r="3097">
          <cell r="A3097">
            <v>55125</v>
          </cell>
          <cell r="B3097" t="str">
            <v>VILAS, WI</v>
          </cell>
        </row>
        <row r="3098">
          <cell r="A3098">
            <v>55127</v>
          </cell>
          <cell r="B3098" t="str">
            <v>WALWORTH, WI</v>
          </cell>
        </row>
        <row r="3099">
          <cell r="A3099">
            <v>55129</v>
          </cell>
          <cell r="B3099" t="str">
            <v>WASHBURN, WI</v>
          </cell>
        </row>
        <row r="3100">
          <cell r="A3100">
            <v>55131</v>
          </cell>
          <cell r="B3100" t="str">
            <v>WASHINGTON, WI</v>
          </cell>
        </row>
        <row r="3101">
          <cell r="A3101">
            <v>55133</v>
          </cell>
          <cell r="B3101" t="str">
            <v>WAUKESHA, WI</v>
          </cell>
        </row>
        <row r="3102">
          <cell r="A3102">
            <v>55135</v>
          </cell>
          <cell r="B3102" t="str">
            <v>WAUPACA, WI</v>
          </cell>
        </row>
        <row r="3103">
          <cell r="A3103">
            <v>55137</v>
          </cell>
          <cell r="B3103" t="str">
            <v>WAUSHARA, WI</v>
          </cell>
        </row>
        <row r="3104">
          <cell r="A3104">
            <v>55139</v>
          </cell>
          <cell r="B3104" t="str">
            <v>WINNEBAGO, WI</v>
          </cell>
        </row>
        <row r="3105">
          <cell r="A3105">
            <v>55141</v>
          </cell>
          <cell r="B3105" t="str">
            <v>WOOD, WI</v>
          </cell>
        </row>
        <row r="3106">
          <cell r="A3106">
            <v>56001</v>
          </cell>
          <cell r="B3106" t="str">
            <v>ALBANY, WY</v>
          </cell>
        </row>
        <row r="3107">
          <cell r="A3107">
            <v>56003</v>
          </cell>
          <cell r="B3107" t="str">
            <v>BIG HORN, WY</v>
          </cell>
        </row>
        <row r="3108">
          <cell r="A3108">
            <v>56005</v>
          </cell>
          <cell r="B3108" t="str">
            <v>CAMPBELL, WY</v>
          </cell>
        </row>
        <row r="3109">
          <cell r="A3109">
            <v>56007</v>
          </cell>
          <cell r="B3109" t="str">
            <v>CARBON, WY</v>
          </cell>
        </row>
        <row r="3110">
          <cell r="A3110">
            <v>56009</v>
          </cell>
          <cell r="B3110" t="str">
            <v>CONVERSE, WY</v>
          </cell>
        </row>
        <row r="3111">
          <cell r="A3111">
            <v>56011</v>
          </cell>
          <cell r="B3111" t="str">
            <v>CROOK, WY</v>
          </cell>
        </row>
        <row r="3112">
          <cell r="A3112">
            <v>56013</v>
          </cell>
          <cell r="B3112" t="str">
            <v>FREMONT, WY</v>
          </cell>
        </row>
        <row r="3113">
          <cell r="A3113">
            <v>56015</v>
          </cell>
          <cell r="B3113" t="str">
            <v>GOSHEN, WY</v>
          </cell>
        </row>
        <row r="3114">
          <cell r="A3114">
            <v>56017</v>
          </cell>
          <cell r="B3114" t="str">
            <v>HOT SPRINGS, WY</v>
          </cell>
        </row>
        <row r="3115">
          <cell r="A3115">
            <v>56019</v>
          </cell>
          <cell r="B3115" t="str">
            <v>JOHNSON, WY</v>
          </cell>
        </row>
        <row r="3116">
          <cell r="A3116">
            <v>56021</v>
          </cell>
          <cell r="B3116" t="str">
            <v>LARAMIE, WY</v>
          </cell>
        </row>
        <row r="3117">
          <cell r="A3117">
            <v>56023</v>
          </cell>
          <cell r="B3117" t="str">
            <v>LINCOLN, WY</v>
          </cell>
        </row>
        <row r="3118">
          <cell r="A3118">
            <v>56025</v>
          </cell>
          <cell r="B3118" t="str">
            <v>NATRONA, WY</v>
          </cell>
        </row>
        <row r="3119">
          <cell r="A3119">
            <v>56027</v>
          </cell>
          <cell r="B3119" t="str">
            <v>NIOBRARA, WY</v>
          </cell>
        </row>
        <row r="3120">
          <cell r="A3120">
            <v>56029</v>
          </cell>
          <cell r="B3120" t="str">
            <v>PARK, WY</v>
          </cell>
        </row>
        <row r="3121">
          <cell r="A3121">
            <v>56031</v>
          </cell>
          <cell r="B3121" t="str">
            <v>PLATTE, WY</v>
          </cell>
        </row>
        <row r="3122">
          <cell r="A3122">
            <v>56033</v>
          </cell>
          <cell r="B3122" t="str">
            <v>SHERIDAN, WY</v>
          </cell>
        </row>
        <row r="3123">
          <cell r="A3123">
            <v>56035</v>
          </cell>
          <cell r="B3123" t="str">
            <v>SUBLETTE, WY</v>
          </cell>
        </row>
        <row r="3124">
          <cell r="A3124">
            <v>56037</v>
          </cell>
          <cell r="B3124" t="str">
            <v>SWEETWATER, WY</v>
          </cell>
        </row>
        <row r="3125">
          <cell r="A3125">
            <v>56039</v>
          </cell>
          <cell r="B3125" t="str">
            <v>TETON, WY</v>
          </cell>
        </row>
        <row r="3126">
          <cell r="A3126">
            <v>56041</v>
          </cell>
          <cell r="B3126" t="str">
            <v>UINTA, WY</v>
          </cell>
        </row>
        <row r="3127">
          <cell r="A3127">
            <v>56043</v>
          </cell>
          <cell r="B3127" t="str">
            <v>WASHAKIE, WY</v>
          </cell>
        </row>
        <row r="3128">
          <cell r="A3128">
            <v>56045</v>
          </cell>
          <cell r="B3128" t="str">
            <v>WESTON, WY</v>
          </cell>
        </row>
      </sheetData>
      <sheetData sheetId="2">
        <row r="1">
          <cell r="A1">
            <v>10100</v>
          </cell>
          <cell r="B1" t="str">
            <v>ALABAMA NORTH</v>
          </cell>
        </row>
        <row r="2">
          <cell r="A2">
            <v>10200</v>
          </cell>
          <cell r="B2" t="str">
            <v>ALABAMA SOUTH</v>
          </cell>
        </row>
        <row r="3">
          <cell r="A3">
            <v>10300</v>
          </cell>
          <cell r="B3" t="str">
            <v>BIRMINGHAM, AL</v>
          </cell>
        </row>
        <row r="4">
          <cell r="A4">
            <v>10400</v>
          </cell>
          <cell r="B4" t="str">
            <v>MOBILE, AL</v>
          </cell>
        </row>
        <row r="5">
          <cell r="A5">
            <v>20100</v>
          </cell>
          <cell r="B5" t="str">
            <v>ALASKA</v>
          </cell>
        </row>
        <row r="6">
          <cell r="A6">
            <v>40100</v>
          </cell>
          <cell r="B6" t="str">
            <v>PHOENIX, AZ</v>
          </cell>
        </row>
        <row r="7">
          <cell r="A7">
            <v>40200</v>
          </cell>
          <cell r="B7" t="str">
            <v>ARIZONA AREA</v>
          </cell>
        </row>
        <row r="8">
          <cell r="A8">
            <v>40300</v>
          </cell>
          <cell r="B8" t="str">
            <v>TUCSON, AZ</v>
          </cell>
        </row>
        <row r="9">
          <cell r="A9">
            <v>50100</v>
          </cell>
          <cell r="B9" t="str">
            <v>LITTLE ROCK, AR</v>
          </cell>
        </row>
        <row r="10">
          <cell r="A10">
            <v>50200</v>
          </cell>
          <cell r="B10" t="str">
            <v>ARKANSAS NORTH</v>
          </cell>
        </row>
        <row r="11">
          <cell r="A11">
            <v>50300</v>
          </cell>
          <cell r="B11" t="str">
            <v>ARKANSAS SOUTH</v>
          </cell>
        </row>
        <row r="12">
          <cell r="A12">
            <v>60100</v>
          </cell>
          <cell r="B12" t="str">
            <v>ANAHEIM-SANTA ANA, CA</v>
          </cell>
        </row>
        <row r="13">
          <cell r="A13">
            <v>60200</v>
          </cell>
          <cell r="B13" t="str">
            <v>LOS ANGELES-LONG BEACH,CA</v>
          </cell>
        </row>
        <row r="14">
          <cell r="A14">
            <v>60300</v>
          </cell>
          <cell r="B14" t="str">
            <v>OAKLAND, CA</v>
          </cell>
        </row>
        <row r="15">
          <cell r="A15">
            <v>60400</v>
          </cell>
          <cell r="B15" t="str">
            <v>RIVERSIDE-SAN BERNARDINO, CA</v>
          </cell>
        </row>
        <row r="16">
          <cell r="A16">
            <v>60500</v>
          </cell>
          <cell r="B16" t="str">
            <v>SACRAMENTO, CA</v>
          </cell>
        </row>
        <row r="17">
          <cell r="A17">
            <v>60600</v>
          </cell>
          <cell r="B17" t="str">
            <v>SAN DIEGO, CA</v>
          </cell>
        </row>
        <row r="18">
          <cell r="A18">
            <v>60700</v>
          </cell>
          <cell r="B18" t="str">
            <v>SAN FRANCISCO/SAN MATEO</v>
          </cell>
        </row>
        <row r="19">
          <cell r="A19">
            <v>60800</v>
          </cell>
          <cell r="B19" t="str">
            <v>SAN JOSE-SANTA CRUZ, CA</v>
          </cell>
        </row>
        <row r="20">
          <cell r="A20">
            <v>60900</v>
          </cell>
          <cell r="B20" t="str">
            <v>CALIFORNIA SOUTH/CENTRAL</v>
          </cell>
        </row>
        <row r="21">
          <cell r="A21">
            <v>61000</v>
          </cell>
          <cell r="B21" t="str">
            <v>CALIFORNIA NORTH</v>
          </cell>
        </row>
        <row r="22">
          <cell r="A22">
            <v>61100</v>
          </cell>
          <cell r="B22" t="str">
            <v>CALIFORNIA NORTH CENTRAL</v>
          </cell>
        </row>
        <row r="23">
          <cell r="A23">
            <v>61200</v>
          </cell>
          <cell r="B23" t="str">
            <v>OXNARD/VENTURA CA</v>
          </cell>
        </row>
        <row r="24">
          <cell r="A24">
            <v>61300</v>
          </cell>
          <cell r="B24" t="str">
            <v>SANTA BARBARA/SANTA MARIA CA</v>
          </cell>
        </row>
        <row r="25">
          <cell r="A25">
            <v>61400</v>
          </cell>
          <cell r="B25" t="str">
            <v>SAN LUIS OBISPO, CA</v>
          </cell>
        </row>
        <row r="26">
          <cell r="A26">
            <v>61500</v>
          </cell>
          <cell r="B26" t="str">
            <v>SALINAS/MONTEREY, CA</v>
          </cell>
        </row>
        <row r="27">
          <cell r="A27">
            <v>61600</v>
          </cell>
          <cell r="B27" t="str">
            <v>PALM SPRINGS</v>
          </cell>
        </row>
        <row r="28">
          <cell r="A28">
            <v>80100</v>
          </cell>
          <cell r="B28" t="str">
            <v>DENVER, CO</v>
          </cell>
        </row>
        <row r="29">
          <cell r="A29">
            <v>80200</v>
          </cell>
          <cell r="B29" t="str">
            <v>COLORADO EAST</v>
          </cell>
        </row>
        <row r="30">
          <cell r="A30">
            <v>80300</v>
          </cell>
          <cell r="B30" t="str">
            <v>COLORADO WEST</v>
          </cell>
        </row>
        <row r="31">
          <cell r="A31">
            <v>80400</v>
          </cell>
          <cell r="B31" t="str">
            <v>COLORADO SPRINGS, CO</v>
          </cell>
        </row>
        <row r="32">
          <cell r="A32">
            <v>90200</v>
          </cell>
          <cell r="B32" t="str">
            <v>CONNECTICUT AREA</v>
          </cell>
        </row>
        <row r="33">
          <cell r="A33">
            <v>90300</v>
          </cell>
          <cell r="B33" t="str">
            <v>HARTFORD, CT</v>
          </cell>
        </row>
        <row r="34">
          <cell r="A34">
            <v>100100</v>
          </cell>
          <cell r="B34" t="str">
            <v>DELAWARE</v>
          </cell>
        </row>
        <row r="35">
          <cell r="A35">
            <v>110100</v>
          </cell>
          <cell r="B35" t="str">
            <v>WASHINGTON, DC-MD-VA</v>
          </cell>
        </row>
        <row r="36">
          <cell r="A36">
            <v>120100</v>
          </cell>
          <cell r="B36" t="str">
            <v>FORT LAUDERDALE, FL</v>
          </cell>
        </row>
        <row r="37">
          <cell r="A37">
            <v>120200</v>
          </cell>
          <cell r="B37" t="str">
            <v>JACKSONVILLE, FL</v>
          </cell>
        </row>
        <row r="38">
          <cell r="A38">
            <v>120300</v>
          </cell>
          <cell r="B38" t="str">
            <v>MIAMI-HIALEAH, FL</v>
          </cell>
        </row>
        <row r="39">
          <cell r="A39">
            <v>120400</v>
          </cell>
          <cell r="B39" t="str">
            <v>ORLANDO, FL</v>
          </cell>
        </row>
        <row r="40">
          <cell r="A40">
            <v>120500</v>
          </cell>
          <cell r="B40" t="str">
            <v>TAMPA-ST. PETERSBURG, FL</v>
          </cell>
        </row>
        <row r="41">
          <cell r="A41">
            <v>120600</v>
          </cell>
          <cell r="B41" t="str">
            <v>FLORIDA NORTH</v>
          </cell>
        </row>
        <row r="42">
          <cell r="A42">
            <v>120700</v>
          </cell>
          <cell r="B42" t="str">
            <v>FLORIDA CENTRAL</v>
          </cell>
        </row>
        <row r="43">
          <cell r="A43">
            <v>120800</v>
          </cell>
          <cell r="B43" t="str">
            <v>FLORIDA SOUTH</v>
          </cell>
        </row>
        <row r="44">
          <cell r="A44">
            <v>120900</v>
          </cell>
          <cell r="B44" t="str">
            <v>WEST PALM BEACH-BOCA RATON, FL</v>
          </cell>
        </row>
        <row r="45">
          <cell r="A45">
            <v>121000</v>
          </cell>
          <cell r="B45" t="str">
            <v>FT. MYERS, FL</v>
          </cell>
        </row>
        <row r="46">
          <cell r="A46">
            <v>121200</v>
          </cell>
          <cell r="B46" t="str">
            <v>DAYTONA BEACH, FL</v>
          </cell>
        </row>
        <row r="47">
          <cell r="A47">
            <v>121300</v>
          </cell>
          <cell r="B47" t="str">
            <v>MELBOURNE-TITUSVILLE, FL</v>
          </cell>
        </row>
        <row r="48">
          <cell r="A48">
            <v>121400</v>
          </cell>
          <cell r="B48" t="str">
            <v>FLORIDA KEYS</v>
          </cell>
        </row>
        <row r="49">
          <cell r="A49">
            <v>130100</v>
          </cell>
          <cell r="B49" t="str">
            <v>ATLANTA, GA</v>
          </cell>
        </row>
        <row r="50">
          <cell r="A50">
            <v>130200</v>
          </cell>
          <cell r="B50" t="str">
            <v>GEORGIA NORTH</v>
          </cell>
        </row>
        <row r="51">
          <cell r="A51">
            <v>130300</v>
          </cell>
          <cell r="B51" t="str">
            <v>GEORGIA SOUTH</v>
          </cell>
        </row>
        <row r="52">
          <cell r="A52">
            <v>130400</v>
          </cell>
          <cell r="B52" t="str">
            <v>MACON/WARNER ROBBINS, GA</v>
          </cell>
        </row>
        <row r="53">
          <cell r="A53">
            <v>130500</v>
          </cell>
          <cell r="B53" t="str">
            <v>AUGUSTA, GA-SC</v>
          </cell>
        </row>
        <row r="54">
          <cell r="A54">
            <v>130600</v>
          </cell>
          <cell r="B54" t="str">
            <v>SAVANNAH, GA</v>
          </cell>
        </row>
        <row r="55">
          <cell r="A55">
            <v>150100</v>
          </cell>
          <cell r="B55" t="str">
            <v>HAWAII-KAUAI ISLANDS</v>
          </cell>
        </row>
        <row r="56">
          <cell r="A56">
            <v>150200</v>
          </cell>
          <cell r="B56" t="str">
            <v>OAHU ISLAND</v>
          </cell>
        </row>
        <row r="57">
          <cell r="A57">
            <v>150300</v>
          </cell>
          <cell r="B57" t="str">
            <v>MAUI ISLAND</v>
          </cell>
        </row>
        <row r="58">
          <cell r="A58">
            <v>160100</v>
          </cell>
          <cell r="B58" t="str">
            <v>IDAHO</v>
          </cell>
        </row>
        <row r="59">
          <cell r="A59">
            <v>170100</v>
          </cell>
          <cell r="B59" t="str">
            <v>CHICAGO, IL</v>
          </cell>
        </row>
        <row r="60">
          <cell r="A60">
            <v>170200</v>
          </cell>
          <cell r="B60" t="str">
            <v>ILLINOIS NORTH</v>
          </cell>
        </row>
        <row r="61">
          <cell r="A61">
            <v>170300</v>
          </cell>
          <cell r="B61" t="str">
            <v>ILLINOIS SOUTH</v>
          </cell>
        </row>
        <row r="62">
          <cell r="A62">
            <v>180100</v>
          </cell>
          <cell r="B62" t="str">
            <v>INDIANA NORTH</v>
          </cell>
        </row>
        <row r="63">
          <cell r="A63">
            <v>180200</v>
          </cell>
          <cell r="B63" t="str">
            <v>INDIANA SOUTH</v>
          </cell>
        </row>
        <row r="64">
          <cell r="A64">
            <v>180300</v>
          </cell>
          <cell r="B64" t="str">
            <v>INDIANAPOLIS, IN</v>
          </cell>
        </row>
        <row r="65">
          <cell r="A65">
            <v>190100</v>
          </cell>
          <cell r="B65" t="str">
            <v>IOWA AREA</v>
          </cell>
        </row>
        <row r="66">
          <cell r="A66">
            <v>190200</v>
          </cell>
          <cell r="B66" t="str">
            <v>DAVENPORT-ROCK ISLAND-MOLINE,</v>
          </cell>
        </row>
        <row r="67">
          <cell r="A67">
            <v>190300</v>
          </cell>
          <cell r="B67" t="str">
            <v>DES MOINES, IA</v>
          </cell>
        </row>
        <row r="68">
          <cell r="A68">
            <v>200100</v>
          </cell>
          <cell r="B68" t="str">
            <v>KANSAS</v>
          </cell>
        </row>
        <row r="69">
          <cell r="A69">
            <v>210100</v>
          </cell>
          <cell r="B69" t="str">
            <v>LOUISVILLE, KY-IN</v>
          </cell>
        </row>
        <row r="70">
          <cell r="A70">
            <v>210200</v>
          </cell>
          <cell r="B70" t="str">
            <v>KENTUCKY WEST</v>
          </cell>
        </row>
        <row r="71">
          <cell r="A71">
            <v>210300</v>
          </cell>
          <cell r="B71" t="str">
            <v>KENTUCKY EAST</v>
          </cell>
        </row>
        <row r="72">
          <cell r="A72">
            <v>220100</v>
          </cell>
          <cell r="B72" t="str">
            <v>NEW ORLEANS, LA</v>
          </cell>
        </row>
        <row r="73">
          <cell r="A73">
            <v>220200</v>
          </cell>
          <cell r="B73" t="str">
            <v>LOUISIANA NORTH</v>
          </cell>
        </row>
        <row r="74">
          <cell r="A74">
            <v>220300</v>
          </cell>
          <cell r="B74" t="str">
            <v>LOUISIANA SOUTH</v>
          </cell>
        </row>
        <row r="75">
          <cell r="A75">
            <v>230100</v>
          </cell>
          <cell r="B75" t="str">
            <v>MAINE</v>
          </cell>
        </row>
        <row r="76">
          <cell r="A76">
            <v>240100</v>
          </cell>
          <cell r="B76" t="str">
            <v>BALTIMORE, MD</v>
          </cell>
        </row>
        <row r="77">
          <cell r="A77">
            <v>240200</v>
          </cell>
          <cell r="B77" t="str">
            <v>MARYLAND AREA</v>
          </cell>
        </row>
        <row r="78">
          <cell r="A78">
            <v>250100</v>
          </cell>
          <cell r="B78" t="str">
            <v>BOSTON, MA</v>
          </cell>
        </row>
        <row r="79">
          <cell r="A79">
            <v>250200</v>
          </cell>
          <cell r="B79" t="str">
            <v>MASSACHUSETTS AREA</v>
          </cell>
        </row>
        <row r="80">
          <cell r="A80">
            <v>260100</v>
          </cell>
          <cell r="B80" t="str">
            <v>DETROIT, MI</v>
          </cell>
        </row>
        <row r="81">
          <cell r="A81">
            <v>260200</v>
          </cell>
          <cell r="B81" t="str">
            <v>MICHIGAN SOUTH</v>
          </cell>
        </row>
        <row r="82">
          <cell r="A82">
            <v>260300</v>
          </cell>
          <cell r="B82" t="str">
            <v>MICHIGAN NORTH</v>
          </cell>
        </row>
        <row r="83">
          <cell r="A83">
            <v>270100</v>
          </cell>
          <cell r="B83" t="str">
            <v>MINNEAPOLIS-ST. PAUL, MN-WI</v>
          </cell>
        </row>
        <row r="84">
          <cell r="A84">
            <v>270200</v>
          </cell>
          <cell r="B84" t="str">
            <v>MINNESOTA NORTH</v>
          </cell>
        </row>
        <row r="85">
          <cell r="A85">
            <v>270300</v>
          </cell>
          <cell r="B85" t="str">
            <v>MINNESOTA SOUTH</v>
          </cell>
        </row>
        <row r="86">
          <cell r="A86">
            <v>280100</v>
          </cell>
          <cell r="B86" t="str">
            <v>MISSISSIPPI</v>
          </cell>
        </row>
        <row r="87">
          <cell r="A87">
            <v>280200</v>
          </cell>
          <cell r="B87" t="str">
            <v>JACKSON, MS</v>
          </cell>
        </row>
        <row r="88">
          <cell r="A88">
            <v>290100</v>
          </cell>
          <cell r="B88" t="str">
            <v>KANSAS CITY, MO-KS</v>
          </cell>
        </row>
        <row r="89">
          <cell r="A89">
            <v>290200</v>
          </cell>
          <cell r="B89" t="str">
            <v>ST. LOUIS, MO-IL</v>
          </cell>
        </row>
        <row r="90">
          <cell r="A90">
            <v>290300</v>
          </cell>
          <cell r="B90" t="str">
            <v>MISSOURI NORTH</v>
          </cell>
        </row>
        <row r="91">
          <cell r="A91">
            <v>290400</v>
          </cell>
          <cell r="B91" t="str">
            <v>MISSOURI SOUTH</v>
          </cell>
        </row>
        <row r="92">
          <cell r="A92">
            <v>300100</v>
          </cell>
          <cell r="B92" t="str">
            <v>MONTANA EAST</v>
          </cell>
        </row>
        <row r="93">
          <cell r="A93">
            <v>300200</v>
          </cell>
          <cell r="B93" t="str">
            <v>MONTANA WEST</v>
          </cell>
        </row>
        <row r="94">
          <cell r="A94">
            <v>310100</v>
          </cell>
          <cell r="B94" t="str">
            <v>NEBRASKA</v>
          </cell>
        </row>
        <row r="95">
          <cell r="A95">
            <v>310200</v>
          </cell>
          <cell r="B95" t="str">
            <v>OMAHA, NE</v>
          </cell>
        </row>
        <row r="96">
          <cell r="A96">
            <v>320100</v>
          </cell>
          <cell r="B96" t="str">
            <v>NEVADA AREA</v>
          </cell>
        </row>
        <row r="97">
          <cell r="A97">
            <v>320200</v>
          </cell>
          <cell r="B97" t="str">
            <v>LAS VEGAS, NV</v>
          </cell>
        </row>
        <row r="98">
          <cell r="A98">
            <v>320300</v>
          </cell>
          <cell r="B98" t="str">
            <v>RENO, NV</v>
          </cell>
        </row>
        <row r="99">
          <cell r="A99">
            <v>330100</v>
          </cell>
          <cell r="B99" t="str">
            <v>NEW HAMPSHIRE</v>
          </cell>
        </row>
        <row r="100">
          <cell r="A100">
            <v>340100</v>
          </cell>
          <cell r="B100" t="str">
            <v>BERGEN-PASSAIC, NJ</v>
          </cell>
        </row>
        <row r="101">
          <cell r="A101">
            <v>340200</v>
          </cell>
          <cell r="B101" t="str">
            <v>NEWARK, NJ</v>
          </cell>
        </row>
        <row r="102">
          <cell r="A102">
            <v>340300</v>
          </cell>
          <cell r="B102" t="str">
            <v>CENTRAL NEW JERSEY</v>
          </cell>
        </row>
        <row r="103">
          <cell r="A103">
            <v>340400</v>
          </cell>
          <cell r="B103" t="str">
            <v>NEW JERSEY SHORE</v>
          </cell>
        </row>
        <row r="104">
          <cell r="A104">
            <v>350100</v>
          </cell>
          <cell r="B104" t="str">
            <v>NEW MEXICO NORTH</v>
          </cell>
        </row>
        <row r="105">
          <cell r="A105">
            <v>350200</v>
          </cell>
          <cell r="B105" t="str">
            <v>NEW MEXICO SOUTH</v>
          </cell>
        </row>
        <row r="106">
          <cell r="A106">
            <v>350300</v>
          </cell>
          <cell r="B106" t="str">
            <v>ALBUQUERQUE, NM</v>
          </cell>
        </row>
        <row r="107">
          <cell r="A107">
            <v>360100</v>
          </cell>
          <cell r="B107" t="str">
            <v>NEW YORK, NY</v>
          </cell>
        </row>
        <row r="108">
          <cell r="A108">
            <v>360200</v>
          </cell>
          <cell r="B108" t="str">
            <v>LONG ISLAND</v>
          </cell>
        </row>
        <row r="109">
          <cell r="A109">
            <v>360300</v>
          </cell>
          <cell r="B109" t="str">
            <v>NEW YORK EAST</v>
          </cell>
        </row>
        <row r="110">
          <cell r="A110">
            <v>360400</v>
          </cell>
          <cell r="B110" t="str">
            <v>NEW YORK CENTRAL</v>
          </cell>
        </row>
        <row r="111">
          <cell r="A111">
            <v>360500</v>
          </cell>
          <cell r="B111" t="str">
            <v>NEW YORK WEST</v>
          </cell>
        </row>
        <row r="112">
          <cell r="A112">
            <v>360600</v>
          </cell>
          <cell r="B112" t="str">
            <v>SYRACUSE, NY</v>
          </cell>
        </row>
        <row r="113">
          <cell r="A113">
            <v>360700</v>
          </cell>
          <cell r="B113" t="str">
            <v>ALBANY/SCHENECTADY, NY</v>
          </cell>
        </row>
        <row r="114">
          <cell r="A114">
            <v>360800</v>
          </cell>
          <cell r="B114" t="str">
            <v>BUFFALO, N.Y.</v>
          </cell>
        </row>
        <row r="115">
          <cell r="A115">
            <v>360900</v>
          </cell>
          <cell r="B115" t="str">
            <v>ROCHESTER, NY</v>
          </cell>
        </row>
        <row r="116">
          <cell r="A116">
            <v>370100</v>
          </cell>
          <cell r="B116" t="str">
            <v>CHARLOTTE, NC-SC</v>
          </cell>
        </row>
        <row r="117">
          <cell r="A117">
            <v>370200</v>
          </cell>
          <cell r="B117" t="str">
            <v>GREENSBORO-WINSTON SALEM, NC</v>
          </cell>
        </row>
        <row r="118">
          <cell r="A118">
            <v>370300</v>
          </cell>
          <cell r="B118" t="str">
            <v>RALEIGH-DURHAM-CHAPEL HILL, NC</v>
          </cell>
        </row>
        <row r="119">
          <cell r="A119">
            <v>370400</v>
          </cell>
          <cell r="B119" t="str">
            <v>NORTH CAROLINA WEST</v>
          </cell>
        </row>
        <row r="120">
          <cell r="A120">
            <v>370500</v>
          </cell>
          <cell r="B120" t="str">
            <v>NORTH CAROLINA EAST</v>
          </cell>
        </row>
        <row r="121">
          <cell r="A121">
            <v>370600</v>
          </cell>
          <cell r="B121" t="str">
            <v>I-95 CORRIDOR, NC</v>
          </cell>
        </row>
        <row r="122">
          <cell r="A122">
            <v>380100</v>
          </cell>
          <cell r="B122" t="str">
            <v>NORTH DAKOTA</v>
          </cell>
        </row>
        <row r="123">
          <cell r="A123">
            <v>390100</v>
          </cell>
          <cell r="B123" t="str">
            <v>OHIO NORTH</v>
          </cell>
        </row>
        <row r="124">
          <cell r="A124">
            <v>390200</v>
          </cell>
          <cell r="B124" t="str">
            <v>CINCINNATI, OH-KY-IN</v>
          </cell>
        </row>
        <row r="125">
          <cell r="A125">
            <v>390300</v>
          </cell>
          <cell r="B125" t="str">
            <v>OHIO SOUTH</v>
          </cell>
        </row>
        <row r="126">
          <cell r="A126">
            <v>390400</v>
          </cell>
          <cell r="B126" t="str">
            <v>CLEVELAND, OH</v>
          </cell>
        </row>
        <row r="127">
          <cell r="A127">
            <v>390500</v>
          </cell>
          <cell r="B127" t="str">
            <v>COLUMBUS, OH</v>
          </cell>
        </row>
        <row r="128">
          <cell r="A128">
            <v>390600</v>
          </cell>
          <cell r="B128" t="str">
            <v>DAYTON-SPRINGFIELD, OH</v>
          </cell>
        </row>
        <row r="129">
          <cell r="A129">
            <v>400100</v>
          </cell>
          <cell r="B129" t="str">
            <v>OKLAHOMA CITY, OK</v>
          </cell>
        </row>
        <row r="130">
          <cell r="A130">
            <v>400200</v>
          </cell>
          <cell r="B130" t="str">
            <v>OKLAHOMA AREA</v>
          </cell>
        </row>
        <row r="131">
          <cell r="A131">
            <v>400300</v>
          </cell>
          <cell r="B131" t="str">
            <v>TULSA, OK</v>
          </cell>
        </row>
        <row r="132">
          <cell r="A132">
            <v>410100</v>
          </cell>
          <cell r="B132" t="str">
            <v>PORTLAND, OR</v>
          </cell>
        </row>
        <row r="133">
          <cell r="A133">
            <v>410200</v>
          </cell>
          <cell r="B133" t="str">
            <v>OREGON AREA</v>
          </cell>
        </row>
        <row r="134">
          <cell r="A134">
            <v>420100</v>
          </cell>
          <cell r="B134" t="str">
            <v>PHILADELPHIA, PA-NJ</v>
          </cell>
        </row>
        <row r="135">
          <cell r="A135">
            <v>420200</v>
          </cell>
          <cell r="B135" t="str">
            <v>PITTSBURGH, PA</v>
          </cell>
        </row>
        <row r="136">
          <cell r="A136">
            <v>420300</v>
          </cell>
          <cell r="B136" t="str">
            <v>PENNSYLVANIA SOUTH CENTRAL</v>
          </cell>
        </row>
        <row r="137">
          <cell r="A137">
            <v>420400</v>
          </cell>
          <cell r="B137" t="str">
            <v>SCRANTON--WILKES-BARRE, PA</v>
          </cell>
        </row>
        <row r="138">
          <cell r="A138">
            <v>420500</v>
          </cell>
          <cell r="B138" t="str">
            <v>PENNSYLVANIA AREA</v>
          </cell>
        </row>
        <row r="139">
          <cell r="A139">
            <v>420600</v>
          </cell>
          <cell r="B139" t="str">
            <v>HARRISBURG, PA</v>
          </cell>
        </row>
        <row r="140">
          <cell r="A140">
            <v>420700</v>
          </cell>
          <cell r="B140" t="str">
            <v>ALLENTOWN-READING, PA</v>
          </cell>
        </row>
        <row r="141">
          <cell r="A141">
            <v>440200</v>
          </cell>
          <cell r="B141" t="str">
            <v>RHODE ISLAND</v>
          </cell>
        </row>
        <row r="142">
          <cell r="A142">
            <v>450100</v>
          </cell>
          <cell r="B142" t="str">
            <v>GREENVILLE-SPARTANBURG, SC</v>
          </cell>
        </row>
        <row r="143">
          <cell r="A143">
            <v>450200</v>
          </cell>
          <cell r="B143" t="str">
            <v>COLUMBIA, SC</v>
          </cell>
        </row>
        <row r="144">
          <cell r="A144">
            <v>450300</v>
          </cell>
          <cell r="B144" t="str">
            <v>SOUTH CAROLINA AREA</v>
          </cell>
        </row>
        <row r="145">
          <cell r="A145">
            <v>450400</v>
          </cell>
          <cell r="B145" t="str">
            <v>CHARLESTON, SC</v>
          </cell>
        </row>
        <row r="146">
          <cell r="A146">
            <v>450500</v>
          </cell>
          <cell r="B146" t="str">
            <v>MYRTLE BEACH, SC</v>
          </cell>
        </row>
        <row r="147">
          <cell r="A147">
            <v>460100</v>
          </cell>
          <cell r="B147" t="str">
            <v>SOUTH DAKOTA</v>
          </cell>
        </row>
        <row r="148">
          <cell r="A148">
            <v>470100</v>
          </cell>
          <cell r="B148" t="str">
            <v>KNOXVILLE, TN</v>
          </cell>
        </row>
        <row r="149">
          <cell r="A149">
            <v>470200</v>
          </cell>
          <cell r="B149" t="str">
            <v>MEMPHIS, TN-AR-MS</v>
          </cell>
        </row>
        <row r="150">
          <cell r="A150">
            <v>470300</v>
          </cell>
          <cell r="B150" t="str">
            <v>NASHVILLE, TN</v>
          </cell>
        </row>
        <row r="151">
          <cell r="A151">
            <v>470400</v>
          </cell>
          <cell r="B151" t="str">
            <v>TENNESSEE AREA</v>
          </cell>
        </row>
        <row r="152">
          <cell r="A152">
            <v>470500</v>
          </cell>
          <cell r="B152" t="str">
            <v>CHATTANOOGA, TN-GA</v>
          </cell>
        </row>
        <row r="153">
          <cell r="A153">
            <v>470600</v>
          </cell>
          <cell r="B153" t="str">
            <v>GATLINBURG - PIGEON FORGE</v>
          </cell>
        </row>
        <row r="154">
          <cell r="A154">
            <v>480100</v>
          </cell>
          <cell r="B154" t="str">
            <v>AUSTIN, TX</v>
          </cell>
        </row>
        <row r="155">
          <cell r="A155">
            <v>480200</v>
          </cell>
          <cell r="B155" t="str">
            <v>DALLAS, TX</v>
          </cell>
        </row>
        <row r="156">
          <cell r="A156">
            <v>480300</v>
          </cell>
          <cell r="B156" t="str">
            <v>FORT WORTH-ARLINGTON, TX</v>
          </cell>
        </row>
        <row r="157">
          <cell r="A157">
            <v>480400</v>
          </cell>
          <cell r="B157" t="str">
            <v>HOUSTON, TX</v>
          </cell>
        </row>
        <row r="158">
          <cell r="A158">
            <v>480500</v>
          </cell>
          <cell r="B158" t="str">
            <v>SAN ANTONIO, TX</v>
          </cell>
        </row>
        <row r="159">
          <cell r="A159">
            <v>480600</v>
          </cell>
          <cell r="B159" t="str">
            <v>TEXAS NORTH</v>
          </cell>
        </row>
        <row r="160">
          <cell r="A160">
            <v>480700</v>
          </cell>
          <cell r="B160" t="str">
            <v>TEXAS SOUTH</v>
          </cell>
        </row>
        <row r="161">
          <cell r="A161">
            <v>480800</v>
          </cell>
          <cell r="B161" t="str">
            <v>TEXAS WEST</v>
          </cell>
        </row>
        <row r="162">
          <cell r="A162">
            <v>480900</v>
          </cell>
          <cell r="B162" t="str">
            <v>TEXAS EAST</v>
          </cell>
        </row>
        <row r="163">
          <cell r="A163">
            <v>490100</v>
          </cell>
          <cell r="B163" t="str">
            <v>SALT LAKE CITY-OGDEN, UT</v>
          </cell>
        </row>
        <row r="164">
          <cell r="A164">
            <v>490200</v>
          </cell>
          <cell r="B164" t="str">
            <v>UTAH AREA</v>
          </cell>
        </row>
        <row r="165">
          <cell r="A165">
            <v>500200</v>
          </cell>
          <cell r="B165" t="str">
            <v>VERMONT</v>
          </cell>
        </row>
        <row r="166">
          <cell r="A166">
            <v>510100</v>
          </cell>
          <cell r="B166" t="str">
            <v>NORFOLK-VIRGINIA BEACH, VA</v>
          </cell>
        </row>
        <row r="167">
          <cell r="A167">
            <v>510200</v>
          </cell>
          <cell r="B167" t="str">
            <v>RICHMOND-PETERSBURG, VA</v>
          </cell>
        </row>
        <row r="168">
          <cell r="A168">
            <v>510300</v>
          </cell>
          <cell r="B168" t="str">
            <v>I-81 CORRIDOR</v>
          </cell>
        </row>
        <row r="169">
          <cell r="A169">
            <v>510400</v>
          </cell>
          <cell r="B169" t="str">
            <v>VIRGINIA AREA</v>
          </cell>
        </row>
        <row r="170">
          <cell r="A170">
            <v>530100</v>
          </cell>
          <cell r="B170" t="str">
            <v>SEATTLE, WA</v>
          </cell>
        </row>
        <row r="171">
          <cell r="A171">
            <v>530200</v>
          </cell>
          <cell r="B171" t="str">
            <v>WASHINGTON EAST</v>
          </cell>
        </row>
        <row r="172">
          <cell r="A172">
            <v>530300</v>
          </cell>
          <cell r="B172" t="str">
            <v>WASHINGTON WEST</v>
          </cell>
        </row>
        <row r="173">
          <cell r="A173">
            <v>540100</v>
          </cell>
          <cell r="B173" t="str">
            <v>WEST VIRGINIA</v>
          </cell>
        </row>
        <row r="174">
          <cell r="A174">
            <v>550100</v>
          </cell>
          <cell r="B174" t="str">
            <v>WISCONSIN SOUTH</v>
          </cell>
        </row>
        <row r="175">
          <cell r="A175">
            <v>550200</v>
          </cell>
          <cell r="B175" t="str">
            <v>WISCONSIN NORTH</v>
          </cell>
        </row>
        <row r="176">
          <cell r="A176">
            <v>550300</v>
          </cell>
          <cell r="B176" t="str">
            <v>MILWAUKEE, WI</v>
          </cell>
        </row>
        <row r="177">
          <cell r="A177">
            <v>560100</v>
          </cell>
          <cell r="B177" t="str">
            <v>WYOMING</v>
          </cell>
        </row>
      </sheetData>
      <sheetData sheetId="3">
        <row r="1">
          <cell r="A1">
            <v>6001</v>
          </cell>
          <cell r="B1" t="str">
            <v>RICHFIELD</v>
          </cell>
        </row>
        <row r="2">
          <cell r="A2">
            <v>6002</v>
          </cell>
          <cell r="B2" t="str">
            <v>CREATIVE HOTEL ASSOCIATES</v>
          </cell>
        </row>
        <row r="3">
          <cell r="A3">
            <v>6003</v>
          </cell>
          <cell r="B3" t="str">
            <v>WHI</v>
          </cell>
        </row>
        <row r="4">
          <cell r="A4">
            <v>6004</v>
          </cell>
          <cell r="B4" t="str">
            <v>PRIME HOSPITALITY CORP.</v>
          </cell>
        </row>
        <row r="5">
          <cell r="A5">
            <v>6005</v>
          </cell>
          <cell r="B5" t="str">
            <v>TOLLMAN HUNDLEY</v>
          </cell>
        </row>
        <row r="6">
          <cell r="A6">
            <v>6006</v>
          </cell>
          <cell r="B6" t="str">
            <v>AMERICAN PROPERTY MANAGEMENT</v>
          </cell>
        </row>
        <row r="7">
          <cell r="A7">
            <v>6007</v>
          </cell>
          <cell r="B7" t="str">
            <v>WOODFIN SUITE HOTELS</v>
          </cell>
        </row>
        <row r="8">
          <cell r="A8">
            <v>6008</v>
          </cell>
          <cell r="B8" t="str">
            <v>FAIRMONT HOTELS &amp; RESORTS</v>
          </cell>
        </row>
        <row r="9">
          <cell r="A9">
            <v>6009</v>
          </cell>
          <cell r="B9" t="str">
            <v>HUDSON HOTELS CORPORATION</v>
          </cell>
        </row>
        <row r="10">
          <cell r="A10">
            <v>6010</v>
          </cell>
          <cell r="B10" t="str">
            <v>WYNDHAM</v>
          </cell>
        </row>
        <row r="11">
          <cell r="A11">
            <v>6011</v>
          </cell>
          <cell r="B11" t="str">
            <v>INNKEEPERS</v>
          </cell>
        </row>
        <row r="12">
          <cell r="A12">
            <v>6012</v>
          </cell>
          <cell r="B12" t="str">
            <v>INTERSTATE HOTELS</v>
          </cell>
        </row>
        <row r="13">
          <cell r="A13">
            <v>6013</v>
          </cell>
          <cell r="B13" t="str">
            <v>LODGEWORKS</v>
          </cell>
        </row>
        <row r="14">
          <cell r="A14">
            <v>6014</v>
          </cell>
          <cell r="B14" t="str">
            <v>HILTON MANAGED</v>
          </cell>
        </row>
        <row r="15">
          <cell r="A15">
            <v>6015</v>
          </cell>
          <cell r="B15" t="str">
            <v>LARRY BLUMBERG</v>
          </cell>
        </row>
        <row r="16">
          <cell r="A16">
            <v>6016</v>
          </cell>
          <cell r="B16" t="str">
            <v>RIDGEWOOD HOTELS INC</v>
          </cell>
        </row>
        <row r="17">
          <cell r="A17">
            <v>6017</v>
          </cell>
          <cell r="B17" t="str">
            <v>KIMPTON HOTEL GROUP</v>
          </cell>
        </row>
        <row r="18">
          <cell r="A18">
            <v>6018</v>
          </cell>
          <cell r="B18" t="str">
            <v>SHOLODGE</v>
          </cell>
        </row>
        <row r="19">
          <cell r="A19">
            <v>6019</v>
          </cell>
          <cell r="B19" t="str">
            <v>PEABODY HOTEL GROUP</v>
          </cell>
        </row>
        <row r="20">
          <cell r="A20">
            <v>6020</v>
          </cell>
          <cell r="B20" t="str">
            <v>PARAMOUNT MANAGEMENT ASSOC LLC</v>
          </cell>
        </row>
        <row r="21">
          <cell r="A21">
            <v>6021</v>
          </cell>
          <cell r="B21" t="str">
            <v>LARKEN INC.</v>
          </cell>
        </row>
        <row r="22">
          <cell r="A22">
            <v>6022</v>
          </cell>
          <cell r="B22" t="str">
            <v>THE HOTEL GROUP</v>
          </cell>
        </row>
        <row r="23">
          <cell r="A23">
            <v>6023</v>
          </cell>
          <cell r="B23" t="str">
            <v>QUORUM HOTELS</v>
          </cell>
        </row>
        <row r="24">
          <cell r="A24">
            <v>6024</v>
          </cell>
          <cell r="B24" t="str">
            <v>DRIFTWOOD VENTURES</v>
          </cell>
        </row>
        <row r="25">
          <cell r="A25">
            <v>6025</v>
          </cell>
          <cell r="B25" t="str">
            <v>LOEWS HOTELS</v>
          </cell>
        </row>
        <row r="26">
          <cell r="A26">
            <v>6026</v>
          </cell>
          <cell r="B26" t="str">
            <v>WATERFORD HOTEL GROUP</v>
          </cell>
        </row>
        <row r="27">
          <cell r="A27">
            <v>6027</v>
          </cell>
          <cell r="B27" t="str">
            <v>WHITE LODGING</v>
          </cell>
        </row>
        <row r="28">
          <cell r="A28">
            <v>6028</v>
          </cell>
          <cell r="B28" t="str">
            <v>HOTEL CORPORATION OF AMERICA</v>
          </cell>
        </row>
        <row r="29">
          <cell r="A29">
            <v>6029</v>
          </cell>
          <cell r="B29" t="str">
            <v>SAGE</v>
          </cell>
        </row>
        <row r="30">
          <cell r="A30">
            <v>6030</v>
          </cell>
          <cell r="B30" t="str">
            <v>UNITED INNS</v>
          </cell>
        </row>
        <row r="31">
          <cell r="A31">
            <v>6031</v>
          </cell>
          <cell r="B31" t="str">
            <v>HLC</v>
          </cell>
        </row>
        <row r="32">
          <cell r="A32">
            <v>6032</v>
          </cell>
          <cell r="B32" t="str">
            <v>CHARLESTOWN MANAGEMENT INC</v>
          </cell>
        </row>
        <row r="33">
          <cell r="A33">
            <v>6033</v>
          </cell>
          <cell r="B33" t="str">
            <v>GUEST INC</v>
          </cell>
        </row>
        <row r="34">
          <cell r="A34">
            <v>6034</v>
          </cell>
          <cell r="B34" t="str">
            <v>NOBLE HOUSE HOTELS</v>
          </cell>
        </row>
        <row r="35">
          <cell r="A35">
            <v>6035</v>
          </cell>
          <cell r="B35" t="str">
            <v>CARLSON HOSPITALITY</v>
          </cell>
        </row>
        <row r="36">
          <cell r="A36">
            <v>6036</v>
          </cell>
          <cell r="B36" t="str">
            <v>LANE HOSPITALITY</v>
          </cell>
        </row>
        <row r="37">
          <cell r="A37">
            <v>6037</v>
          </cell>
          <cell r="B37" t="str">
            <v>SUNBURST</v>
          </cell>
        </row>
        <row r="38">
          <cell r="A38">
            <v>6040</v>
          </cell>
          <cell r="B38" t="str">
            <v>DOLCE INTERNATIONAL</v>
          </cell>
        </row>
        <row r="39">
          <cell r="A39">
            <v>6041</v>
          </cell>
          <cell r="B39" t="str">
            <v>MERISTAR</v>
          </cell>
        </row>
        <row r="40">
          <cell r="A40">
            <v>6042</v>
          </cell>
          <cell r="B40" t="str">
            <v>MMI HOTEL GROUP</v>
          </cell>
        </row>
        <row r="41">
          <cell r="A41">
            <v>6043</v>
          </cell>
          <cell r="B41" t="str">
            <v>RENAISSANCE HOTELS INT'L</v>
          </cell>
        </row>
        <row r="42">
          <cell r="A42">
            <v>6044</v>
          </cell>
          <cell r="B42" t="str">
            <v>OLYMPUS HOSPITALITY</v>
          </cell>
        </row>
        <row r="43">
          <cell r="A43">
            <v>6045</v>
          </cell>
          <cell r="B43" t="str">
            <v>CROSSROADS</v>
          </cell>
        </row>
        <row r="44">
          <cell r="A44">
            <v>6046</v>
          </cell>
          <cell r="B44" t="str">
            <v>ALLEN MANAGEMENT, INC</v>
          </cell>
        </row>
        <row r="45">
          <cell r="A45">
            <v>6047</v>
          </cell>
          <cell r="B45" t="str">
            <v>THARALDSON GROUP</v>
          </cell>
        </row>
        <row r="46">
          <cell r="A46">
            <v>6048</v>
          </cell>
          <cell r="B46" t="str">
            <v>CARNIVAL HOTELS</v>
          </cell>
        </row>
        <row r="47">
          <cell r="A47">
            <v>6049</v>
          </cell>
          <cell r="B47" t="str">
            <v>DESTINATION</v>
          </cell>
        </row>
        <row r="48">
          <cell r="A48">
            <v>6050</v>
          </cell>
          <cell r="B48" t="str">
            <v>POSADAS DE MEXICO</v>
          </cell>
        </row>
        <row r="49">
          <cell r="A49">
            <v>6051</v>
          </cell>
          <cell r="B49" t="str">
            <v>LA QUINTA</v>
          </cell>
        </row>
        <row r="50">
          <cell r="A50">
            <v>6052</v>
          </cell>
          <cell r="B50" t="str">
            <v>ACCOR</v>
          </cell>
        </row>
        <row r="51">
          <cell r="A51">
            <v>6053</v>
          </cell>
          <cell r="B51" t="str">
            <v>CAMPBELL MOTEL PROPERTIES, INC</v>
          </cell>
        </row>
        <row r="52">
          <cell r="A52">
            <v>6054</v>
          </cell>
          <cell r="B52" t="str">
            <v>CALINDA</v>
          </cell>
        </row>
        <row r="53">
          <cell r="A53">
            <v>6055</v>
          </cell>
          <cell r="B53" t="str">
            <v>JOHN Q HAMMONS</v>
          </cell>
        </row>
        <row r="54">
          <cell r="A54">
            <v>6056</v>
          </cell>
          <cell r="B54" t="str">
            <v>SITUR</v>
          </cell>
        </row>
        <row r="55">
          <cell r="A55">
            <v>6057</v>
          </cell>
          <cell r="B55" t="str">
            <v>LODGIAN</v>
          </cell>
        </row>
        <row r="56">
          <cell r="A56">
            <v>6058</v>
          </cell>
          <cell r="B56" t="str">
            <v>VAGABOND INNS</v>
          </cell>
        </row>
        <row r="57">
          <cell r="A57">
            <v>6060</v>
          </cell>
          <cell r="B57" t="str">
            <v>JOURNEYS END</v>
          </cell>
        </row>
        <row r="58">
          <cell r="A58">
            <v>6061</v>
          </cell>
          <cell r="B58" t="str">
            <v>REMINGTON HOTEL</v>
          </cell>
        </row>
        <row r="59">
          <cell r="A59">
            <v>6062</v>
          </cell>
          <cell r="B59" t="str">
            <v>BOYKIN</v>
          </cell>
        </row>
        <row r="60">
          <cell r="A60">
            <v>6063</v>
          </cell>
          <cell r="B60" t="str">
            <v>BRISTOL HOTEL CORPORATION</v>
          </cell>
        </row>
        <row r="61">
          <cell r="A61">
            <v>6064</v>
          </cell>
          <cell r="B61" t="str">
            <v>PARK HOSPITALITY</v>
          </cell>
        </row>
        <row r="62">
          <cell r="A62">
            <v>6065</v>
          </cell>
          <cell r="B62" t="str">
            <v>COAKLEY &amp; WILLIAMS</v>
          </cell>
        </row>
        <row r="63">
          <cell r="A63">
            <v>6066</v>
          </cell>
          <cell r="B63" t="str">
            <v>HOSPITALITY PARTNERS</v>
          </cell>
        </row>
        <row r="64">
          <cell r="A64">
            <v>6067</v>
          </cell>
          <cell r="B64" t="str">
            <v>MOTEL 6</v>
          </cell>
        </row>
        <row r="65">
          <cell r="A65">
            <v>6068</v>
          </cell>
          <cell r="B65" t="str">
            <v>SOUTHERN HOSPITALITY</v>
          </cell>
        </row>
        <row r="66">
          <cell r="A66">
            <v>6069</v>
          </cell>
          <cell r="B66" t="str">
            <v>TRIGILD CORP</v>
          </cell>
        </row>
        <row r="67">
          <cell r="A67">
            <v>6070</v>
          </cell>
          <cell r="B67" t="str">
            <v>MANHATTAN EAST SUITE HOTELS</v>
          </cell>
        </row>
        <row r="68">
          <cell r="A68">
            <v>6071</v>
          </cell>
          <cell r="B68" t="str">
            <v>HOSTMARK MANAGEMENT</v>
          </cell>
        </row>
        <row r="69">
          <cell r="A69">
            <v>6072</v>
          </cell>
          <cell r="B69" t="str">
            <v>SHANER HOTEL GROUP</v>
          </cell>
        </row>
        <row r="70">
          <cell r="A70">
            <v>6073</v>
          </cell>
          <cell r="B70" t="str">
            <v>POSADA REAL</v>
          </cell>
        </row>
        <row r="71">
          <cell r="A71">
            <v>6074</v>
          </cell>
          <cell r="B71" t="str">
            <v>PERFORMANCE HOSPITALITY</v>
          </cell>
        </row>
        <row r="72">
          <cell r="A72">
            <v>6075</v>
          </cell>
          <cell r="B72" t="str">
            <v>BUCKHEAD AMERICA CORPORATION</v>
          </cell>
        </row>
        <row r="73">
          <cell r="A73">
            <v>6076</v>
          </cell>
          <cell r="B73" t="str">
            <v>NATIONAL PURCHASING NETWORK</v>
          </cell>
        </row>
        <row r="74">
          <cell r="A74">
            <v>6077</v>
          </cell>
          <cell r="B74" t="str">
            <v>STANFORD HOTELS</v>
          </cell>
        </row>
        <row r="75">
          <cell r="A75">
            <v>6079</v>
          </cell>
          <cell r="B75" t="str">
            <v>FLAGSTONE</v>
          </cell>
        </row>
        <row r="76">
          <cell r="A76">
            <v>6080</v>
          </cell>
          <cell r="B76" t="str">
            <v>ARLINGTON MANAGEMENT, INC</v>
          </cell>
        </row>
        <row r="77">
          <cell r="A77">
            <v>6081</v>
          </cell>
          <cell r="B77" t="str">
            <v>WESTLODGE HOSPITALITY</v>
          </cell>
        </row>
        <row r="78">
          <cell r="A78">
            <v>6082</v>
          </cell>
          <cell r="B78" t="str">
            <v>TECTON</v>
          </cell>
        </row>
        <row r="79">
          <cell r="A79">
            <v>6083</v>
          </cell>
          <cell r="B79" t="str">
            <v>WESTMONT HOSPITALITY</v>
          </cell>
        </row>
        <row r="80">
          <cell r="A80">
            <v>6084</v>
          </cell>
          <cell r="B80" t="str">
            <v>SUNSTONE HOTEL INVESTORS</v>
          </cell>
        </row>
        <row r="81">
          <cell r="A81">
            <v>6085</v>
          </cell>
          <cell r="B81" t="str">
            <v>WESTCOAST HOTELS</v>
          </cell>
        </row>
        <row r="82">
          <cell r="A82">
            <v>6086</v>
          </cell>
          <cell r="B82" t="str">
            <v>JHM HOTELS</v>
          </cell>
        </row>
        <row r="83">
          <cell r="A83">
            <v>6087</v>
          </cell>
          <cell r="B83" t="str">
            <v>CITY HOTELS</v>
          </cell>
        </row>
        <row r="84">
          <cell r="A84">
            <v>6088</v>
          </cell>
          <cell r="B84" t="str">
            <v>STARWOOD LODGING</v>
          </cell>
        </row>
        <row r="85">
          <cell r="A85">
            <v>6089</v>
          </cell>
          <cell r="B85" t="str">
            <v>NEW CASTLE HOTELS</v>
          </cell>
        </row>
        <row r="86">
          <cell r="A86">
            <v>6090</v>
          </cell>
          <cell r="B86" t="str">
            <v>WRIGHT INVESTMENT PROPERTIES</v>
          </cell>
        </row>
        <row r="87">
          <cell r="A87">
            <v>6091</v>
          </cell>
          <cell r="B87" t="str">
            <v>OCEAN PROPERTIES, LTD</v>
          </cell>
        </row>
        <row r="88">
          <cell r="A88">
            <v>6092</v>
          </cell>
          <cell r="B88" t="str">
            <v>CHIP HOSPITALITY</v>
          </cell>
        </row>
        <row r="89">
          <cell r="A89">
            <v>6093</v>
          </cell>
          <cell r="B89" t="str">
            <v>WESTMINSTER HOSPITALITY</v>
          </cell>
        </row>
        <row r="90">
          <cell r="A90">
            <v>6094</v>
          </cell>
          <cell r="B90" t="str">
            <v>NORTHWEST LODGING, INC</v>
          </cell>
        </row>
        <row r="91">
          <cell r="A91">
            <v>6095</v>
          </cell>
          <cell r="B91" t="str">
            <v>TORGERSON PROPERTIES</v>
          </cell>
        </row>
        <row r="92">
          <cell r="A92">
            <v>6096</v>
          </cell>
          <cell r="B92" t="str">
            <v>NATIONAL HOTELS</v>
          </cell>
        </row>
        <row r="93">
          <cell r="A93">
            <v>6097</v>
          </cell>
          <cell r="B93" t="str">
            <v>DESTINATION SEASONAL</v>
          </cell>
        </row>
        <row r="94">
          <cell r="A94">
            <v>6098</v>
          </cell>
          <cell r="B94" t="str">
            <v>ALLIED HOSPITALITY GROUP</v>
          </cell>
        </row>
        <row r="95">
          <cell r="A95">
            <v>6099</v>
          </cell>
          <cell r="B95" t="str">
            <v>MOA</v>
          </cell>
        </row>
        <row r="96">
          <cell r="A96">
            <v>6100</v>
          </cell>
          <cell r="B96" t="str">
            <v>MILLENNIUM HOTELS &amp; RESORTS</v>
          </cell>
        </row>
        <row r="97">
          <cell r="A97">
            <v>6101</v>
          </cell>
          <cell r="B97" t="str">
            <v>CRESTLINE HOTELS</v>
          </cell>
        </row>
        <row r="98">
          <cell r="A98">
            <v>6102</v>
          </cell>
          <cell r="B98" t="str">
            <v>REMIC HOTEL MANAGEMENT</v>
          </cell>
        </row>
        <row r="99">
          <cell r="A99">
            <v>6103</v>
          </cell>
          <cell r="B99" t="str">
            <v>LEISURE HOTEL GROUP</v>
          </cell>
        </row>
        <row r="100">
          <cell r="A100">
            <v>6104</v>
          </cell>
          <cell r="B100" t="str">
            <v>HERSHA</v>
          </cell>
        </row>
        <row r="101">
          <cell r="A101">
            <v>6105</v>
          </cell>
          <cell r="B101" t="str">
            <v>SIX HATS HOSPITALITY COMPANY</v>
          </cell>
        </row>
        <row r="102">
          <cell r="A102">
            <v>6106</v>
          </cell>
          <cell r="B102" t="str">
            <v>RAYMOND MANAGEMENT COMPANY</v>
          </cell>
        </row>
        <row r="103">
          <cell r="A103">
            <v>6107</v>
          </cell>
          <cell r="B103" t="str">
            <v>PACIFIC PLAZA HOTELS</v>
          </cell>
        </row>
        <row r="104">
          <cell r="A104">
            <v>6108</v>
          </cell>
          <cell r="B104" t="str">
            <v>DAVIDSON HOTEL COMPANY</v>
          </cell>
        </row>
        <row r="105">
          <cell r="A105">
            <v>6109</v>
          </cell>
          <cell r="B105" t="str">
            <v>LARKSPUR</v>
          </cell>
        </row>
        <row r="106">
          <cell r="A106">
            <v>6250</v>
          </cell>
          <cell r="B106" t="str">
            <v>THE SMALL HOTEL COMPANY</v>
          </cell>
        </row>
        <row r="107">
          <cell r="A107">
            <v>6501</v>
          </cell>
          <cell r="B107" t="str">
            <v>SIGNET HOTELS</v>
          </cell>
        </row>
        <row r="108">
          <cell r="A108">
            <v>6502</v>
          </cell>
          <cell r="B108" t="str">
            <v>THE EQUITY GROUP</v>
          </cell>
        </row>
        <row r="109">
          <cell r="A109">
            <v>6503</v>
          </cell>
          <cell r="B109" t="str">
            <v>AMPAK</v>
          </cell>
        </row>
        <row r="110">
          <cell r="A110">
            <v>6504</v>
          </cell>
          <cell r="B110" t="str">
            <v>BECK SUMMIT</v>
          </cell>
        </row>
        <row r="111">
          <cell r="A111">
            <v>6505</v>
          </cell>
          <cell r="B111" t="str">
            <v>TISHMAN HOTEL GROUP</v>
          </cell>
        </row>
        <row r="112">
          <cell r="A112">
            <v>6506</v>
          </cell>
          <cell r="B112" t="str">
            <v>VISTA HOST</v>
          </cell>
        </row>
        <row r="113">
          <cell r="A113">
            <v>6507</v>
          </cell>
          <cell r="B113" t="str">
            <v>CAPITOL MANAGEMENT CORP</v>
          </cell>
        </row>
        <row r="114">
          <cell r="A114">
            <v>6509</v>
          </cell>
          <cell r="B114" t="str">
            <v>VICTOR MGMT</v>
          </cell>
        </row>
        <row r="115">
          <cell r="A115">
            <v>6510</v>
          </cell>
          <cell r="B115" t="str">
            <v>HOSPITALITY MGMT</v>
          </cell>
        </row>
        <row r="116">
          <cell r="A116">
            <v>6511</v>
          </cell>
          <cell r="B116" t="str">
            <v>WILSON HOTEL MGMT</v>
          </cell>
        </row>
        <row r="117">
          <cell r="A117">
            <v>6512</v>
          </cell>
          <cell r="B117" t="str">
            <v>H I DEVELOPMENT</v>
          </cell>
        </row>
        <row r="118">
          <cell r="A118">
            <v>6513</v>
          </cell>
          <cell r="B118" t="str">
            <v>LANDCOM HOSPITALITY</v>
          </cell>
        </row>
        <row r="119">
          <cell r="A119">
            <v>6514</v>
          </cell>
          <cell r="B119" t="str">
            <v>BROOKSHIRE HOTELS</v>
          </cell>
        </row>
        <row r="120">
          <cell r="A120">
            <v>6515</v>
          </cell>
          <cell r="B120" t="str">
            <v>DEPALMA HOTEL CORP</v>
          </cell>
        </row>
        <row r="121">
          <cell r="A121">
            <v>6516</v>
          </cell>
          <cell r="B121" t="str">
            <v>HORIZON HOTELS</v>
          </cell>
        </row>
        <row r="122">
          <cell r="A122">
            <v>6517</v>
          </cell>
          <cell r="B122" t="str">
            <v>DORAL HOTELS &amp; RESORTS</v>
          </cell>
        </row>
        <row r="123">
          <cell r="A123">
            <v>6518</v>
          </cell>
          <cell r="B123" t="str">
            <v>WINDSOR HOSPITALITY</v>
          </cell>
        </row>
        <row r="124">
          <cell r="A124">
            <v>6519</v>
          </cell>
          <cell r="B124" t="str">
            <v>INN DEVELOPMENT</v>
          </cell>
        </row>
        <row r="125">
          <cell r="A125">
            <v>6520</v>
          </cell>
          <cell r="B125" t="str">
            <v>SIGNATURE HOSPITALITY</v>
          </cell>
        </row>
        <row r="126">
          <cell r="A126">
            <v>6521</v>
          </cell>
          <cell r="B126" t="str">
            <v>MARSHALL MGMT</v>
          </cell>
        </row>
        <row r="127">
          <cell r="A127">
            <v>6523</v>
          </cell>
          <cell r="B127" t="str">
            <v>FINE HOTELS</v>
          </cell>
        </row>
        <row r="128">
          <cell r="A128">
            <v>6524</v>
          </cell>
          <cell r="B128" t="str">
            <v>LODGING UNLIMITED</v>
          </cell>
        </row>
        <row r="129">
          <cell r="A129">
            <v>6525</v>
          </cell>
          <cell r="B129" t="str">
            <v>STERLING HOTELS</v>
          </cell>
        </row>
        <row r="130">
          <cell r="A130">
            <v>6526</v>
          </cell>
          <cell r="B130" t="str">
            <v>MARDECK LTD</v>
          </cell>
        </row>
        <row r="131">
          <cell r="A131">
            <v>6527</v>
          </cell>
          <cell r="B131" t="str">
            <v>HOSPITALITY HOTEL GROUP</v>
          </cell>
        </row>
        <row r="132">
          <cell r="A132">
            <v>6528</v>
          </cell>
          <cell r="B132" t="str">
            <v>HOTEL EQUITIES GROUP</v>
          </cell>
        </row>
        <row r="133">
          <cell r="A133">
            <v>6529</v>
          </cell>
          <cell r="B133" t="str">
            <v>SUNWAY HOTEL MGMT</v>
          </cell>
        </row>
        <row r="134">
          <cell r="A134">
            <v>6530</v>
          </cell>
          <cell r="B134" t="str">
            <v>SANTA FE MGMT</v>
          </cell>
        </row>
        <row r="135">
          <cell r="A135">
            <v>6532</v>
          </cell>
          <cell r="B135" t="str">
            <v>GRAND HERITAGE HOTELS INT</v>
          </cell>
        </row>
        <row r="136">
          <cell r="A136">
            <v>6534</v>
          </cell>
          <cell r="B136" t="str">
            <v>INNCAL</v>
          </cell>
        </row>
        <row r="137">
          <cell r="A137">
            <v>6535</v>
          </cell>
          <cell r="B137" t="str">
            <v>IAN SCHRAGER</v>
          </cell>
        </row>
        <row r="138">
          <cell r="A138">
            <v>6559</v>
          </cell>
          <cell r="B138" t="str">
            <v>OUTRIGGER LODGING</v>
          </cell>
        </row>
        <row r="139">
          <cell r="A139">
            <v>6701</v>
          </cell>
          <cell r="B139" t="str">
            <v>ANA HOTELS</v>
          </cell>
        </row>
        <row r="140">
          <cell r="A140">
            <v>6702</v>
          </cell>
          <cell r="B140" t="str">
            <v>CENTURY INTERNATIONAL HOTELS</v>
          </cell>
        </row>
        <row r="141">
          <cell r="A141">
            <v>6703</v>
          </cell>
          <cell r="B141" t="str">
            <v>TOKYU GROUP HOTELS &amp; RESORTS</v>
          </cell>
        </row>
        <row r="142">
          <cell r="A142">
            <v>6704</v>
          </cell>
          <cell r="B142" t="str">
            <v>MANDARIN ORIENTAL HOTEL GROUP</v>
          </cell>
        </row>
        <row r="143">
          <cell r="A143">
            <v>6705</v>
          </cell>
          <cell r="B143" t="str">
            <v>MERITUS HOTELS &amp; RESORTS</v>
          </cell>
        </row>
        <row r="144">
          <cell r="A144">
            <v>6706</v>
          </cell>
          <cell r="B144" t="str">
            <v>THE TAJ GROUP</v>
          </cell>
        </row>
        <row r="145">
          <cell r="A145">
            <v>6707</v>
          </cell>
          <cell r="B145" t="str">
            <v>FUJITA KANKO GROUP</v>
          </cell>
        </row>
        <row r="146">
          <cell r="A146">
            <v>6708</v>
          </cell>
          <cell r="B146" t="str">
            <v>TOP INTERNATIONAL HOTELS</v>
          </cell>
        </row>
        <row r="147">
          <cell r="A147">
            <v>6709</v>
          </cell>
          <cell r="B147" t="str">
            <v>CONSORT HOTELS GROUP</v>
          </cell>
        </row>
        <row r="148">
          <cell r="A148">
            <v>6710</v>
          </cell>
          <cell r="B148" t="str">
            <v>OCCIDENTAL HOTELS</v>
          </cell>
        </row>
        <row r="149">
          <cell r="A149">
            <v>6711</v>
          </cell>
          <cell r="B149" t="str">
            <v>HELNAN INTERNATINOAL HOTELS</v>
          </cell>
        </row>
        <row r="150">
          <cell r="A150">
            <v>6712</v>
          </cell>
          <cell r="B150" t="str">
            <v>SEDONA HOTELS INTERNATIONAL</v>
          </cell>
        </row>
        <row r="151">
          <cell r="A151">
            <v>6713</v>
          </cell>
          <cell r="B151" t="str">
            <v>SMI HOTELS &amp; RESORTS</v>
          </cell>
        </row>
        <row r="152">
          <cell r="A152">
            <v>6714</v>
          </cell>
          <cell r="B152" t="str">
            <v>TRAVEL CHARME HOTELS</v>
          </cell>
        </row>
        <row r="153">
          <cell r="A153">
            <v>6715</v>
          </cell>
          <cell r="B153" t="str">
            <v>AMS HOTEL GROUP</v>
          </cell>
        </row>
        <row r="154">
          <cell r="A154">
            <v>6716</v>
          </cell>
          <cell r="B154" t="str">
            <v>AUSTROPA HOTELS</v>
          </cell>
        </row>
        <row r="155">
          <cell r="A155">
            <v>6717</v>
          </cell>
          <cell r="B155" t="str">
            <v>AUSTRIA TREND HOTELS</v>
          </cell>
        </row>
        <row r="156">
          <cell r="A156">
            <v>6718</v>
          </cell>
          <cell r="B156" t="str">
            <v>LUCIEN BARRIERE</v>
          </cell>
        </row>
        <row r="157">
          <cell r="A157">
            <v>6719</v>
          </cell>
          <cell r="B157" t="str">
            <v>MARCO POLO HOTELS</v>
          </cell>
        </row>
        <row r="158">
          <cell r="A158">
            <v>6720</v>
          </cell>
          <cell r="B158" t="str">
            <v>LTI INTERNATIONAL HOTELS</v>
          </cell>
        </row>
        <row r="159">
          <cell r="A159">
            <v>6721</v>
          </cell>
          <cell r="B159" t="str">
            <v>JIN JIANG GROUP</v>
          </cell>
        </row>
        <row r="160">
          <cell r="A160">
            <v>6722</v>
          </cell>
          <cell r="B160" t="str">
            <v>SPHC GROUP (SOUTHERN PACIFIC)</v>
          </cell>
        </row>
        <row r="161">
          <cell r="A161">
            <v>6723</v>
          </cell>
          <cell r="B161" t="str">
            <v>AMARI HOTELS AND RESORTS</v>
          </cell>
        </row>
        <row r="162">
          <cell r="A162">
            <v>6724</v>
          </cell>
          <cell r="B162" t="str">
            <v>THE SAVOY GROUP</v>
          </cell>
        </row>
        <row r="163">
          <cell r="A163">
            <v>6725</v>
          </cell>
          <cell r="B163" t="str">
            <v>GROUPE HOTELIER HELAN</v>
          </cell>
        </row>
        <row r="164">
          <cell r="A164">
            <v>6726</v>
          </cell>
          <cell r="B164" t="str">
            <v>CITYHOTELS</v>
          </cell>
        </row>
        <row r="165">
          <cell r="A165">
            <v>6727</v>
          </cell>
          <cell r="B165" t="str">
            <v>ROSEWOOD HOTELS &amp; RESORTS, INC</v>
          </cell>
        </row>
        <row r="166">
          <cell r="A166">
            <v>6728</v>
          </cell>
          <cell r="B166" t="str">
            <v>ALLSON INTL HOTELS &amp; RESORTS</v>
          </cell>
        </row>
        <row r="167">
          <cell r="A167">
            <v>6729</v>
          </cell>
          <cell r="B167" t="str">
            <v>THAKRAL HOLDINGS</v>
          </cell>
        </row>
        <row r="168">
          <cell r="A168">
            <v>6730</v>
          </cell>
          <cell r="B168" t="str">
            <v>RADISSON SAS HOTELS WORLDWIDE</v>
          </cell>
        </row>
        <row r="169">
          <cell r="A169">
            <v>6731</v>
          </cell>
          <cell r="B169" t="str">
            <v>FURAMA HOTELS INTERNATIONAL</v>
          </cell>
        </row>
        <row r="170">
          <cell r="A170">
            <v>6732</v>
          </cell>
          <cell r="B170" t="str">
            <v>RAFAEL HOTELS LIMITED</v>
          </cell>
        </row>
      </sheetData>
      <sheetData sheetId="4">
        <row r="1">
          <cell r="A1">
            <v>10</v>
          </cell>
          <cell r="B1" t="str">
            <v>NON-MSA</v>
          </cell>
        </row>
        <row r="2">
          <cell r="A2">
            <v>40</v>
          </cell>
          <cell r="B2" t="str">
            <v>ABILENE, TX</v>
          </cell>
        </row>
        <row r="3">
          <cell r="A3">
            <v>80</v>
          </cell>
          <cell r="B3" t="str">
            <v>AKRON, OH</v>
          </cell>
        </row>
        <row r="4">
          <cell r="A4">
            <v>120</v>
          </cell>
          <cell r="B4" t="str">
            <v>ALBANY, GA</v>
          </cell>
        </row>
        <row r="5">
          <cell r="A5">
            <v>160</v>
          </cell>
          <cell r="B5" t="str">
            <v>ALBANY-SCHENECTADY-TROY, NY</v>
          </cell>
        </row>
        <row r="6">
          <cell r="A6">
            <v>200</v>
          </cell>
          <cell r="B6" t="str">
            <v>ALBUQUERQUE, NM</v>
          </cell>
        </row>
        <row r="7">
          <cell r="A7">
            <v>220</v>
          </cell>
          <cell r="B7" t="str">
            <v>ALEXANDRIA, LA</v>
          </cell>
        </row>
        <row r="8">
          <cell r="A8">
            <v>240</v>
          </cell>
          <cell r="B8" t="str">
            <v>ALLENTOWN-BETHLEHEM, PA-NJ</v>
          </cell>
        </row>
        <row r="9">
          <cell r="A9">
            <v>280</v>
          </cell>
          <cell r="B9" t="str">
            <v>ALTOONA, PA</v>
          </cell>
        </row>
        <row r="10">
          <cell r="A10">
            <v>320</v>
          </cell>
          <cell r="B10" t="str">
            <v>AMARILLO, TX</v>
          </cell>
        </row>
        <row r="11">
          <cell r="A11">
            <v>360</v>
          </cell>
          <cell r="B11" t="str">
            <v>ANAHEIM-SANTA ANA, CA</v>
          </cell>
        </row>
        <row r="12">
          <cell r="A12">
            <v>380</v>
          </cell>
          <cell r="B12" t="str">
            <v>ANCHORAGE, AK</v>
          </cell>
        </row>
        <row r="13">
          <cell r="A13">
            <v>400</v>
          </cell>
          <cell r="B13" t="str">
            <v>ANDERSON, IN</v>
          </cell>
        </row>
        <row r="14">
          <cell r="A14">
            <v>405</v>
          </cell>
          <cell r="B14" t="str">
            <v>ANDERSON, SC</v>
          </cell>
        </row>
        <row r="15">
          <cell r="A15">
            <v>440</v>
          </cell>
          <cell r="B15" t="str">
            <v>ANN ARBOR, MI</v>
          </cell>
        </row>
        <row r="16">
          <cell r="A16">
            <v>450</v>
          </cell>
          <cell r="B16" t="str">
            <v>ANNISTON, AL</v>
          </cell>
        </row>
        <row r="17">
          <cell r="A17">
            <v>460</v>
          </cell>
          <cell r="B17" t="str">
            <v>APPLETON-OSHKOSH-NEENAH, WI</v>
          </cell>
        </row>
        <row r="18">
          <cell r="A18">
            <v>480</v>
          </cell>
          <cell r="B18" t="str">
            <v>ASHEVILLE, NC</v>
          </cell>
        </row>
        <row r="19">
          <cell r="A19">
            <v>500</v>
          </cell>
          <cell r="B19" t="str">
            <v>ATHENS, GA</v>
          </cell>
        </row>
        <row r="20">
          <cell r="A20">
            <v>520</v>
          </cell>
          <cell r="B20" t="str">
            <v>ATLANTA, GA</v>
          </cell>
        </row>
        <row r="21">
          <cell r="A21">
            <v>560</v>
          </cell>
          <cell r="B21" t="str">
            <v>ATLANTIC CITY, NJ</v>
          </cell>
        </row>
        <row r="22">
          <cell r="A22">
            <v>600</v>
          </cell>
          <cell r="B22" t="str">
            <v>AUGUSTA, GA-SC</v>
          </cell>
        </row>
        <row r="23">
          <cell r="A23">
            <v>620</v>
          </cell>
          <cell r="B23" t="str">
            <v>AURORA-ELGIN, IL</v>
          </cell>
        </row>
        <row r="24">
          <cell r="A24">
            <v>640</v>
          </cell>
          <cell r="B24" t="str">
            <v>AUSTIN, TX</v>
          </cell>
        </row>
        <row r="25">
          <cell r="A25">
            <v>680</v>
          </cell>
          <cell r="B25" t="str">
            <v>BAKERSFIELD, CA</v>
          </cell>
        </row>
        <row r="26">
          <cell r="A26">
            <v>720</v>
          </cell>
          <cell r="B26" t="str">
            <v>BALTIMORE, MD</v>
          </cell>
        </row>
        <row r="27">
          <cell r="A27">
            <v>733</v>
          </cell>
          <cell r="B27" t="str">
            <v>BANGOR, ME</v>
          </cell>
        </row>
        <row r="28">
          <cell r="A28">
            <v>760</v>
          </cell>
          <cell r="B28" t="str">
            <v>BATON ROUGE, LA</v>
          </cell>
        </row>
        <row r="29">
          <cell r="A29">
            <v>780</v>
          </cell>
          <cell r="B29" t="str">
            <v>BATTLE CREEK, MI</v>
          </cell>
        </row>
        <row r="30">
          <cell r="A30">
            <v>840</v>
          </cell>
          <cell r="B30" t="str">
            <v>BEAUMONT-PORT ARTHUR, TX</v>
          </cell>
        </row>
        <row r="31">
          <cell r="A31">
            <v>845</v>
          </cell>
          <cell r="B31" t="str">
            <v>BEAVER COUNTY, PA</v>
          </cell>
        </row>
        <row r="32">
          <cell r="A32">
            <v>860</v>
          </cell>
          <cell r="B32" t="str">
            <v>BELLINGHAM, WA</v>
          </cell>
        </row>
        <row r="33">
          <cell r="A33">
            <v>870</v>
          </cell>
          <cell r="B33" t="str">
            <v>BENTON HARBOR, MI</v>
          </cell>
        </row>
        <row r="34">
          <cell r="A34">
            <v>875</v>
          </cell>
          <cell r="B34" t="str">
            <v>BERGEN-PASSIAC, NJ</v>
          </cell>
        </row>
        <row r="35">
          <cell r="A35">
            <v>880</v>
          </cell>
          <cell r="B35" t="str">
            <v>BILLINGS, MT</v>
          </cell>
        </row>
        <row r="36">
          <cell r="A36">
            <v>920</v>
          </cell>
          <cell r="B36" t="str">
            <v>BILOXI-GULFPORT, MS</v>
          </cell>
        </row>
        <row r="37">
          <cell r="A37">
            <v>960</v>
          </cell>
          <cell r="B37" t="str">
            <v>BINGHAMTON, NY</v>
          </cell>
        </row>
        <row r="38">
          <cell r="A38">
            <v>1000</v>
          </cell>
          <cell r="B38" t="str">
            <v>BIRMINGHAM, AL</v>
          </cell>
        </row>
        <row r="39">
          <cell r="A39">
            <v>1010</v>
          </cell>
          <cell r="B39" t="str">
            <v>BISMARCK, ND</v>
          </cell>
        </row>
        <row r="40">
          <cell r="A40">
            <v>1020</v>
          </cell>
          <cell r="B40" t="str">
            <v>BLOOMINGTON, IN</v>
          </cell>
        </row>
        <row r="41">
          <cell r="A41">
            <v>1040</v>
          </cell>
          <cell r="B41" t="str">
            <v>BLOOMINGTON-NORMAL, IL</v>
          </cell>
        </row>
        <row r="42">
          <cell r="A42">
            <v>1080</v>
          </cell>
          <cell r="B42" t="str">
            <v>BOISE CITY, ID</v>
          </cell>
        </row>
        <row r="43">
          <cell r="A43">
            <v>1123</v>
          </cell>
          <cell r="B43" t="str">
            <v>BOSTON-LAWRENCE-SALEM-LOWELL-B</v>
          </cell>
        </row>
        <row r="44">
          <cell r="A44">
            <v>1125</v>
          </cell>
          <cell r="B44" t="str">
            <v>BOULDER-LONGMONT, CO</v>
          </cell>
        </row>
        <row r="45">
          <cell r="A45">
            <v>1140</v>
          </cell>
          <cell r="B45" t="str">
            <v>BRADENTON, FL</v>
          </cell>
        </row>
        <row r="46">
          <cell r="A46">
            <v>1145</v>
          </cell>
          <cell r="B46" t="str">
            <v>BRAZORIA, TX</v>
          </cell>
        </row>
        <row r="47">
          <cell r="A47">
            <v>1150</v>
          </cell>
          <cell r="B47" t="str">
            <v>BREMERTON, WA</v>
          </cell>
        </row>
        <row r="48">
          <cell r="A48">
            <v>1163</v>
          </cell>
          <cell r="B48" t="str">
            <v>BRIDGEPORT-STAMFORD-NORWALK-DA</v>
          </cell>
        </row>
        <row r="49">
          <cell r="A49">
            <v>1240</v>
          </cell>
          <cell r="B49" t="str">
            <v>BROWNSVILLE-HARLINGEN, TX</v>
          </cell>
        </row>
        <row r="50">
          <cell r="A50">
            <v>1260</v>
          </cell>
          <cell r="B50" t="str">
            <v>BRYAN-COLLEGE STATION, TX</v>
          </cell>
        </row>
        <row r="51">
          <cell r="A51">
            <v>1280</v>
          </cell>
          <cell r="B51" t="str">
            <v>BUFFALO, NY</v>
          </cell>
        </row>
        <row r="52">
          <cell r="A52">
            <v>1300</v>
          </cell>
          <cell r="B52" t="str">
            <v>BURLINGTON, NC</v>
          </cell>
        </row>
        <row r="53">
          <cell r="A53">
            <v>1303</v>
          </cell>
          <cell r="B53" t="str">
            <v>BURLINGTON, VT</v>
          </cell>
        </row>
        <row r="54">
          <cell r="A54">
            <v>1320</v>
          </cell>
          <cell r="B54" t="str">
            <v>CANTON, OH</v>
          </cell>
        </row>
        <row r="55">
          <cell r="A55">
            <v>1350</v>
          </cell>
          <cell r="B55" t="str">
            <v>CASPER, WY</v>
          </cell>
        </row>
        <row r="56">
          <cell r="A56">
            <v>1360</v>
          </cell>
          <cell r="B56" t="str">
            <v>CEDAR RAPIDS, IA</v>
          </cell>
        </row>
        <row r="57">
          <cell r="A57">
            <v>1400</v>
          </cell>
          <cell r="B57" t="str">
            <v>CHAMPAIGN-URBANA-RANTOUL, IL</v>
          </cell>
        </row>
        <row r="58">
          <cell r="A58">
            <v>1440</v>
          </cell>
          <cell r="B58" t="str">
            <v>CHARLESTON, SC</v>
          </cell>
        </row>
        <row r="59">
          <cell r="A59">
            <v>1480</v>
          </cell>
          <cell r="B59" t="str">
            <v>CHARLESTON, WV</v>
          </cell>
        </row>
        <row r="60">
          <cell r="A60">
            <v>1520</v>
          </cell>
          <cell r="B60" t="str">
            <v>CHARLOTTE-GASTONIA-ROCK HILL,</v>
          </cell>
        </row>
        <row r="61">
          <cell r="A61">
            <v>1540</v>
          </cell>
          <cell r="B61" t="str">
            <v>CHARLOTTESVILLE, VA</v>
          </cell>
        </row>
        <row r="62">
          <cell r="A62">
            <v>1560</v>
          </cell>
          <cell r="B62" t="str">
            <v>CHATTANOOGA, TN-GA</v>
          </cell>
        </row>
        <row r="63">
          <cell r="A63">
            <v>1600</v>
          </cell>
          <cell r="B63" t="str">
            <v>CHICAGO, IL</v>
          </cell>
        </row>
        <row r="64">
          <cell r="A64">
            <v>1620</v>
          </cell>
          <cell r="B64" t="str">
            <v>CHICO, CA</v>
          </cell>
        </row>
        <row r="65">
          <cell r="A65">
            <v>1640</v>
          </cell>
          <cell r="B65" t="str">
            <v>CINCINNATI, OH-KY-IN</v>
          </cell>
        </row>
        <row r="66">
          <cell r="A66">
            <v>1660</v>
          </cell>
          <cell r="B66" t="str">
            <v>CLARKSVILLE-HOPKINSVILLE, TN-K</v>
          </cell>
        </row>
        <row r="67">
          <cell r="A67">
            <v>1680</v>
          </cell>
          <cell r="B67" t="str">
            <v>CLEVELAND, OH</v>
          </cell>
        </row>
        <row r="68">
          <cell r="A68">
            <v>1720</v>
          </cell>
          <cell r="B68" t="str">
            <v>COLORADO SPRINGS, CO</v>
          </cell>
        </row>
        <row r="69">
          <cell r="A69">
            <v>1740</v>
          </cell>
          <cell r="B69" t="str">
            <v>COLUMBIA, MO</v>
          </cell>
        </row>
        <row r="70">
          <cell r="A70">
            <v>1760</v>
          </cell>
          <cell r="B70" t="str">
            <v>COLUMBIA, SC</v>
          </cell>
        </row>
        <row r="71">
          <cell r="A71">
            <v>1800</v>
          </cell>
          <cell r="B71" t="str">
            <v>COLUMBUS, GA-AL</v>
          </cell>
        </row>
        <row r="72">
          <cell r="A72">
            <v>1840</v>
          </cell>
          <cell r="B72" t="str">
            <v>COLUMBUS, OH</v>
          </cell>
        </row>
        <row r="73">
          <cell r="A73">
            <v>1880</v>
          </cell>
          <cell r="B73" t="str">
            <v>CORPUS CHRISTI, TX</v>
          </cell>
        </row>
        <row r="74">
          <cell r="A74">
            <v>1900</v>
          </cell>
          <cell r="B74" t="str">
            <v>CUMBERLAND, MD-WV</v>
          </cell>
        </row>
        <row r="75">
          <cell r="A75">
            <v>1920</v>
          </cell>
          <cell r="B75" t="str">
            <v>DALLAS, TX</v>
          </cell>
        </row>
        <row r="76">
          <cell r="A76">
            <v>1950</v>
          </cell>
          <cell r="B76" t="str">
            <v>DANVILLE, VA</v>
          </cell>
        </row>
        <row r="77">
          <cell r="A77">
            <v>1960</v>
          </cell>
          <cell r="B77" t="str">
            <v>DAVENPORT-ROCK ISLAND-MOLINE,</v>
          </cell>
        </row>
        <row r="78">
          <cell r="A78">
            <v>2000</v>
          </cell>
          <cell r="B78" t="str">
            <v>DAYTON-SPRINGFIELD, OH</v>
          </cell>
        </row>
        <row r="79">
          <cell r="A79">
            <v>2020</v>
          </cell>
          <cell r="B79" t="str">
            <v>DAYTONA BEACH, FL</v>
          </cell>
        </row>
        <row r="80">
          <cell r="A80">
            <v>2040</v>
          </cell>
          <cell r="B80" t="str">
            <v>DECATUR, IL</v>
          </cell>
        </row>
        <row r="81">
          <cell r="A81">
            <v>2080</v>
          </cell>
          <cell r="B81" t="str">
            <v>DENVER, CO</v>
          </cell>
        </row>
        <row r="82">
          <cell r="A82">
            <v>2120</v>
          </cell>
          <cell r="B82" t="str">
            <v>DES MOINES, IA</v>
          </cell>
        </row>
        <row r="83">
          <cell r="A83">
            <v>2160</v>
          </cell>
          <cell r="B83" t="str">
            <v>DETROIT, MI</v>
          </cell>
        </row>
        <row r="84">
          <cell r="A84">
            <v>2180</v>
          </cell>
          <cell r="B84" t="str">
            <v>DOTHAN, AL</v>
          </cell>
        </row>
        <row r="85">
          <cell r="A85">
            <v>2200</v>
          </cell>
          <cell r="B85" t="str">
            <v>DUBUQUE, IA</v>
          </cell>
        </row>
        <row r="86">
          <cell r="A86">
            <v>2240</v>
          </cell>
          <cell r="B86" t="str">
            <v>DULUTH, MN-WI</v>
          </cell>
        </row>
        <row r="87">
          <cell r="A87">
            <v>2290</v>
          </cell>
          <cell r="B87" t="str">
            <v>EAU CLAIRE, WI</v>
          </cell>
        </row>
        <row r="88">
          <cell r="A88">
            <v>2320</v>
          </cell>
          <cell r="B88" t="str">
            <v>EL PASO, TX</v>
          </cell>
        </row>
        <row r="89">
          <cell r="A89">
            <v>2330</v>
          </cell>
          <cell r="B89" t="str">
            <v>ELKHART-GOSHEN, IN</v>
          </cell>
        </row>
        <row r="90">
          <cell r="A90">
            <v>2335</v>
          </cell>
          <cell r="B90" t="str">
            <v>ELMIRA, NY</v>
          </cell>
        </row>
        <row r="91">
          <cell r="A91">
            <v>2340</v>
          </cell>
          <cell r="B91" t="str">
            <v>ENID, OK</v>
          </cell>
        </row>
        <row r="92">
          <cell r="A92">
            <v>2360</v>
          </cell>
          <cell r="B92" t="str">
            <v>ERIE, PA</v>
          </cell>
        </row>
        <row r="93">
          <cell r="A93">
            <v>2400</v>
          </cell>
          <cell r="B93" t="str">
            <v>EUGENE-SPRINGFIELD, OR</v>
          </cell>
        </row>
        <row r="94">
          <cell r="A94">
            <v>2440</v>
          </cell>
          <cell r="B94" t="str">
            <v>EVANSVILLE, IN-KY</v>
          </cell>
        </row>
        <row r="95">
          <cell r="A95">
            <v>2520</v>
          </cell>
          <cell r="B95" t="str">
            <v>FARGO-MOORHEAD, ND-MN</v>
          </cell>
        </row>
        <row r="96">
          <cell r="A96">
            <v>2560</v>
          </cell>
          <cell r="B96" t="str">
            <v>FAYETTEVILLE, NC</v>
          </cell>
        </row>
        <row r="97">
          <cell r="A97">
            <v>2580</v>
          </cell>
          <cell r="B97" t="str">
            <v>FAYETTEVILLE-SPRINGDALE, AR</v>
          </cell>
        </row>
        <row r="98">
          <cell r="A98">
            <v>2640</v>
          </cell>
          <cell r="B98" t="str">
            <v>FLINT, MI</v>
          </cell>
        </row>
        <row r="99">
          <cell r="A99">
            <v>2650</v>
          </cell>
          <cell r="B99" t="str">
            <v>FLORENCE, AL</v>
          </cell>
        </row>
        <row r="100">
          <cell r="A100">
            <v>2655</v>
          </cell>
          <cell r="B100" t="str">
            <v>FLORENCE, SC</v>
          </cell>
        </row>
        <row r="101">
          <cell r="A101">
            <v>2670</v>
          </cell>
          <cell r="B101" t="str">
            <v>FORT COLLINS-LOVELAND, CO</v>
          </cell>
        </row>
        <row r="102">
          <cell r="A102">
            <v>2680</v>
          </cell>
          <cell r="B102" t="str">
            <v>FORT LAUDERDALE-HOLLYWOOD-POMP</v>
          </cell>
        </row>
        <row r="103">
          <cell r="A103">
            <v>2700</v>
          </cell>
          <cell r="B103" t="str">
            <v>FORT MYERS-CAPE CORAL, FL</v>
          </cell>
        </row>
        <row r="104">
          <cell r="A104">
            <v>2710</v>
          </cell>
          <cell r="B104" t="str">
            <v>FORT PIERCE, FL</v>
          </cell>
        </row>
        <row r="105">
          <cell r="A105">
            <v>2720</v>
          </cell>
          <cell r="B105" t="str">
            <v>FORT SMITH, AR-OK</v>
          </cell>
        </row>
        <row r="106">
          <cell r="A106">
            <v>2750</v>
          </cell>
          <cell r="B106" t="str">
            <v>FORT WALTON BEACH, FL</v>
          </cell>
        </row>
        <row r="107">
          <cell r="A107">
            <v>2760</v>
          </cell>
          <cell r="B107" t="str">
            <v>FORT WAYNE, IN</v>
          </cell>
        </row>
        <row r="108">
          <cell r="A108">
            <v>2800</v>
          </cell>
          <cell r="B108" t="str">
            <v>FORT WORTH-ARLINGTON, TX</v>
          </cell>
        </row>
        <row r="109">
          <cell r="A109">
            <v>2840</v>
          </cell>
          <cell r="B109" t="str">
            <v>FRESNO, CA</v>
          </cell>
        </row>
        <row r="110">
          <cell r="A110">
            <v>2880</v>
          </cell>
          <cell r="B110" t="str">
            <v>GADSDEN, AL</v>
          </cell>
        </row>
        <row r="111">
          <cell r="A111">
            <v>2900</v>
          </cell>
          <cell r="B111" t="str">
            <v>GAINESVILLE, FL</v>
          </cell>
        </row>
        <row r="112">
          <cell r="A112">
            <v>2920</v>
          </cell>
          <cell r="B112" t="str">
            <v>GALVESTON-TEXAS CITY, TX</v>
          </cell>
        </row>
        <row r="113">
          <cell r="A113">
            <v>2960</v>
          </cell>
          <cell r="B113" t="str">
            <v>GARY-HAMMOND, IN</v>
          </cell>
        </row>
        <row r="114">
          <cell r="A114">
            <v>2975</v>
          </cell>
          <cell r="B114" t="str">
            <v>GLENS FALLS, NY</v>
          </cell>
        </row>
        <row r="115">
          <cell r="A115">
            <v>2985</v>
          </cell>
          <cell r="B115" t="str">
            <v>GRAND FORKS, ND</v>
          </cell>
        </row>
        <row r="116">
          <cell r="A116">
            <v>3000</v>
          </cell>
          <cell r="B116" t="str">
            <v>GRAND RAPIDS, MI</v>
          </cell>
        </row>
        <row r="117">
          <cell r="A117">
            <v>3040</v>
          </cell>
          <cell r="B117" t="str">
            <v>GREAT FALLS, MT</v>
          </cell>
        </row>
        <row r="118">
          <cell r="A118">
            <v>3060</v>
          </cell>
          <cell r="B118" t="str">
            <v>GREELEY, CO</v>
          </cell>
        </row>
        <row r="119">
          <cell r="A119">
            <v>3080</v>
          </cell>
          <cell r="B119" t="str">
            <v>GREEN BAY, WI</v>
          </cell>
        </row>
        <row r="120">
          <cell r="A120">
            <v>3120</v>
          </cell>
          <cell r="B120" t="str">
            <v>GREENSBORO--WINSTON-SALEM--HIG</v>
          </cell>
        </row>
        <row r="121">
          <cell r="A121">
            <v>3160</v>
          </cell>
          <cell r="B121" t="str">
            <v>GREENVILLE-SPARTANBURG, SC</v>
          </cell>
        </row>
        <row r="122">
          <cell r="A122">
            <v>3180</v>
          </cell>
          <cell r="B122" t="str">
            <v>HAGERSTOWN, MD</v>
          </cell>
        </row>
        <row r="123">
          <cell r="A123">
            <v>3200</v>
          </cell>
          <cell r="B123" t="str">
            <v>HAMILTON-MIDDLETOWN, OH</v>
          </cell>
        </row>
        <row r="124">
          <cell r="A124">
            <v>3240</v>
          </cell>
          <cell r="B124" t="str">
            <v>HARRISBURG-LEBANON-CARLISLE, P</v>
          </cell>
        </row>
        <row r="125">
          <cell r="A125">
            <v>3283</v>
          </cell>
          <cell r="B125" t="str">
            <v>HARTFORD-NEW BRITAIN-MIDDLETOW</v>
          </cell>
        </row>
        <row r="126">
          <cell r="A126">
            <v>3290</v>
          </cell>
          <cell r="B126" t="str">
            <v>HICKORY, NC</v>
          </cell>
        </row>
        <row r="127">
          <cell r="A127">
            <v>3320</v>
          </cell>
          <cell r="B127" t="str">
            <v>HONOLULU, HI</v>
          </cell>
        </row>
        <row r="128">
          <cell r="A128">
            <v>3350</v>
          </cell>
          <cell r="B128" t="str">
            <v>HOUMA-THIBODAUX, LA</v>
          </cell>
        </row>
        <row r="129">
          <cell r="A129">
            <v>3360</v>
          </cell>
          <cell r="B129" t="str">
            <v>HOUSTON, TX</v>
          </cell>
        </row>
        <row r="130">
          <cell r="A130">
            <v>3400</v>
          </cell>
          <cell r="B130" t="str">
            <v>HUNTINGTON-ASHLAND, WV-KY-OH</v>
          </cell>
        </row>
        <row r="131">
          <cell r="A131">
            <v>3440</v>
          </cell>
          <cell r="B131" t="str">
            <v>HUNTSVILLE, AL</v>
          </cell>
        </row>
        <row r="132">
          <cell r="A132">
            <v>3480</v>
          </cell>
          <cell r="B132" t="str">
            <v>INDIANAPOLIS, IN</v>
          </cell>
        </row>
        <row r="133">
          <cell r="A133">
            <v>3500</v>
          </cell>
          <cell r="B133" t="str">
            <v>IOWA CITY, IA</v>
          </cell>
        </row>
        <row r="134">
          <cell r="A134">
            <v>3520</v>
          </cell>
          <cell r="B134" t="str">
            <v>JACKSON, MI</v>
          </cell>
        </row>
        <row r="135">
          <cell r="A135">
            <v>3560</v>
          </cell>
          <cell r="B135" t="str">
            <v>JACKSON, MS</v>
          </cell>
        </row>
        <row r="136">
          <cell r="A136">
            <v>3580</v>
          </cell>
          <cell r="B136" t="str">
            <v>JACKSON, TN</v>
          </cell>
        </row>
        <row r="137">
          <cell r="A137">
            <v>3600</v>
          </cell>
          <cell r="B137" t="str">
            <v>JACKSONVILLE, FL</v>
          </cell>
        </row>
        <row r="138">
          <cell r="A138">
            <v>3605</v>
          </cell>
          <cell r="B138" t="str">
            <v>JACKSONVILLE, NC</v>
          </cell>
        </row>
        <row r="139">
          <cell r="A139">
            <v>3620</v>
          </cell>
          <cell r="B139" t="str">
            <v>JANESVILLE-BELOIT, WI</v>
          </cell>
        </row>
        <row r="140">
          <cell r="A140">
            <v>3640</v>
          </cell>
          <cell r="B140" t="str">
            <v>JERSEY CITY, NJ</v>
          </cell>
        </row>
        <row r="141">
          <cell r="A141">
            <v>3660</v>
          </cell>
          <cell r="B141" t="str">
            <v>JOHNSON CITY-KINGSPORT-BRISTOL</v>
          </cell>
        </row>
        <row r="142">
          <cell r="A142">
            <v>3680</v>
          </cell>
          <cell r="B142" t="str">
            <v>JOHNSTOWN, PA</v>
          </cell>
        </row>
        <row r="143">
          <cell r="A143">
            <v>3690</v>
          </cell>
          <cell r="B143" t="str">
            <v>JOLIET, IL</v>
          </cell>
        </row>
        <row r="144">
          <cell r="A144">
            <v>3710</v>
          </cell>
          <cell r="B144" t="str">
            <v>JOPLIN, MO</v>
          </cell>
        </row>
        <row r="145">
          <cell r="A145">
            <v>3720</v>
          </cell>
          <cell r="B145" t="str">
            <v>KALAMAZOO, MI</v>
          </cell>
        </row>
        <row r="146">
          <cell r="A146">
            <v>3740</v>
          </cell>
          <cell r="B146" t="str">
            <v>KANKAKEE, IL</v>
          </cell>
        </row>
        <row r="147">
          <cell r="A147">
            <v>3760</v>
          </cell>
          <cell r="B147" t="str">
            <v>KANSAS CITY, MO-KS</v>
          </cell>
        </row>
        <row r="148">
          <cell r="A148">
            <v>3800</v>
          </cell>
          <cell r="B148" t="str">
            <v>KENOSHA, WI</v>
          </cell>
        </row>
        <row r="149">
          <cell r="A149">
            <v>3810</v>
          </cell>
          <cell r="B149" t="str">
            <v>KILLEEN-TEMPLE, TX</v>
          </cell>
        </row>
        <row r="150">
          <cell r="A150">
            <v>3840</v>
          </cell>
          <cell r="B150" t="str">
            <v>KNOXVILLE, TN</v>
          </cell>
        </row>
        <row r="151">
          <cell r="A151">
            <v>3850</v>
          </cell>
          <cell r="B151" t="str">
            <v>KOKOMO, IN</v>
          </cell>
        </row>
        <row r="152">
          <cell r="A152">
            <v>3870</v>
          </cell>
          <cell r="B152" t="str">
            <v>LA CROSSE, WI</v>
          </cell>
        </row>
        <row r="153">
          <cell r="A153">
            <v>3880</v>
          </cell>
          <cell r="B153" t="str">
            <v>LAFAYETTE, LA</v>
          </cell>
        </row>
        <row r="154">
          <cell r="A154">
            <v>3920</v>
          </cell>
          <cell r="B154" t="str">
            <v>LAFAYETTE, IN</v>
          </cell>
        </row>
        <row r="155">
          <cell r="A155">
            <v>3960</v>
          </cell>
          <cell r="B155" t="str">
            <v>LAKE CHARLES, LA</v>
          </cell>
        </row>
        <row r="156">
          <cell r="A156">
            <v>3965</v>
          </cell>
          <cell r="B156" t="str">
            <v>LAKE COUNTY, IL</v>
          </cell>
        </row>
        <row r="157">
          <cell r="A157">
            <v>3980</v>
          </cell>
          <cell r="B157" t="str">
            <v>LAKELAND-WINTER HAVEN, FL</v>
          </cell>
        </row>
        <row r="158">
          <cell r="A158">
            <v>4000</v>
          </cell>
          <cell r="B158" t="str">
            <v>LANCASTER, PA</v>
          </cell>
        </row>
        <row r="159">
          <cell r="A159">
            <v>4040</v>
          </cell>
          <cell r="B159" t="str">
            <v>LANSING-EAST LANSING, MI</v>
          </cell>
        </row>
        <row r="160">
          <cell r="A160">
            <v>4080</v>
          </cell>
          <cell r="B160" t="str">
            <v>LAREDO, TX</v>
          </cell>
        </row>
        <row r="161">
          <cell r="A161">
            <v>4100</v>
          </cell>
          <cell r="B161" t="str">
            <v>LAS CRUCES, NM</v>
          </cell>
        </row>
        <row r="162">
          <cell r="A162">
            <v>4120</v>
          </cell>
          <cell r="B162" t="str">
            <v>LAS VEGAS, NV</v>
          </cell>
        </row>
        <row r="163">
          <cell r="A163">
            <v>4150</v>
          </cell>
          <cell r="B163" t="str">
            <v>LAWRENCE, KS</v>
          </cell>
        </row>
        <row r="164">
          <cell r="A164">
            <v>4200</v>
          </cell>
          <cell r="B164" t="str">
            <v>LAWTON, OK</v>
          </cell>
        </row>
        <row r="165">
          <cell r="A165">
            <v>4243</v>
          </cell>
          <cell r="B165" t="str">
            <v>LEWISTON-AUBURN, ME</v>
          </cell>
        </row>
        <row r="166">
          <cell r="A166">
            <v>4280</v>
          </cell>
          <cell r="B166" t="str">
            <v>LEXINGTON-FAYETTE, KY</v>
          </cell>
        </row>
        <row r="167">
          <cell r="A167">
            <v>4320</v>
          </cell>
          <cell r="B167" t="str">
            <v>LIMA, OH</v>
          </cell>
        </row>
        <row r="168">
          <cell r="A168">
            <v>4360</v>
          </cell>
          <cell r="B168" t="str">
            <v>LINCOLN, NE</v>
          </cell>
        </row>
        <row r="169">
          <cell r="A169">
            <v>4400</v>
          </cell>
          <cell r="B169" t="str">
            <v>LITTLE ROCK-NORTH LITTLE ROCK,</v>
          </cell>
        </row>
        <row r="170">
          <cell r="A170">
            <v>4420</v>
          </cell>
          <cell r="B170" t="str">
            <v>LONGVIEW-MARSHALL, TX</v>
          </cell>
        </row>
        <row r="171">
          <cell r="A171">
            <v>4440</v>
          </cell>
          <cell r="B171" t="str">
            <v>LORAIN-ELYRIA, OH</v>
          </cell>
        </row>
        <row r="172">
          <cell r="A172">
            <v>4480</v>
          </cell>
          <cell r="B172" t="str">
            <v>LOS ANGELES-LONG BEACH, CA</v>
          </cell>
        </row>
        <row r="173">
          <cell r="A173">
            <v>4520</v>
          </cell>
          <cell r="B173" t="str">
            <v>LOUISVILLE, KY-IN</v>
          </cell>
        </row>
        <row r="174">
          <cell r="A174">
            <v>4600</v>
          </cell>
          <cell r="B174" t="str">
            <v>LUBBOCK, TX</v>
          </cell>
        </row>
        <row r="175">
          <cell r="A175">
            <v>4640</v>
          </cell>
          <cell r="B175" t="str">
            <v>LYNCHBURG, VA</v>
          </cell>
        </row>
        <row r="176">
          <cell r="A176">
            <v>4680</v>
          </cell>
          <cell r="B176" t="str">
            <v>MACON-WARNER ROBINS, GA</v>
          </cell>
        </row>
        <row r="177">
          <cell r="A177">
            <v>4720</v>
          </cell>
          <cell r="B177" t="str">
            <v>MADISON, WI</v>
          </cell>
        </row>
        <row r="178">
          <cell r="A178">
            <v>4763</v>
          </cell>
          <cell r="B178" t="str">
            <v>MANCHESTER-NASHUA, NH</v>
          </cell>
        </row>
        <row r="179">
          <cell r="A179">
            <v>4800</v>
          </cell>
          <cell r="B179" t="str">
            <v>MANSFIELD, OH</v>
          </cell>
        </row>
        <row r="180">
          <cell r="A180">
            <v>4880</v>
          </cell>
          <cell r="B180" t="str">
            <v>MCALLEN-EDINBURG-MISSION, TX</v>
          </cell>
        </row>
        <row r="181">
          <cell r="A181">
            <v>4890</v>
          </cell>
          <cell r="B181" t="str">
            <v>MEDFORD, OR</v>
          </cell>
        </row>
        <row r="182">
          <cell r="A182">
            <v>4900</v>
          </cell>
          <cell r="B182" t="str">
            <v>MELBOURNE-TITUSVILLE-PALM BAY,</v>
          </cell>
        </row>
        <row r="183">
          <cell r="A183">
            <v>4920</v>
          </cell>
          <cell r="B183" t="str">
            <v>MEMPHIS, TN-AR-MS</v>
          </cell>
        </row>
        <row r="184">
          <cell r="A184">
            <v>5000</v>
          </cell>
          <cell r="B184" t="str">
            <v>MIAMI-HIALEAH, FL</v>
          </cell>
        </row>
        <row r="185">
          <cell r="A185">
            <v>5015</v>
          </cell>
          <cell r="B185" t="str">
            <v>MIDDLESEX-SOMERSET-HUNTERDON,</v>
          </cell>
        </row>
        <row r="186">
          <cell r="A186">
            <v>5040</v>
          </cell>
          <cell r="B186" t="str">
            <v>MIDLAND, TX</v>
          </cell>
        </row>
        <row r="187">
          <cell r="A187">
            <v>5080</v>
          </cell>
          <cell r="B187" t="str">
            <v>MILWAUKEE, WI</v>
          </cell>
        </row>
        <row r="188">
          <cell r="A188">
            <v>5120</v>
          </cell>
          <cell r="B188" t="str">
            <v>MINNEAPOLIS-ST. PAUL, MN-WI</v>
          </cell>
        </row>
        <row r="189">
          <cell r="A189">
            <v>5160</v>
          </cell>
          <cell r="B189" t="str">
            <v>MOBILE, AL</v>
          </cell>
        </row>
        <row r="190">
          <cell r="A190">
            <v>5170</v>
          </cell>
          <cell r="B190" t="str">
            <v>MODESTO, CA</v>
          </cell>
        </row>
        <row r="191">
          <cell r="A191">
            <v>5190</v>
          </cell>
          <cell r="B191" t="str">
            <v>MONMOUTH-OCEAN, NJ</v>
          </cell>
        </row>
        <row r="192">
          <cell r="A192">
            <v>5200</v>
          </cell>
          <cell r="B192" t="str">
            <v>MONROE, LA</v>
          </cell>
        </row>
        <row r="193">
          <cell r="A193">
            <v>5240</v>
          </cell>
          <cell r="B193" t="str">
            <v>MONTGOMERY, AL</v>
          </cell>
        </row>
        <row r="194">
          <cell r="A194">
            <v>5280</v>
          </cell>
          <cell r="B194" t="str">
            <v>MUNCIE, IN</v>
          </cell>
        </row>
        <row r="195">
          <cell r="A195">
            <v>5320</v>
          </cell>
          <cell r="B195" t="str">
            <v>MUSKEGON, MI</v>
          </cell>
        </row>
        <row r="196">
          <cell r="A196">
            <v>5345</v>
          </cell>
          <cell r="B196" t="str">
            <v>NAPLES, FL</v>
          </cell>
        </row>
        <row r="197">
          <cell r="A197">
            <v>5360</v>
          </cell>
          <cell r="B197" t="str">
            <v>NASHVILLE, TN</v>
          </cell>
        </row>
        <row r="198">
          <cell r="A198">
            <v>5380</v>
          </cell>
          <cell r="B198" t="str">
            <v>NASSAU-SUFFOLK, NY</v>
          </cell>
        </row>
        <row r="199">
          <cell r="A199">
            <v>5403</v>
          </cell>
          <cell r="B199" t="str">
            <v>NEW BEDFORD-FALL RIVER-ATTLEBO</v>
          </cell>
        </row>
        <row r="200">
          <cell r="A200">
            <v>5483</v>
          </cell>
          <cell r="B200" t="str">
            <v>NEW HAVEN-WATERBURY-MERIDEN, C</v>
          </cell>
        </row>
        <row r="201">
          <cell r="A201">
            <v>5523</v>
          </cell>
          <cell r="B201" t="str">
            <v>NEW LONDON-NORWICH, CT</v>
          </cell>
        </row>
        <row r="202">
          <cell r="A202">
            <v>5560</v>
          </cell>
          <cell r="B202" t="str">
            <v>NEW ORLEANS, LA</v>
          </cell>
        </row>
        <row r="203">
          <cell r="A203">
            <v>5600</v>
          </cell>
          <cell r="B203" t="str">
            <v>NEW YORK, NY</v>
          </cell>
        </row>
        <row r="204">
          <cell r="A204">
            <v>5640</v>
          </cell>
          <cell r="B204" t="str">
            <v>NEWARK, NJ</v>
          </cell>
        </row>
        <row r="205">
          <cell r="A205">
            <v>5700</v>
          </cell>
          <cell r="B205" t="str">
            <v>NIAGARA FALLS, NY</v>
          </cell>
        </row>
        <row r="206">
          <cell r="A206">
            <v>5720</v>
          </cell>
          <cell r="B206" t="str">
            <v>NORFOLK-VIRGINIA BEACH-NEWPORT</v>
          </cell>
        </row>
        <row r="207">
          <cell r="A207">
            <v>5775</v>
          </cell>
          <cell r="B207" t="str">
            <v>OAKLAND, CA</v>
          </cell>
        </row>
        <row r="208">
          <cell r="A208">
            <v>5790</v>
          </cell>
          <cell r="B208" t="str">
            <v>OCALA, FL</v>
          </cell>
        </row>
        <row r="209">
          <cell r="A209">
            <v>5800</v>
          </cell>
          <cell r="B209" t="str">
            <v>ODESSA, TX</v>
          </cell>
        </row>
        <row r="210">
          <cell r="A210">
            <v>5880</v>
          </cell>
          <cell r="B210" t="str">
            <v>OKLAHOMA CITY, OK</v>
          </cell>
        </row>
        <row r="211">
          <cell r="A211">
            <v>5910</v>
          </cell>
          <cell r="B211" t="str">
            <v>OLYMPIA, WA</v>
          </cell>
        </row>
        <row r="212">
          <cell r="A212">
            <v>5920</v>
          </cell>
          <cell r="B212" t="str">
            <v>OMAHA, NE-IA</v>
          </cell>
        </row>
        <row r="213">
          <cell r="A213">
            <v>5950</v>
          </cell>
          <cell r="B213" t="str">
            <v>ORANGE COUNTY, NY</v>
          </cell>
        </row>
        <row r="214">
          <cell r="A214">
            <v>5960</v>
          </cell>
          <cell r="B214" t="str">
            <v>ORLANDO, FL</v>
          </cell>
        </row>
        <row r="215">
          <cell r="A215">
            <v>5990</v>
          </cell>
          <cell r="B215" t="str">
            <v>OWENSBORO, KY</v>
          </cell>
        </row>
        <row r="216">
          <cell r="A216">
            <v>6000</v>
          </cell>
          <cell r="B216" t="str">
            <v>OXNARD-VENTURA, CA</v>
          </cell>
        </row>
        <row r="217">
          <cell r="A217">
            <v>6015</v>
          </cell>
          <cell r="B217" t="str">
            <v>PANAMA CITY, FL</v>
          </cell>
        </row>
        <row r="218">
          <cell r="A218">
            <v>6020</v>
          </cell>
          <cell r="B218" t="str">
            <v>PARKERSBURG-MARIETTA, WV-OH</v>
          </cell>
        </row>
        <row r="219">
          <cell r="A219">
            <v>6025</v>
          </cell>
          <cell r="B219" t="str">
            <v>PASCAGOULA, MS</v>
          </cell>
        </row>
        <row r="220">
          <cell r="A220">
            <v>6080</v>
          </cell>
          <cell r="B220" t="str">
            <v>PENSACOLA, FL</v>
          </cell>
        </row>
        <row r="221">
          <cell r="A221">
            <v>6120</v>
          </cell>
          <cell r="B221" t="str">
            <v>PEORIA, IL</v>
          </cell>
        </row>
        <row r="222">
          <cell r="A222">
            <v>6160</v>
          </cell>
          <cell r="B222" t="str">
            <v>PHILADELPHIA, PA-NJ</v>
          </cell>
        </row>
        <row r="223">
          <cell r="A223">
            <v>6200</v>
          </cell>
          <cell r="B223" t="str">
            <v>PHOENIX, AZ</v>
          </cell>
        </row>
        <row r="224">
          <cell r="A224">
            <v>6240</v>
          </cell>
          <cell r="B224" t="str">
            <v>PINE BLUFF, AR</v>
          </cell>
        </row>
        <row r="225">
          <cell r="A225">
            <v>6280</v>
          </cell>
          <cell r="B225" t="str">
            <v>PITTSBURGH, PA</v>
          </cell>
        </row>
        <row r="226">
          <cell r="A226">
            <v>6323</v>
          </cell>
          <cell r="B226" t="str">
            <v>PITTSFIELD, MA</v>
          </cell>
        </row>
        <row r="227">
          <cell r="A227">
            <v>6403</v>
          </cell>
          <cell r="B227" t="str">
            <v>PORTLAND, ME</v>
          </cell>
        </row>
        <row r="228">
          <cell r="A228">
            <v>6440</v>
          </cell>
          <cell r="B228" t="str">
            <v>PORTLAND, OR</v>
          </cell>
        </row>
        <row r="229">
          <cell r="A229">
            <v>6453</v>
          </cell>
          <cell r="B229" t="str">
            <v>PORTSMOUTH-DOVER-ROCHESTER, NH</v>
          </cell>
        </row>
        <row r="230">
          <cell r="A230">
            <v>6460</v>
          </cell>
          <cell r="B230" t="str">
            <v>POUGHKEEPSIE, NY</v>
          </cell>
        </row>
        <row r="231">
          <cell r="A231">
            <v>6483</v>
          </cell>
          <cell r="B231" t="str">
            <v>PROVIDENCE-PAWTUCKET-WOONSOCKE</v>
          </cell>
        </row>
        <row r="232">
          <cell r="A232">
            <v>6520</v>
          </cell>
          <cell r="B232" t="str">
            <v>PROVO-OREM, UT</v>
          </cell>
        </row>
        <row r="233">
          <cell r="A233">
            <v>6560</v>
          </cell>
          <cell r="B233" t="str">
            <v>PUEBLO, CO</v>
          </cell>
        </row>
        <row r="234">
          <cell r="A234">
            <v>6600</v>
          </cell>
          <cell r="B234" t="str">
            <v>RACINE, WI</v>
          </cell>
        </row>
        <row r="235">
          <cell r="A235">
            <v>6640</v>
          </cell>
          <cell r="B235" t="str">
            <v>RALEIGH-DURHAM, NC</v>
          </cell>
        </row>
        <row r="236">
          <cell r="A236">
            <v>6660</v>
          </cell>
          <cell r="B236" t="str">
            <v>RAPID CITY, SD</v>
          </cell>
        </row>
        <row r="237">
          <cell r="A237">
            <v>6680</v>
          </cell>
          <cell r="B237" t="str">
            <v>READING, PA</v>
          </cell>
        </row>
        <row r="238">
          <cell r="A238">
            <v>6690</v>
          </cell>
          <cell r="B238" t="str">
            <v>REDDING, CA</v>
          </cell>
        </row>
        <row r="239">
          <cell r="A239">
            <v>6720</v>
          </cell>
          <cell r="B239" t="str">
            <v>RENO, NV</v>
          </cell>
        </row>
        <row r="240">
          <cell r="A240">
            <v>6740</v>
          </cell>
          <cell r="B240" t="str">
            <v>RICHLAND-KENNEWICK-PASCO, WA</v>
          </cell>
        </row>
        <row r="241">
          <cell r="A241">
            <v>6760</v>
          </cell>
          <cell r="B241" t="str">
            <v>RICHMOND-PETERSBURG, VA</v>
          </cell>
        </row>
        <row r="242">
          <cell r="A242">
            <v>6780</v>
          </cell>
          <cell r="B242" t="str">
            <v>RIVERSIDE-SAN BERNARDINO, CA</v>
          </cell>
        </row>
        <row r="243">
          <cell r="A243">
            <v>6800</v>
          </cell>
          <cell r="B243" t="str">
            <v>ROANOKE, VA</v>
          </cell>
        </row>
        <row r="244">
          <cell r="A244">
            <v>6820</v>
          </cell>
          <cell r="B244" t="str">
            <v>ROCHESTER, MN</v>
          </cell>
        </row>
        <row r="245">
          <cell r="A245">
            <v>6840</v>
          </cell>
          <cell r="B245" t="str">
            <v>ROCHESTER, NY</v>
          </cell>
        </row>
        <row r="246">
          <cell r="A246">
            <v>6880</v>
          </cell>
          <cell r="B246" t="str">
            <v>ROCKFORD, IL</v>
          </cell>
        </row>
        <row r="247">
          <cell r="A247">
            <v>6920</v>
          </cell>
          <cell r="B247" t="str">
            <v>SACRAMENTO, CA</v>
          </cell>
        </row>
        <row r="248">
          <cell r="A248">
            <v>6960</v>
          </cell>
          <cell r="B248" t="str">
            <v>SAGINAW-BAY CITY-MIDLAND, MI</v>
          </cell>
        </row>
        <row r="249">
          <cell r="A249">
            <v>6980</v>
          </cell>
          <cell r="B249" t="str">
            <v>ST. CLOUD, MN</v>
          </cell>
        </row>
        <row r="250">
          <cell r="A250">
            <v>7000</v>
          </cell>
          <cell r="B250" t="str">
            <v>ST. JOSEPH, MO</v>
          </cell>
        </row>
        <row r="251">
          <cell r="A251">
            <v>7040</v>
          </cell>
          <cell r="B251" t="str">
            <v>ST. LOUIS, MO-IL</v>
          </cell>
        </row>
        <row r="252">
          <cell r="A252">
            <v>7080</v>
          </cell>
          <cell r="B252" t="str">
            <v>SALEM, OR</v>
          </cell>
        </row>
        <row r="253">
          <cell r="A253">
            <v>7120</v>
          </cell>
          <cell r="B253" t="str">
            <v>SALINAS-SEASIDE-MONTEREY, CA</v>
          </cell>
        </row>
        <row r="254">
          <cell r="A254">
            <v>7160</v>
          </cell>
          <cell r="B254" t="str">
            <v>SALT LAKE CITY-OGDEN, UT</v>
          </cell>
        </row>
        <row r="255">
          <cell r="A255">
            <v>7200</v>
          </cell>
          <cell r="B255" t="str">
            <v>SAN ANGELO, TX</v>
          </cell>
        </row>
        <row r="256">
          <cell r="A256">
            <v>7240</v>
          </cell>
          <cell r="B256" t="str">
            <v>SAN ANTONIO, TX</v>
          </cell>
        </row>
        <row r="257">
          <cell r="A257">
            <v>7320</v>
          </cell>
          <cell r="B257" t="str">
            <v>SAN DIEGO, CA</v>
          </cell>
        </row>
        <row r="258">
          <cell r="A258">
            <v>7360</v>
          </cell>
          <cell r="B258" t="str">
            <v>SAN FRANCISCO, CA</v>
          </cell>
        </row>
        <row r="259">
          <cell r="A259">
            <v>7400</v>
          </cell>
          <cell r="B259" t="str">
            <v>SAN JOSE, CA</v>
          </cell>
        </row>
        <row r="260">
          <cell r="A260">
            <v>7480</v>
          </cell>
          <cell r="B260" t="str">
            <v>SANTA BARBARA-SANTA MARIA-LOMP</v>
          </cell>
        </row>
        <row r="261">
          <cell r="A261">
            <v>7485</v>
          </cell>
          <cell r="B261" t="str">
            <v>SANTA CRUZ, CA</v>
          </cell>
        </row>
        <row r="262">
          <cell r="A262">
            <v>7490</v>
          </cell>
          <cell r="B262" t="str">
            <v>SANTA FE, NM</v>
          </cell>
        </row>
        <row r="263">
          <cell r="A263">
            <v>7500</v>
          </cell>
          <cell r="B263" t="str">
            <v>SANTA ROSA-PETALUMA, CA</v>
          </cell>
        </row>
        <row r="264">
          <cell r="A264">
            <v>7510</v>
          </cell>
          <cell r="B264" t="str">
            <v>SARASOTA, FL</v>
          </cell>
        </row>
        <row r="265">
          <cell r="A265">
            <v>7520</v>
          </cell>
          <cell r="B265" t="str">
            <v>SAVANNAH, GA</v>
          </cell>
        </row>
        <row r="266">
          <cell r="A266">
            <v>7560</v>
          </cell>
          <cell r="B266" t="str">
            <v>SCRANTON--WILKES-BARRE, PA</v>
          </cell>
        </row>
        <row r="267">
          <cell r="A267">
            <v>7600</v>
          </cell>
          <cell r="B267" t="str">
            <v>SEATTLE, WA</v>
          </cell>
        </row>
        <row r="268">
          <cell r="A268">
            <v>7610</v>
          </cell>
          <cell r="B268" t="str">
            <v>SHARON, PA</v>
          </cell>
        </row>
        <row r="269">
          <cell r="A269">
            <v>7620</v>
          </cell>
          <cell r="B269" t="str">
            <v>SHEBOYGAN, WI</v>
          </cell>
        </row>
        <row r="270">
          <cell r="A270">
            <v>7640</v>
          </cell>
          <cell r="B270" t="str">
            <v>SHERMAN-DENISON, TX</v>
          </cell>
        </row>
        <row r="271">
          <cell r="A271">
            <v>7680</v>
          </cell>
          <cell r="B271" t="str">
            <v>SHREVEPORT, LA</v>
          </cell>
        </row>
        <row r="272">
          <cell r="A272">
            <v>7720</v>
          </cell>
          <cell r="B272" t="str">
            <v>SIOUX CITY, IA-NE</v>
          </cell>
        </row>
        <row r="273">
          <cell r="A273">
            <v>7760</v>
          </cell>
          <cell r="B273" t="str">
            <v>SIOUX FALLS, SD</v>
          </cell>
        </row>
        <row r="274">
          <cell r="A274">
            <v>7800</v>
          </cell>
          <cell r="B274" t="str">
            <v>SOUTH BEND-MISHAWAKA, IN</v>
          </cell>
        </row>
        <row r="275">
          <cell r="A275">
            <v>7840</v>
          </cell>
          <cell r="B275" t="str">
            <v>SPOKANE, WA</v>
          </cell>
        </row>
        <row r="276">
          <cell r="A276">
            <v>7880</v>
          </cell>
          <cell r="B276" t="str">
            <v>SPRINGFIELD, IL</v>
          </cell>
        </row>
        <row r="277">
          <cell r="A277">
            <v>7920</v>
          </cell>
          <cell r="B277" t="str">
            <v>SPRINGFIELD, MO</v>
          </cell>
        </row>
        <row r="278">
          <cell r="A278">
            <v>8003</v>
          </cell>
          <cell r="B278" t="str">
            <v>SPRINGFIELD, MA</v>
          </cell>
        </row>
        <row r="279">
          <cell r="A279">
            <v>8050</v>
          </cell>
          <cell r="B279" t="str">
            <v>STATE COLLEGE, PA</v>
          </cell>
        </row>
        <row r="280">
          <cell r="A280">
            <v>8080</v>
          </cell>
          <cell r="B280" t="str">
            <v>STEUBENVILLE-WEIRTON, OH-WV</v>
          </cell>
        </row>
        <row r="281">
          <cell r="A281">
            <v>8120</v>
          </cell>
          <cell r="B281" t="str">
            <v>STOCKTON, CA</v>
          </cell>
        </row>
        <row r="282">
          <cell r="A282">
            <v>8160</v>
          </cell>
          <cell r="B282" t="str">
            <v>SYRACUSE, NY</v>
          </cell>
        </row>
        <row r="283">
          <cell r="A283">
            <v>8200</v>
          </cell>
          <cell r="B283" t="str">
            <v>TACOMA, WA</v>
          </cell>
        </row>
        <row r="284">
          <cell r="A284">
            <v>8240</v>
          </cell>
          <cell r="B284" t="str">
            <v>TALLAHASSEE, FL</v>
          </cell>
        </row>
        <row r="285">
          <cell r="A285">
            <v>8280</v>
          </cell>
          <cell r="B285" t="str">
            <v>TAMPA-ST. PETERSBURG-CLEARWATE</v>
          </cell>
        </row>
        <row r="286">
          <cell r="A286">
            <v>8320</v>
          </cell>
          <cell r="B286" t="str">
            <v>TERRE HAUTE, IN</v>
          </cell>
        </row>
        <row r="287">
          <cell r="A287">
            <v>8360</v>
          </cell>
          <cell r="B287" t="str">
            <v>TEXARKANA, TX-TEXARKANA, AR</v>
          </cell>
        </row>
        <row r="288">
          <cell r="A288">
            <v>8400</v>
          </cell>
          <cell r="B288" t="str">
            <v>TOLEDO, OH</v>
          </cell>
        </row>
        <row r="289">
          <cell r="A289">
            <v>8440</v>
          </cell>
          <cell r="B289" t="str">
            <v>TOPEKA, KS</v>
          </cell>
        </row>
        <row r="290">
          <cell r="A290">
            <v>8480</v>
          </cell>
          <cell r="B290" t="str">
            <v>TRENTON, NJ</v>
          </cell>
        </row>
        <row r="291">
          <cell r="A291">
            <v>8520</v>
          </cell>
          <cell r="B291" t="str">
            <v>TUCSON, AZ</v>
          </cell>
        </row>
        <row r="292">
          <cell r="A292">
            <v>8560</v>
          </cell>
          <cell r="B292" t="str">
            <v>TULSA, OK</v>
          </cell>
        </row>
        <row r="293">
          <cell r="A293">
            <v>8600</v>
          </cell>
          <cell r="B293" t="str">
            <v>TUSCALOOSA, AL</v>
          </cell>
        </row>
        <row r="294">
          <cell r="A294">
            <v>8640</v>
          </cell>
          <cell r="B294" t="str">
            <v>TYLER, TX</v>
          </cell>
        </row>
        <row r="295">
          <cell r="A295">
            <v>8680</v>
          </cell>
          <cell r="B295" t="str">
            <v>UTICA-ROME, NY</v>
          </cell>
        </row>
        <row r="296">
          <cell r="A296">
            <v>8720</v>
          </cell>
          <cell r="B296" t="str">
            <v>VALLEJO-FAIRFIELD-NAPA, CA</v>
          </cell>
        </row>
        <row r="297">
          <cell r="A297">
            <v>8725</v>
          </cell>
          <cell r="B297" t="str">
            <v>VANCOUVER, WA</v>
          </cell>
        </row>
        <row r="298">
          <cell r="A298">
            <v>8750</v>
          </cell>
          <cell r="B298" t="str">
            <v>VICTORIA, TX</v>
          </cell>
        </row>
        <row r="299">
          <cell r="A299">
            <v>8760</v>
          </cell>
          <cell r="B299" t="str">
            <v>VINELAND-MILLVILLE-BRIDGETON,</v>
          </cell>
        </row>
        <row r="300">
          <cell r="A300">
            <v>8780</v>
          </cell>
          <cell r="B300" t="str">
            <v>VISALIA-TULARE-PORTERVILLE, CA</v>
          </cell>
        </row>
        <row r="301">
          <cell r="A301">
            <v>8800</v>
          </cell>
          <cell r="B301" t="str">
            <v>WACO, TX</v>
          </cell>
        </row>
        <row r="302">
          <cell r="A302">
            <v>8840</v>
          </cell>
          <cell r="B302" t="str">
            <v>WASHINGTON, DC-MD-VA</v>
          </cell>
        </row>
        <row r="303">
          <cell r="A303">
            <v>8920</v>
          </cell>
          <cell r="B303" t="str">
            <v>WATERLOO-CEDAR FALLS, IA</v>
          </cell>
        </row>
        <row r="304">
          <cell r="A304">
            <v>8940</v>
          </cell>
          <cell r="B304" t="str">
            <v>WAUSAU, WI</v>
          </cell>
        </row>
        <row r="305">
          <cell r="A305">
            <v>8960</v>
          </cell>
          <cell r="B305" t="str">
            <v>WEST PALM BEACH-BOCA RATON-DEL</v>
          </cell>
        </row>
        <row r="306">
          <cell r="A306">
            <v>9000</v>
          </cell>
          <cell r="B306" t="str">
            <v>WHEELING, WV-OH</v>
          </cell>
        </row>
        <row r="307">
          <cell r="A307">
            <v>9040</v>
          </cell>
          <cell r="B307" t="str">
            <v>WICHITA, KS</v>
          </cell>
        </row>
        <row r="308">
          <cell r="A308">
            <v>9080</v>
          </cell>
          <cell r="B308" t="str">
            <v>WICHITA FALLS, TX</v>
          </cell>
        </row>
        <row r="309">
          <cell r="A309">
            <v>9140</v>
          </cell>
          <cell r="B309" t="str">
            <v>WILLIAMSPORT, PA</v>
          </cell>
        </row>
        <row r="310">
          <cell r="A310">
            <v>9160</v>
          </cell>
          <cell r="B310" t="str">
            <v>WILMINGTON, DE-NJ-MD</v>
          </cell>
        </row>
        <row r="311">
          <cell r="A311">
            <v>9200</v>
          </cell>
          <cell r="B311" t="str">
            <v>WILMINGTON, NC</v>
          </cell>
        </row>
        <row r="312">
          <cell r="A312">
            <v>9243</v>
          </cell>
          <cell r="B312" t="str">
            <v>WORCESTER-FITCHBURG-LEOMINSTER</v>
          </cell>
        </row>
        <row r="313">
          <cell r="A313">
            <v>9260</v>
          </cell>
          <cell r="B313" t="str">
            <v>YAKIMA, WA</v>
          </cell>
        </row>
        <row r="314">
          <cell r="A314">
            <v>9280</v>
          </cell>
          <cell r="B314" t="str">
            <v>YORK, PA</v>
          </cell>
        </row>
        <row r="315">
          <cell r="A315">
            <v>9320</v>
          </cell>
          <cell r="B315" t="str">
            <v>YOUNGSTOWN-WARREN, OH</v>
          </cell>
        </row>
        <row r="316">
          <cell r="A316">
            <v>9340</v>
          </cell>
          <cell r="B316" t="str">
            <v>YUBA CITY, CA</v>
          </cell>
        </row>
        <row r="317">
          <cell r="A317">
            <v>9999</v>
          </cell>
          <cell r="B317" t="str">
            <v>OTHER MSA</v>
          </cell>
        </row>
      </sheetData>
      <sheetData sheetId="5">
        <row r="1">
          <cell r="A1">
            <v>10102</v>
          </cell>
          <cell r="B1" t="str">
            <v>HUNTSVILLE, AL</v>
          </cell>
        </row>
        <row r="2">
          <cell r="A2">
            <v>10103</v>
          </cell>
          <cell r="B2" t="str">
            <v>TUSCALOOSA</v>
          </cell>
        </row>
        <row r="3">
          <cell r="A3">
            <v>10104</v>
          </cell>
          <cell r="B3" t="str">
            <v>ALABAMA NORTH AREA</v>
          </cell>
        </row>
        <row r="4">
          <cell r="A4">
            <v>10202</v>
          </cell>
          <cell r="B4" t="str">
            <v>MONTGOMERY, AL</v>
          </cell>
        </row>
        <row r="5">
          <cell r="A5">
            <v>10203</v>
          </cell>
          <cell r="B5" t="str">
            <v>DOTHAN, AL</v>
          </cell>
        </row>
        <row r="6">
          <cell r="A6">
            <v>10204</v>
          </cell>
          <cell r="B6" t="str">
            <v>ALABAMA SOUTH AREA</v>
          </cell>
        </row>
        <row r="7">
          <cell r="A7">
            <v>10301</v>
          </cell>
          <cell r="B7" t="str">
            <v>BIRMINGHAM DOWNTOWN-AIRPORT</v>
          </cell>
        </row>
        <row r="8">
          <cell r="A8">
            <v>10302</v>
          </cell>
          <cell r="B8" t="str">
            <v>BIRMINGHAM AREA</v>
          </cell>
        </row>
        <row r="9">
          <cell r="A9">
            <v>10401</v>
          </cell>
          <cell r="B9" t="str">
            <v>MOBILE, AL (CITY OF)</v>
          </cell>
        </row>
        <row r="10">
          <cell r="A10">
            <v>10402</v>
          </cell>
          <cell r="B10" t="str">
            <v>MOBILE, AL (AREA)</v>
          </cell>
        </row>
        <row r="11">
          <cell r="A11">
            <v>20101</v>
          </cell>
          <cell r="B11" t="str">
            <v>ALASKA</v>
          </cell>
        </row>
        <row r="12">
          <cell r="A12">
            <v>40101</v>
          </cell>
          <cell r="B12" t="str">
            <v>PHOENIX WEST</v>
          </cell>
        </row>
        <row r="13">
          <cell r="A13">
            <v>40102</v>
          </cell>
          <cell r="B13" t="str">
            <v>SCOTTSDALE, AZ</v>
          </cell>
        </row>
        <row r="14">
          <cell r="A14">
            <v>40103</v>
          </cell>
          <cell r="B14" t="str">
            <v>TEMPE, AZ</v>
          </cell>
        </row>
        <row r="15">
          <cell r="A15">
            <v>40104</v>
          </cell>
          <cell r="B15" t="str">
            <v>PHOENIX AIRPORT</v>
          </cell>
        </row>
        <row r="16">
          <cell r="A16">
            <v>40105</v>
          </cell>
          <cell r="B16" t="str">
            <v>MESA/CHANDLER AZ</v>
          </cell>
        </row>
        <row r="17">
          <cell r="A17">
            <v>40106</v>
          </cell>
          <cell r="B17" t="str">
            <v>PHOENIX EAST</v>
          </cell>
        </row>
        <row r="18">
          <cell r="A18">
            <v>40201</v>
          </cell>
          <cell r="B18" t="str">
            <v>FLAGSTAFF</v>
          </cell>
        </row>
        <row r="19">
          <cell r="A19">
            <v>40202</v>
          </cell>
          <cell r="B19" t="str">
            <v>EASTERN ARIZONA</v>
          </cell>
        </row>
        <row r="20">
          <cell r="A20">
            <v>40203</v>
          </cell>
          <cell r="B20" t="str">
            <v>ARIZONA NORTH</v>
          </cell>
        </row>
        <row r="21">
          <cell r="A21">
            <v>40204</v>
          </cell>
          <cell r="B21" t="str">
            <v>ARIZONA WEST AREA</v>
          </cell>
        </row>
        <row r="22">
          <cell r="A22">
            <v>40205</v>
          </cell>
          <cell r="B22" t="str">
            <v>ARIZONA CENTRAL AREA</v>
          </cell>
        </row>
        <row r="23">
          <cell r="A23">
            <v>40206</v>
          </cell>
          <cell r="B23" t="str">
            <v>ARIZONA SOUTHEAST AREA</v>
          </cell>
        </row>
        <row r="24">
          <cell r="A24">
            <v>40301</v>
          </cell>
          <cell r="B24" t="str">
            <v>TUCSON/EAST TUCSON</v>
          </cell>
        </row>
        <row r="25">
          <cell r="A25">
            <v>40302</v>
          </cell>
          <cell r="B25" t="str">
            <v>TUCSON SOUTH/AIRPORT</v>
          </cell>
        </row>
        <row r="26">
          <cell r="A26">
            <v>40303</v>
          </cell>
          <cell r="B26" t="str">
            <v>TUCSON NORTH/WEST</v>
          </cell>
        </row>
        <row r="27">
          <cell r="A27">
            <v>50101</v>
          </cell>
          <cell r="B27" t="str">
            <v>LITTLE ROCK NORTH-EAST</v>
          </cell>
        </row>
        <row r="28">
          <cell r="A28">
            <v>50102</v>
          </cell>
          <cell r="B28" t="str">
            <v>LITTLE ROCK</v>
          </cell>
        </row>
        <row r="29">
          <cell r="A29">
            <v>50201</v>
          </cell>
          <cell r="B29" t="str">
            <v>FAYETTEVILLE-FORT SMITH</v>
          </cell>
        </row>
        <row r="30">
          <cell r="A30">
            <v>50202</v>
          </cell>
          <cell r="B30" t="str">
            <v>ARKANSAS NORTH AREA</v>
          </cell>
        </row>
        <row r="31">
          <cell r="A31">
            <v>50301</v>
          </cell>
          <cell r="B31" t="str">
            <v>HOT SPRINGS</v>
          </cell>
        </row>
        <row r="32">
          <cell r="A32">
            <v>50302</v>
          </cell>
          <cell r="B32" t="str">
            <v>ARKANSAS SOUTH AREA</v>
          </cell>
        </row>
        <row r="33">
          <cell r="A33">
            <v>60101</v>
          </cell>
          <cell r="B33" t="str">
            <v>ANAHEIM</v>
          </cell>
        </row>
        <row r="34">
          <cell r="A34">
            <v>60102</v>
          </cell>
          <cell r="B34" t="str">
            <v>ORANGE COUNTY NORTHWEST</v>
          </cell>
        </row>
        <row r="35">
          <cell r="A35">
            <v>60103</v>
          </cell>
          <cell r="B35" t="str">
            <v>ORANGE COUNTY SOUTH-WEST</v>
          </cell>
        </row>
        <row r="36">
          <cell r="A36">
            <v>60104</v>
          </cell>
          <cell r="B36" t="str">
            <v>ORANGE COUNTY SOUTH-EAST</v>
          </cell>
        </row>
        <row r="37">
          <cell r="A37">
            <v>60201</v>
          </cell>
          <cell r="B37" t="str">
            <v>LOS ANGELES</v>
          </cell>
        </row>
        <row r="38">
          <cell r="A38">
            <v>60202</v>
          </cell>
          <cell r="B38" t="str">
            <v>HOLLYWOOD-BEVERLY HILLS</v>
          </cell>
        </row>
        <row r="39">
          <cell r="A39">
            <v>60203</v>
          </cell>
          <cell r="B39" t="str">
            <v>LOS ANGELES AIRPORT</v>
          </cell>
        </row>
        <row r="40">
          <cell r="A40">
            <v>60204</v>
          </cell>
          <cell r="B40" t="str">
            <v>LOS ANGELES SOUTHWEST</v>
          </cell>
        </row>
        <row r="41">
          <cell r="A41">
            <v>60205</v>
          </cell>
          <cell r="B41" t="str">
            <v>LOS ANGELES SOUTHEAST</v>
          </cell>
        </row>
        <row r="42">
          <cell r="A42">
            <v>60206</v>
          </cell>
          <cell r="B42" t="str">
            <v>LONG BEACH</v>
          </cell>
        </row>
        <row r="43">
          <cell r="A43">
            <v>60207</v>
          </cell>
          <cell r="B43" t="str">
            <v>LOS ANGELES EAST</v>
          </cell>
        </row>
        <row r="44">
          <cell r="A44">
            <v>60208</v>
          </cell>
          <cell r="B44" t="str">
            <v>LOS ANGELES NORTH</v>
          </cell>
        </row>
        <row r="45">
          <cell r="A45">
            <v>60209</v>
          </cell>
          <cell r="B45" t="str">
            <v>PASADENA/GLENDALE/BURBANK</v>
          </cell>
        </row>
        <row r="46">
          <cell r="A46">
            <v>60301</v>
          </cell>
          <cell r="B46" t="str">
            <v>OAKLAND-BERKELEY</v>
          </cell>
        </row>
        <row r="47">
          <cell r="A47">
            <v>60302</v>
          </cell>
          <cell r="B47" t="str">
            <v>OAKLAND CA AREA</v>
          </cell>
        </row>
        <row r="48">
          <cell r="A48">
            <v>60303</v>
          </cell>
          <cell r="B48" t="str">
            <v>CONCORD/WALNUT CREEK, CA</v>
          </cell>
        </row>
        <row r="49">
          <cell r="A49">
            <v>60402</v>
          </cell>
          <cell r="B49" t="str">
            <v>RIVERSIDE COUNTY AREA</v>
          </cell>
        </row>
        <row r="50">
          <cell r="A50">
            <v>60403</v>
          </cell>
          <cell r="B50" t="str">
            <v>SAN BERNARDINO</v>
          </cell>
        </row>
        <row r="51">
          <cell r="A51">
            <v>60404</v>
          </cell>
          <cell r="B51" t="str">
            <v>SAN BERNARDINO AREA</v>
          </cell>
        </row>
        <row r="52">
          <cell r="A52">
            <v>60405</v>
          </cell>
          <cell r="B52" t="str">
            <v>ONTARIO/AIRPORT</v>
          </cell>
        </row>
        <row r="53">
          <cell r="A53">
            <v>60501</v>
          </cell>
          <cell r="B53" t="str">
            <v>SACRAMENTO DOWNTOWN &amp; NORTH</v>
          </cell>
        </row>
        <row r="54">
          <cell r="A54">
            <v>60502</v>
          </cell>
          <cell r="B54" t="str">
            <v>SOUTH LAKE TAHOE</v>
          </cell>
        </row>
        <row r="55">
          <cell r="A55">
            <v>60503</v>
          </cell>
          <cell r="B55" t="str">
            <v>SACRAMENTO EAST</v>
          </cell>
        </row>
        <row r="56">
          <cell r="A56">
            <v>60601</v>
          </cell>
          <cell r="B56" t="str">
            <v>SAN DIEGO</v>
          </cell>
        </row>
        <row r="57">
          <cell r="A57">
            <v>60602</v>
          </cell>
          <cell r="B57" t="str">
            <v>MISSION VALLEY</v>
          </cell>
        </row>
        <row r="58">
          <cell r="A58">
            <v>60603</v>
          </cell>
          <cell r="B58" t="str">
            <v>LA JOLLA-POINT LOMA</v>
          </cell>
        </row>
        <row r="59">
          <cell r="A59">
            <v>60604</v>
          </cell>
          <cell r="B59" t="str">
            <v>SAN DIEGO SOUTH</v>
          </cell>
        </row>
        <row r="60">
          <cell r="A60">
            <v>60605</v>
          </cell>
          <cell r="B60" t="str">
            <v>SAN DIEGO NORTH</v>
          </cell>
        </row>
        <row r="61">
          <cell r="A61">
            <v>60606</v>
          </cell>
          <cell r="B61" t="str">
            <v>CARLSBAD-OCEANSIDE</v>
          </cell>
        </row>
        <row r="62">
          <cell r="A62">
            <v>60701</v>
          </cell>
          <cell r="B62" t="str">
            <v>SAN FRANCISCO - MARKET ST</v>
          </cell>
        </row>
        <row r="63">
          <cell r="A63">
            <v>60702</v>
          </cell>
          <cell r="B63" t="str">
            <v>SAN FRANCISCO AREA</v>
          </cell>
        </row>
        <row r="64">
          <cell r="A64">
            <v>60703</v>
          </cell>
          <cell r="B64" t="str">
            <v>SAN FRANCISCO AIRPORT</v>
          </cell>
        </row>
        <row r="65">
          <cell r="A65">
            <v>60704</v>
          </cell>
          <cell r="B65" t="str">
            <v>S.F.- NOB HILL/WHARF</v>
          </cell>
        </row>
        <row r="66">
          <cell r="A66">
            <v>60801</v>
          </cell>
          <cell r="B66" t="str">
            <v>SAN JOSE/CAMPBELL</v>
          </cell>
        </row>
        <row r="67">
          <cell r="A67">
            <v>60802</v>
          </cell>
          <cell r="B67" t="str">
            <v>SAN JOSE CA AREA</v>
          </cell>
        </row>
        <row r="68">
          <cell r="A68">
            <v>60803</v>
          </cell>
          <cell r="B68" t="str">
            <v>SAN JOSE AIRPORT</v>
          </cell>
        </row>
        <row r="69">
          <cell r="A69">
            <v>60901</v>
          </cell>
          <cell r="B69" t="str">
            <v>BAKERSFIELD, CA</v>
          </cell>
        </row>
        <row r="70">
          <cell r="A70">
            <v>60902</v>
          </cell>
          <cell r="B70" t="str">
            <v>FRESNO, CA</v>
          </cell>
        </row>
        <row r="71">
          <cell r="A71">
            <v>60906</v>
          </cell>
          <cell r="B71" t="str">
            <v>INYO/KINGS/TULARE, CA</v>
          </cell>
        </row>
        <row r="72">
          <cell r="A72">
            <v>61001</v>
          </cell>
          <cell r="B72" t="str">
            <v>SANTA ROSA-PETALUMA, CA</v>
          </cell>
        </row>
        <row r="73">
          <cell r="A73">
            <v>61002</v>
          </cell>
          <cell r="B73" t="str">
            <v>REDDING/CHICO</v>
          </cell>
        </row>
        <row r="74">
          <cell r="A74">
            <v>61003</v>
          </cell>
          <cell r="B74" t="str">
            <v>VALLEJO-FAIRFIELD-NAPA, CA</v>
          </cell>
        </row>
        <row r="75">
          <cell r="A75">
            <v>61004</v>
          </cell>
          <cell r="B75" t="str">
            <v>CALIFORNIA NORTH AREA</v>
          </cell>
        </row>
        <row r="76">
          <cell r="A76">
            <v>61005</v>
          </cell>
          <cell r="B76" t="str">
            <v>EUREKA/CRESCENT CITY</v>
          </cell>
        </row>
        <row r="77">
          <cell r="A77">
            <v>61101</v>
          </cell>
          <cell r="B77" t="str">
            <v>STOCKTON AREA</v>
          </cell>
        </row>
        <row r="78">
          <cell r="A78">
            <v>61102</v>
          </cell>
          <cell r="B78" t="str">
            <v>CALIFORNIA CENTRAL AREA</v>
          </cell>
        </row>
        <row r="79">
          <cell r="A79">
            <v>61201</v>
          </cell>
          <cell r="B79" t="str">
            <v>OXNARD CA</v>
          </cell>
        </row>
        <row r="80">
          <cell r="A80">
            <v>61202</v>
          </cell>
          <cell r="B80" t="str">
            <v>VENTURA CA</v>
          </cell>
        </row>
        <row r="81">
          <cell r="A81">
            <v>61301</v>
          </cell>
          <cell r="B81" t="str">
            <v>SANTA BARBARA</v>
          </cell>
        </row>
        <row r="82">
          <cell r="A82">
            <v>61302</v>
          </cell>
          <cell r="B82" t="str">
            <v>SANTA MARIA/LOMPOC</v>
          </cell>
        </row>
        <row r="83">
          <cell r="A83">
            <v>61401</v>
          </cell>
          <cell r="B83" t="str">
            <v>SAN LUIS OBISPO NORTH</v>
          </cell>
        </row>
        <row r="84">
          <cell r="A84">
            <v>61402</v>
          </cell>
          <cell r="B84" t="str">
            <v>SAN LUIS OBISPO SOUTH</v>
          </cell>
        </row>
        <row r="85">
          <cell r="A85">
            <v>61501</v>
          </cell>
          <cell r="B85" t="str">
            <v>MONTEREY</v>
          </cell>
        </row>
        <row r="86">
          <cell r="A86">
            <v>61502</v>
          </cell>
          <cell r="B86" t="str">
            <v>SALINAS</v>
          </cell>
        </row>
        <row r="87">
          <cell r="A87">
            <v>61601</v>
          </cell>
          <cell r="B87" t="str">
            <v>PALM SPRINGS (CITY OF)</v>
          </cell>
        </row>
        <row r="88">
          <cell r="A88">
            <v>61602</v>
          </cell>
          <cell r="B88" t="str">
            <v>PALM SPRINGS (AREA)</v>
          </cell>
        </row>
        <row r="89">
          <cell r="A89">
            <v>80101</v>
          </cell>
          <cell r="B89" t="str">
            <v>DENVER</v>
          </cell>
        </row>
        <row r="90">
          <cell r="A90">
            <v>80102</v>
          </cell>
          <cell r="B90" t="str">
            <v>DENVER NORTH</v>
          </cell>
        </row>
        <row r="91">
          <cell r="A91">
            <v>80103</v>
          </cell>
          <cell r="B91" t="str">
            <v>DENVER AIRPORT/EAST</v>
          </cell>
        </row>
        <row r="92">
          <cell r="A92">
            <v>80104</v>
          </cell>
          <cell r="B92" t="str">
            <v>DENVER WEST</v>
          </cell>
        </row>
        <row r="93">
          <cell r="A93">
            <v>80105</v>
          </cell>
          <cell r="B93" t="str">
            <v>DENVER SOUTH</v>
          </cell>
        </row>
        <row r="94">
          <cell r="A94">
            <v>80106</v>
          </cell>
          <cell r="B94" t="str">
            <v>ENGLEWOOD</v>
          </cell>
        </row>
        <row r="95">
          <cell r="A95">
            <v>80202</v>
          </cell>
          <cell r="B95" t="str">
            <v>COLORADO EAST AREA</v>
          </cell>
        </row>
        <row r="96">
          <cell r="A96">
            <v>80301</v>
          </cell>
          <cell r="B96" t="str">
            <v>FORT COLLINS-LOVELAND, CO</v>
          </cell>
        </row>
        <row r="97">
          <cell r="A97">
            <v>80302</v>
          </cell>
          <cell r="B97" t="str">
            <v>BOULDER, CO</v>
          </cell>
        </row>
        <row r="98">
          <cell r="A98">
            <v>80303</v>
          </cell>
          <cell r="B98" t="str">
            <v>COLORADO NORTH-WEST</v>
          </cell>
        </row>
        <row r="99">
          <cell r="A99">
            <v>80304</v>
          </cell>
          <cell r="B99" t="str">
            <v>COLORADO SOUTH-WEST</v>
          </cell>
        </row>
        <row r="100">
          <cell r="A100">
            <v>80305</v>
          </cell>
          <cell r="B100" t="str">
            <v>COLORADO CENTRAL-WEST</v>
          </cell>
        </row>
        <row r="101">
          <cell r="A101">
            <v>80401</v>
          </cell>
          <cell r="B101" t="str">
            <v>COLORADO SPRINGS NORTH</v>
          </cell>
        </row>
        <row r="102">
          <cell r="A102">
            <v>80402</v>
          </cell>
          <cell r="B102" t="str">
            <v>COLORADO SPRINGS SO./AIRPORT</v>
          </cell>
        </row>
        <row r="103">
          <cell r="A103">
            <v>90201</v>
          </cell>
          <cell r="B103" t="str">
            <v>NEW HAVEN-WATERBURY, CT</v>
          </cell>
        </row>
        <row r="104">
          <cell r="A104">
            <v>90202</v>
          </cell>
          <cell r="B104" t="str">
            <v>CONNECTICUT EAST-WEST</v>
          </cell>
        </row>
        <row r="105">
          <cell r="A105">
            <v>90203</v>
          </cell>
          <cell r="B105" t="str">
            <v>BRIDGEPORT/DANBURY/STAMFORD</v>
          </cell>
        </row>
        <row r="106">
          <cell r="A106">
            <v>90301</v>
          </cell>
          <cell r="B106" t="str">
            <v>HARTFORD NORTH</v>
          </cell>
        </row>
        <row r="107">
          <cell r="A107">
            <v>90302</v>
          </cell>
          <cell r="B107" t="str">
            <v>HARTFORD SOUTH</v>
          </cell>
        </row>
        <row r="108">
          <cell r="A108">
            <v>100101</v>
          </cell>
          <cell r="B108" t="str">
            <v>WILMINGTON, DE-NJ-MD</v>
          </cell>
        </row>
        <row r="109">
          <cell r="A109">
            <v>100102</v>
          </cell>
          <cell r="B109" t="str">
            <v>DELAWARE AREA</v>
          </cell>
        </row>
        <row r="110">
          <cell r="A110">
            <v>110101</v>
          </cell>
          <cell r="B110" t="str">
            <v>WASHINGTON DC</v>
          </cell>
        </row>
        <row r="111">
          <cell r="A111">
            <v>110102</v>
          </cell>
          <cell r="B111" t="str">
            <v>BETHESDA-SILVER SPRING</v>
          </cell>
        </row>
        <row r="112">
          <cell r="A112">
            <v>110103</v>
          </cell>
          <cell r="B112" t="str">
            <v>SUBURBAN MARYLAND SOUTH</v>
          </cell>
        </row>
        <row r="113">
          <cell r="A113">
            <v>110104</v>
          </cell>
          <cell r="B113" t="str">
            <v>FREDERICK-ROCKVILLE</v>
          </cell>
        </row>
        <row r="114">
          <cell r="A114">
            <v>110105</v>
          </cell>
          <cell r="B114" t="str">
            <v>ARLINGTON</v>
          </cell>
        </row>
        <row r="115">
          <cell r="A115">
            <v>110106</v>
          </cell>
          <cell r="B115" t="str">
            <v>SUBURBAN VIRGINIA AREA</v>
          </cell>
        </row>
        <row r="116">
          <cell r="A116">
            <v>110107</v>
          </cell>
          <cell r="B116" t="str">
            <v>ALEXANDRIA</v>
          </cell>
        </row>
        <row r="117">
          <cell r="A117">
            <v>110108</v>
          </cell>
          <cell r="B117" t="str">
            <v>FAIRFAX</v>
          </cell>
        </row>
        <row r="118">
          <cell r="A118">
            <v>120101</v>
          </cell>
          <cell r="B118" t="str">
            <v>FORT LAUDERDALE NORTH</v>
          </cell>
        </row>
        <row r="119">
          <cell r="A119">
            <v>120102</v>
          </cell>
          <cell r="B119" t="str">
            <v>FORT LAUDERDALE EAST</v>
          </cell>
        </row>
        <row r="120">
          <cell r="A120">
            <v>120103</v>
          </cell>
          <cell r="B120" t="str">
            <v>FORT LAUDERDALE SOUTH</v>
          </cell>
        </row>
        <row r="121">
          <cell r="A121">
            <v>120104</v>
          </cell>
          <cell r="B121" t="str">
            <v>FORT LAUDERDALE WEST</v>
          </cell>
        </row>
        <row r="122">
          <cell r="A122">
            <v>120201</v>
          </cell>
          <cell r="B122" t="str">
            <v>JACKSONVILLE BEACH</v>
          </cell>
        </row>
        <row r="123">
          <cell r="A123">
            <v>120202</v>
          </cell>
          <cell r="B123" t="str">
            <v>ST. AUGUSTINE</v>
          </cell>
        </row>
        <row r="124">
          <cell r="A124">
            <v>120203</v>
          </cell>
          <cell r="B124" t="str">
            <v>JACKSONVILLE AIRPORT-NORTHEAST</v>
          </cell>
        </row>
        <row r="125">
          <cell r="A125">
            <v>120204</v>
          </cell>
          <cell r="B125" t="str">
            <v>JACKSONVILLE SOUTH-WEST</v>
          </cell>
        </row>
        <row r="126">
          <cell r="A126">
            <v>120205</v>
          </cell>
          <cell r="B126" t="str">
            <v>JACKSONVILLE, FL-S.E.</v>
          </cell>
        </row>
        <row r="127">
          <cell r="A127">
            <v>120301</v>
          </cell>
          <cell r="B127" t="str">
            <v>MIAMI DOWNTOWN-NORTH</v>
          </cell>
        </row>
        <row r="128">
          <cell r="A128">
            <v>120302</v>
          </cell>
          <cell r="B128" t="str">
            <v>MIAMI BEACH</v>
          </cell>
        </row>
        <row r="129">
          <cell r="A129">
            <v>120303</v>
          </cell>
          <cell r="B129" t="str">
            <v>MIAMI SOUTH</v>
          </cell>
        </row>
        <row r="130">
          <cell r="A130">
            <v>120304</v>
          </cell>
          <cell r="B130" t="str">
            <v>MIAMI AIRPORT-CIVIC CENTER</v>
          </cell>
        </row>
        <row r="131">
          <cell r="A131">
            <v>120401</v>
          </cell>
          <cell r="B131" t="str">
            <v>ORLANDO NORTH</v>
          </cell>
        </row>
        <row r="132">
          <cell r="A132">
            <v>120402</v>
          </cell>
          <cell r="B132" t="str">
            <v>ORLANDO</v>
          </cell>
        </row>
        <row r="133">
          <cell r="A133">
            <v>120403</v>
          </cell>
          <cell r="B133" t="str">
            <v>ORLANDO-INTERNATIONAL DRIVE</v>
          </cell>
        </row>
        <row r="134">
          <cell r="A134">
            <v>120404</v>
          </cell>
          <cell r="B134" t="str">
            <v>KISSIMMEE EAST</v>
          </cell>
        </row>
        <row r="135">
          <cell r="A135">
            <v>120405</v>
          </cell>
          <cell r="B135" t="str">
            <v>ORLANDO SOUTH</v>
          </cell>
        </row>
        <row r="136">
          <cell r="A136">
            <v>120406</v>
          </cell>
          <cell r="B136" t="str">
            <v>LAKE BUENA VISTA</v>
          </cell>
        </row>
        <row r="137">
          <cell r="A137">
            <v>120407</v>
          </cell>
          <cell r="B137" t="str">
            <v>KISSIMMEE WEST</v>
          </cell>
        </row>
        <row r="138">
          <cell r="A138">
            <v>120501</v>
          </cell>
          <cell r="B138" t="str">
            <v>TAMPA DOWNTOWN-AIRPORT</v>
          </cell>
        </row>
        <row r="139">
          <cell r="A139">
            <v>120502</v>
          </cell>
          <cell r="B139" t="str">
            <v>CLEARWATER</v>
          </cell>
        </row>
        <row r="140">
          <cell r="A140">
            <v>120503</v>
          </cell>
          <cell r="B140" t="str">
            <v>TARPON SPRINGS/NEW PORT RICHEY</v>
          </cell>
        </row>
        <row r="141">
          <cell r="A141">
            <v>120504</v>
          </cell>
          <cell r="B141" t="str">
            <v>ST. PETERSBURG</v>
          </cell>
        </row>
        <row r="142">
          <cell r="A142">
            <v>120505</v>
          </cell>
          <cell r="B142" t="str">
            <v>TAMPA NORTH-BUSCH GARDENS</v>
          </cell>
        </row>
        <row r="143">
          <cell r="A143">
            <v>120506</v>
          </cell>
          <cell r="B143" t="str">
            <v>TAMPA EAST</v>
          </cell>
        </row>
        <row r="144">
          <cell r="A144">
            <v>120601</v>
          </cell>
          <cell r="B144" t="str">
            <v>FORT WALTON BEACH, FL</v>
          </cell>
        </row>
        <row r="145">
          <cell r="A145">
            <v>120602</v>
          </cell>
          <cell r="B145" t="str">
            <v>GAINESVILLE, FL</v>
          </cell>
        </row>
        <row r="146">
          <cell r="A146">
            <v>120603</v>
          </cell>
          <cell r="B146" t="str">
            <v>PANAMA CITY, FL</v>
          </cell>
        </row>
        <row r="147">
          <cell r="A147">
            <v>120604</v>
          </cell>
          <cell r="B147" t="str">
            <v>PENSACOLA, FL</v>
          </cell>
        </row>
        <row r="148">
          <cell r="A148">
            <v>120605</v>
          </cell>
          <cell r="B148" t="str">
            <v>TALLAHASSEE, FL</v>
          </cell>
        </row>
        <row r="149">
          <cell r="A149">
            <v>120606</v>
          </cell>
          <cell r="B149" t="str">
            <v>FLORIDA NORTH AREA</v>
          </cell>
        </row>
        <row r="150">
          <cell r="A150">
            <v>120702</v>
          </cell>
          <cell r="B150" t="str">
            <v>LAKELAND-WINTER HAVEN, FL</v>
          </cell>
        </row>
        <row r="151">
          <cell r="A151">
            <v>120704</v>
          </cell>
          <cell r="B151" t="str">
            <v>OCALA, FL</v>
          </cell>
        </row>
        <row r="152">
          <cell r="A152">
            <v>120705</v>
          </cell>
          <cell r="B152" t="str">
            <v>FLORIDA CENTRAL AREA</v>
          </cell>
        </row>
        <row r="153">
          <cell r="A153">
            <v>120802</v>
          </cell>
          <cell r="B153" t="str">
            <v>FORT PIERCE, FL</v>
          </cell>
        </row>
        <row r="154">
          <cell r="A154">
            <v>120803</v>
          </cell>
          <cell r="B154" t="str">
            <v>NAPLES, FL</v>
          </cell>
        </row>
        <row r="155">
          <cell r="A155">
            <v>120804</v>
          </cell>
          <cell r="B155" t="str">
            <v>SARASOTA, FL</v>
          </cell>
        </row>
        <row r="156">
          <cell r="A156">
            <v>120807</v>
          </cell>
          <cell r="B156" t="str">
            <v>BRADENTON-LONG BOAT KEY</v>
          </cell>
        </row>
        <row r="157">
          <cell r="A157">
            <v>120901</v>
          </cell>
          <cell r="B157" t="str">
            <v>WEST PALM BEACH</v>
          </cell>
        </row>
        <row r="158">
          <cell r="A158">
            <v>120902</v>
          </cell>
          <cell r="B158" t="str">
            <v>BOCA RATON</v>
          </cell>
        </row>
        <row r="159">
          <cell r="A159">
            <v>121001</v>
          </cell>
          <cell r="B159" t="str">
            <v>FT. MYERS-BONITA SPRINGS</v>
          </cell>
        </row>
        <row r="160">
          <cell r="A160">
            <v>121002</v>
          </cell>
          <cell r="B160" t="str">
            <v>CAPE CORAL-SANIBEL, FL</v>
          </cell>
        </row>
        <row r="161">
          <cell r="A161">
            <v>121201</v>
          </cell>
          <cell r="B161" t="str">
            <v>DAYTONA BEACH NORTH</v>
          </cell>
        </row>
        <row r="162">
          <cell r="A162">
            <v>121202</v>
          </cell>
          <cell r="B162" t="str">
            <v>DAYTONA BEACH SOUTH</v>
          </cell>
        </row>
        <row r="163">
          <cell r="A163">
            <v>121301</v>
          </cell>
          <cell r="B163" t="str">
            <v>TITUSVILLE-SATELLITE BEACH</v>
          </cell>
        </row>
        <row r="164">
          <cell r="A164">
            <v>121302</v>
          </cell>
          <cell r="B164" t="str">
            <v>MELBOURNE-PALM BAY</v>
          </cell>
        </row>
        <row r="165">
          <cell r="A165">
            <v>121401</v>
          </cell>
          <cell r="B165" t="str">
            <v>UPPER FLORIDA KEYS</v>
          </cell>
        </row>
        <row r="166">
          <cell r="A166">
            <v>121402</v>
          </cell>
          <cell r="B166" t="str">
            <v>KEY WEST</v>
          </cell>
        </row>
        <row r="167">
          <cell r="A167">
            <v>130101</v>
          </cell>
          <cell r="B167" t="str">
            <v>ATLANTA DOWNTOWN</v>
          </cell>
        </row>
        <row r="168">
          <cell r="A168">
            <v>130102</v>
          </cell>
          <cell r="B168" t="str">
            <v>ATLANTA NORTHEAST</v>
          </cell>
        </row>
        <row r="169">
          <cell r="A169">
            <v>130103</v>
          </cell>
          <cell r="B169" t="str">
            <v>ATLANTA NORTHWEST</v>
          </cell>
        </row>
        <row r="170">
          <cell r="A170">
            <v>130104</v>
          </cell>
          <cell r="B170" t="str">
            <v>ATLANTA NORTH</v>
          </cell>
        </row>
        <row r="171">
          <cell r="A171">
            <v>130105</v>
          </cell>
          <cell r="B171" t="str">
            <v>ATLANTA NORTH CENTRAL</v>
          </cell>
        </row>
        <row r="172">
          <cell r="A172">
            <v>130106</v>
          </cell>
          <cell r="B172" t="str">
            <v>ATLANTA EAST</v>
          </cell>
        </row>
        <row r="173">
          <cell r="A173">
            <v>130107</v>
          </cell>
          <cell r="B173" t="str">
            <v>ATLANTA AIRPORT</v>
          </cell>
        </row>
        <row r="174">
          <cell r="A174">
            <v>130108</v>
          </cell>
          <cell r="B174" t="str">
            <v>ATLANTA SOUTH</v>
          </cell>
        </row>
        <row r="175">
          <cell r="A175">
            <v>130109</v>
          </cell>
          <cell r="B175" t="str">
            <v>ATLANTA GALLERIA AREA</v>
          </cell>
        </row>
        <row r="176">
          <cell r="A176">
            <v>130110</v>
          </cell>
          <cell r="B176" t="str">
            <v>ALPHARETTA</v>
          </cell>
        </row>
        <row r="177">
          <cell r="A177">
            <v>130201</v>
          </cell>
          <cell r="B177" t="str">
            <v>GEORGIA NORTHWEST</v>
          </cell>
        </row>
        <row r="178">
          <cell r="A178">
            <v>130202</v>
          </cell>
          <cell r="B178" t="str">
            <v>GEORGIA NORTHEAST</v>
          </cell>
        </row>
        <row r="179">
          <cell r="A179">
            <v>130203</v>
          </cell>
          <cell r="B179" t="str">
            <v>ATHENS/GAINESVILLE/COMMERCE</v>
          </cell>
        </row>
        <row r="180">
          <cell r="A180">
            <v>130301</v>
          </cell>
          <cell r="B180" t="str">
            <v>COLUMBUS/LAGRANGE</v>
          </cell>
        </row>
        <row r="181">
          <cell r="A181">
            <v>130302</v>
          </cell>
          <cell r="B181" t="str">
            <v>BRUNSWICK</v>
          </cell>
        </row>
        <row r="182">
          <cell r="A182">
            <v>130303</v>
          </cell>
          <cell r="B182" t="str">
            <v>I-95 CORRIDOR</v>
          </cell>
        </row>
        <row r="183">
          <cell r="A183">
            <v>130304</v>
          </cell>
          <cell r="B183" t="str">
            <v>I-75 CORRIDOR</v>
          </cell>
        </row>
        <row r="184">
          <cell r="A184">
            <v>130305</v>
          </cell>
          <cell r="B184" t="str">
            <v>GEORGIA SOUTH AREA</v>
          </cell>
        </row>
        <row r="185">
          <cell r="A185">
            <v>130401</v>
          </cell>
          <cell r="B185" t="str">
            <v>MACON, GA</v>
          </cell>
        </row>
        <row r="186">
          <cell r="A186">
            <v>130402</v>
          </cell>
          <cell r="B186" t="str">
            <v>WARNER ROBBINS, GA</v>
          </cell>
        </row>
        <row r="187">
          <cell r="A187">
            <v>130501</v>
          </cell>
          <cell r="B187" t="str">
            <v>AUGUSTA &amp; SOUTH</v>
          </cell>
        </row>
        <row r="188">
          <cell r="A188">
            <v>130502</v>
          </cell>
          <cell r="B188" t="str">
            <v>AUGUSTA NORTH &amp; WEST</v>
          </cell>
        </row>
        <row r="189">
          <cell r="A189">
            <v>130601</v>
          </cell>
          <cell r="B189" t="str">
            <v>SAVANNAH SOUTH&amp;EAST</v>
          </cell>
        </row>
        <row r="190">
          <cell r="A190">
            <v>130602</v>
          </cell>
          <cell r="B190" t="str">
            <v>SAVANNAH DOWNTOWN/AIRPORT</v>
          </cell>
        </row>
        <row r="191">
          <cell r="A191">
            <v>150101</v>
          </cell>
          <cell r="B191" t="str">
            <v>HAWAII</v>
          </cell>
        </row>
        <row r="192">
          <cell r="A192">
            <v>150102</v>
          </cell>
          <cell r="B192" t="str">
            <v>KAUAI</v>
          </cell>
        </row>
        <row r="193">
          <cell r="A193">
            <v>150201</v>
          </cell>
          <cell r="B193" t="str">
            <v>WAIKIKI</v>
          </cell>
        </row>
        <row r="194">
          <cell r="A194">
            <v>150202</v>
          </cell>
          <cell r="B194" t="str">
            <v>OAHU AREA</v>
          </cell>
        </row>
        <row r="195">
          <cell r="A195">
            <v>150301</v>
          </cell>
          <cell r="B195" t="str">
            <v>KAANAPALI/LAHAINA/KAPALUA</v>
          </cell>
        </row>
        <row r="196">
          <cell r="A196">
            <v>150302</v>
          </cell>
          <cell r="B196" t="str">
            <v>MAUI AREA</v>
          </cell>
        </row>
        <row r="197">
          <cell r="A197">
            <v>160101</v>
          </cell>
          <cell r="B197" t="str">
            <v>IDAHO NORTH</v>
          </cell>
        </row>
        <row r="198">
          <cell r="A198">
            <v>160102</v>
          </cell>
          <cell r="B198" t="str">
            <v>IDAHO SOUTHEAST</v>
          </cell>
        </row>
        <row r="199">
          <cell r="A199">
            <v>160103</v>
          </cell>
          <cell r="B199" t="str">
            <v>IDAHO SOUTHWEST</v>
          </cell>
        </row>
        <row r="200">
          <cell r="A200">
            <v>170101</v>
          </cell>
          <cell r="B200" t="str">
            <v>CHICAGO NORTH</v>
          </cell>
        </row>
        <row r="201">
          <cell r="A201">
            <v>170102</v>
          </cell>
          <cell r="B201" t="str">
            <v>CHICAGO NORTHWEST</v>
          </cell>
        </row>
        <row r="202">
          <cell r="A202">
            <v>170103</v>
          </cell>
          <cell r="B202" t="str">
            <v>CHICAGO AIRPORT</v>
          </cell>
        </row>
        <row r="203">
          <cell r="A203">
            <v>170104</v>
          </cell>
          <cell r="B203" t="str">
            <v>CHICAGO DUPAGE CO.</v>
          </cell>
        </row>
        <row r="204">
          <cell r="A204">
            <v>170105</v>
          </cell>
          <cell r="B204" t="str">
            <v>CHICAGO SOUTH</v>
          </cell>
        </row>
        <row r="205">
          <cell r="A205">
            <v>170106</v>
          </cell>
          <cell r="B205" t="str">
            <v>CHICAGO</v>
          </cell>
        </row>
        <row r="206">
          <cell r="A206">
            <v>170107</v>
          </cell>
          <cell r="B206" t="str">
            <v>CHICAGO - MIDWAY</v>
          </cell>
        </row>
        <row r="207">
          <cell r="A207">
            <v>170201</v>
          </cell>
          <cell r="B207" t="str">
            <v>LAKE COUNTY, IL</v>
          </cell>
        </row>
        <row r="208">
          <cell r="A208">
            <v>170202</v>
          </cell>
          <cell r="B208" t="str">
            <v>CHAMPAIGN-URBANA, IL</v>
          </cell>
        </row>
        <row r="209">
          <cell r="A209">
            <v>170203</v>
          </cell>
          <cell r="B209" t="str">
            <v>ILLINOIS NORTH AREA</v>
          </cell>
        </row>
        <row r="210">
          <cell r="A210">
            <v>170204</v>
          </cell>
          <cell r="B210" t="str">
            <v>PEORIA, IL</v>
          </cell>
        </row>
        <row r="211">
          <cell r="A211">
            <v>170205</v>
          </cell>
          <cell r="B211" t="str">
            <v>ROCKFORD-DEKALB-AURORA-ELGIN</v>
          </cell>
        </row>
        <row r="212">
          <cell r="A212">
            <v>170206</v>
          </cell>
          <cell r="B212" t="str">
            <v>BLOOMINGTON/NORMAL, IL</v>
          </cell>
        </row>
        <row r="213">
          <cell r="A213">
            <v>170207</v>
          </cell>
          <cell r="B213" t="str">
            <v>JOLIET, IL</v>
          </cell>
        </row>
        <row r="214">
          <cell r="A214">
            <v>170301</v>
          </cell>
          <cell r="B214" t="str">
            <v>SPRINGFIELD, IL</v>
          </cell>
        </row>
        <row r="215">
          <cell r="A215">
            <v>170302</v>
          </cell>
          <cell r="B215" t="str">
            <v>ILLINOIS SOUTH AREA</v>
          </cell>
        </row>
        <row r="216">
          <cell r="A216">
            <v>170303</v>
          </cell>
          <cell r="B216" t="str">
            <v>MT VERNON/CARBONDALE, IL</v>
          </cell>
        </row>
        <row r="217">
          <cell r="A217">
            <v>180101</v>
          </cell>
          <cell r="B217" t="str">
            <v>FORT WAYNE, IN</v>
          </cell>
        </row>
        <row r="218">
          <cell r="A218">
            <v>180102</v>
          </cell>
          <cell r="B218" t="str">
            <v>GARY-HAMMOND, IN</v>
          </cell>
        </row>
        <row r="219">
          <cell r="A219">
            <v>180103</v>
          </cell>
          <cell r="B219" t="str">
            <v>INDIANA NORTH AREA</v>
          </cell>
        </row>
        <row r="220">
          <cell r="A220">
            <v>180104</v>
          </cell>
          <cell r="B220" t="str">
            <v>MICHIGAN CITY-SOUTH BEND-ELKHA</v>
          </cell>
        </row>
        <row r="221">
          <cell r="A221">
            <v>180201</v>
          </cell>
          <cell r="B221" t="str">
            <v>EVANSVILLE</v>
          </cell>
        </row>
        <row r="222">
          <cell r="A222">
            <v>180202</v>
          </cell>
          <cell r="B222" t="str">
            <v>TERRE HAUTE, IN</v>
          </cell>
        </row>
        <row r="223">
          <cell r="A223">
            <v>180203</v>
          </cell>
          <cell r="B223" t="str">
            <v>INDIANA SOUTH AREA</v>
          </cell>
        </row>
        <row r="224">
          <cell r="A224">
            <v>180301</v>
          </cell>
          <cell r="B224" t="str">
            <v>INDIANAPOLIS SOUTH</v>
          </cell>
        </row>
        <row r="225">
          <cell r="A225">
            <v>180302</v>
          </cell>
          <cell r="B225" t="str">
            <v>INDIANAPOLIS DOWNTOWN/EAST</v>
          </cell>
        </row>
        <row r="226">
          <cell r="A226">
            <v>180304</v>
          </cell>
          <cell r="B226" t="str">
            <v>INDIANAPOLIS AIRPORT-WEST</v>
          </cell>
        </row>
        <row r="227">
          <cell r="A227">
            <v>180305</v>
          </cell>
          <cell r="B227" t="str">
            <v>INDIANAPOLIS-NORTH</v>
          </cell>
        </row>
        <row r="228">
          <cell r="A228">
            <v>190103</v>
          </cell>
          <cell r="B228" t="str">
            <v>IOWA CITY-WATERLOO</v>
          </cell>
        </row>
        <row r="229">
          <cell r="A229">
            <v>190105</v>
          </cell>
          <cell r="B229" t="str">
            <v>FORT DODGE-AMES</v>
          </cell>
        </row>
        <row r="230">
          <cell r="A230">
            <v>190106</v>
          </cell>
          <cell r="B230" t="str">
            <v>WEST IOWA AREA</v>
          </cell>
        </row>
        <row r="231">
          <cell r="A231">
            <v>190107</v>
          </cell>
          <cell r="B231" t="str">
            <v>EAST IOWA AREA</v>
          </cell>
        </row>
        <row r="232">
          <cell r="A232">
            <v>190201</v>
          </cell>
          <cell r="B232" t="str">
            <v>MOLINE,IL</v>
          </cell>
        </row>
        <row r="233">
          <cell r="A233">
            <v>190202</v>
          </cell>
          <cell r="B233" t="str">
            <v>DAVENPORT</v>
          </cell>
        </row>
        <row r="234">
          <cell r="A234">
            <v>190301</v>
          </cell>
          <cell r="B234" t="str">
            <v>DES MOINES AIRPORT/WEST</v>
          </cell>
        </row>
        <row r="235">
          <cell r="A235">
            <v>190302</v>
          </cell>
          <cell r="B235" t="str">
            <v>DES MOINES DOWNTOWN/NORTH</v>
          </cell>
        </row>
        <row r="236">
          <cell r="A236">
            <v>200101</v>
          </cell>
          <cell r="B236" t="str">
            <v>TOPEKA/LAWRENCE</v>
          </cell>
        </row>
        <row r="237">
          <cell r="A237">
            <v>200102</v>
          </cell>
          <cell r="B237" t="str">
            <v>WICHITA, KS</v>
          </cell>
        </row>
        <row r="238">
          <cell r="A238">
            <v>200103</v>
          </cell>
          <cell r="B238" t="str">
            <v>I-70 CORRIDOR</v>
          </cell>
        </row>
        <row r="239">
          <cell r="A239">
            <v>200104</v>
          </cell>
          <cell r="B239" t="str">
            <v>KANSAS AREA</v>
          </cell>
        </row>
        <row r="240">
          <cell r="A240">
            <v>210101</v>
          </cell>
          <cell r="B240" t="str">
            <v>DOWNTOWN/AIRPORT</v>
          </cell>
        </row>
        <row r="241">
          <cell r="A241">
            <v>210102</v>
          </cell>
          <cell r="B241" t="str">
            <v>LOUISVILLE AREA</v>
          </cell>
        </row>
        <row r="242">
          <cell r="A242">
            <v>210103</v>
          </cell>
          <cell r="B242" t="str">
            <v>LOUISVILLE EAST</v>
          </cell>
        </row>
        <row r="243">
          <cell r="A243">
            <v>210201</v>
          </cell>
          <cell r="B243" t="str">
            <v>BOWLING GREEN AREA</v>
          </cell>
        </row>
        <row r="244">
          <cell r="A244">
            <v>210202</v>
          </cell>
          <cell r="B244" t="str">
            <v>KENTUCKY WEST AREA</v>
          </cell>
        </row>
        <row r="245">
          <cell r="A245">
            <v>210301</v>
          </cell>
          <cell r="B245" t="str">
            <v>LEXINGTON-FAYETTE, KY</v>
          </cell>
        </row>
        <row r="246">
          <cell r="A246">
            <v>210302</v>
          </cell>
          <cell r="B246" t="str">
            <v>KENTUCKY EAST AREA</v>
          </cell>
        </row>
        <row r="247">
          <cell r="A247">
            <v>210303</v>
          </cell>
          <cell r="B247" t="str">
            <v>I-75 CORRIDOR SOUTH</v>
          </cell>
        </row>
        <row r="248">
          <cell r="A248">
            <v>220101</v>
          </cell>
          <cell r="B248" t="str">
            <v>NEW ORLEANS</v>
          </cell>
        </row>
        <row r="249">
          <cell r="A249">
            <v>220102</v>
          </cell>
          <cell r="B249" t="str">
            <v>NEW ORLEANS EAST/FRENCH QUARTE</v>
          </cell>
        </row>
        <row r="250">
          <cell r="A250">
            <v>220104</v>
          </cell>
          <cell r="B250" t="str">
            <v>METARIE-AIRPORT</v>
          </cell>
        </row>
        <row r="251">
          <cell r="A251">
            <v>220201</v>
          </cell>
          <cell r="B251" t="str">
            <v>SHREVEPORT, LA</v>
          </cell>
        </row>
        <row r="252">
          <cell r="A252">
            <v>220202</v>
          </cell>
          <cell r="B252" t="str">
            <v>MONROE, LA</v>
          </cell>
        </row>
        <row r="253">
          <cell r="A253">
            <v>220203</v>
          </cell>
          <cell r="B253" t="str">
            <v>LOUISIANA NORTH AREA</v>
          </cell>
        </row>
        <row r="254">
          <cell r="A254">
            <v>220301</v>
          </cell>
          <cell r="B254" t="str">
            <v>BATON ROUGE, LA</v>
          </cell>
        </row>
        <row r="255">
          <cell r="A255">
            <v>220302</v>
          </cell>
          <cell r="B255" t="str">
            <v>LAFAYETTE, LA</v>
          </cell>
        </row>
        <row r="256">
          <cell r="A256">
            <v>220304</v>
          </cell>
          <cell r="B256" t="str">
            <v>LOUISIANA SOUTH AREA</v>
          </cell>
        </row>
        <row r="257">
          <cell r="A257">
            <v>230101</v>
          </cell>
          <cell r="B257" t="str">
            <v>PORTLAND, ME</v>
          </cell>
        </row>
        <row r="258">
          <cell r="A258">
            <v>230102</v>
          </cell>
          <cell r="B258" t="str">
            <v>BANGOR, ME</v>
          </cell>
        </row>
        <row r="259">
          <cell r="A259">
            <v>230103</v>
          </cell>
          <cell r="B259" t="str">
            <v>MAINE AREA</v>
          </cell>
        </row>
        <row r="260">
          <cell r="A260">
            <v>240101</v>
          </cell>
          <cell r="B260" t="str">
            <v>BALTIMORE CITY</v>
          </cell>
        </row>
        <row r="261">
          <cell r="A261">
            <v>240102</v>
          </cell>
          <cell r="B261" t="str">
            <v>BALTIMORE</v>
          </cell>
        </row>
        <row r="262">
          <cell r="A262">
            <v>240103</v>
          </cell>
          <cell r="B262" t="str">
            <v>ANNE ARUNDEL</v>
          </cell>
        </row>
        <row r="263">
          <cell r="A263">
            <v>240104</v>
          </cell>
          <cell r="B263" t="str">
            <v>BALTIMORE, MD AREA</v>
          </cell>
        </row>
        <row r="264">
          <cell r="A264">
            <v>240201</v>
          </cell>
          <cell r="B264" t="str">
            <v>MARYLAND WEST</v>
          </cell>
        </row>
        <row r="265">
          <cell r="A265">
            <v>240202</v>
          </cell>
          <cell r="B265" t="str">
            <v>CHESAPEAKE</v>
          </cell>
        </row>
        <row r="266">
          <cell r="A266">
            <v>250101</v>
          </cell>
          <cell r="B266" t="str">
            <v>BOSTON</v>
          </cell>
        </row>
        <row r="267">
          <cell r="A267">
            <v>250102</v>
          </cell>
          <cell r="B267" t="str">
            <v>ESSEX COUNTY</v>
          </cell>
        </row>
        <row r="268">
          <cell r="A268">
            <v>250103</v>
          </cell>
          <cell r="B268" t="str">
            <v>BOSTON SOUTHSHORE</v>
          </cell>
        </row>
        <row r="269">
          <cell r="A269">
            <v>250104</v>
          </cell>
          <cell r="B269" t="str">
            <v>CAMBRIDGE-LEXINGTON</v>
          </cell>
        </row>
        <row r="270">
          <cell r="A270">
            <v>250105</v>
          </cell>
          <cell r="B270" t="str">
            <v>BOSTON SOUTH/SOUTHWEST</v>
          </cell>
        </row>
        <row r="271">
          <cell r="A271">
            <v>250106</v>
          </cell>
          <cell r="B271" t="str">
            <v>BOSTON NORTH</v>
          </cell>
        </row>
        <row r="272">
          <cell r="A272">
            <v>250201</v>
          </cell>
          <cell r="B272" t="str">
            <v>WORCESTER, MA</v>
          </cell>
        </row>
        <row r="273">
          <cell r="A273">
            <v>250202</v>
          </cell>
          <cell r="B273" t="str">
            <v>MASSACHUSETTS WEST</v>
          </cell>
        </row>
        <row r="274">
          <cell r="A274">
            <v>250203</v>
          </cell>
          <cell r="B274" t="str">
            <v>MASSACHUSETTS SOUTHEAST</v>
          </cell>
        </row>
        <row r="275">
          <cell r="A275">
            <v>250204</v>
          </cell>
          <cell r="B275" t="str">
            <v>SPRINGFIELD, MA</v>
          </cell>
        </row>
        <row r="276">
          <cell r="A276">
            <v>260101</v>
          </cell>
          <cell r="B276" t="str">
            <v>DETROIT/DEARBORN</v>
          </cell>
        </row>
        <row r="277">
          <cell r="A277">
            <v>260102</v>
          </cell>
          <cell r="B277" t="str">
            <v>DETROIT SOUTHWEST-AIRPORT</v>
          </cell>
        </row>
        <row r="278">
          <cell r="A278">
            <v>260103</v>
          </cell>
          <cell r="B278" t="str">
            <v>DETROIT NORTHWEST</v>
          </cell>
        </row>
        <row r="279">
          <cell r="A279">
            <v>260104</v>
          </cell>
          <cell r="B279" t="str">
            <v>DETROIT NORTH</v>
          </cell>
        </row>
        <row r="280">
          <cell r="A280">
            <v>260105</v>
          </cell>
          <cell r="B280" t="str">
            <v>DETROIT NORTHEAST</v>
          </cell>
        </row>
        <row r="281">
          <cell r="A281">
            <v>260201</v>
          </cell>
          <cell r="B281" t="str">
            <v>MICHIGAN SOUTHWEST</v>
          </cell>
        </row>
        <row r="282">
          <cell r="A282">
            <v>260202</v>
          </cell>
          <cell r="B282" t="str">
            <v>LANSING-EAST LANSING, MI</v>
          </cell>
        </row>
        <row r="283">
          <cell r="A283">
            <v>260203</v>
          </cell>
          <cell r="B283" t="str">
            <v>KALAMAZOO-BATTLE CREEK</v>
          </cell>
        </row>
        <row r="284">
          <cell r="A284">
            <v>260204</v>
          </cell>
          <cell r="B284" t="str">
            <v>ANN ARBOR-JACKSON</v>
          </cell>
        </row>
        <row r="285">
          <cell r="A285">
            <v>260301</v>
          </cell>
          <cell r="B285" t="str">
            <v>GRAND RAPIDS, MI</v>
          </cell>
        </row>
        <row r="286">
          <cell r="A286">
            <v>260302</v>
          </cell>
          <cell r="B286" t="str">
            <v>MIDLAND-FLINT</v>
          </cell>
        </row>
        <row r="287">
          <cell r="A287">
            <v>260303</v>
          </cell>
          <cell r="B287" t="str">
            <v>LOWER MI NORTHWEST</v>
          </cell>
        </row>
        <row r="288">
          <cell r="A288">
            <v>260304</v>
          </cell>
          <cell r="B288" t="str">
            <v>LOWER MI NORTH/CENTRAL</v>
          </cell>
        </row>
        <row r="289">
          <cell r="A289">
            <v>260306</v>
          </cell>
          <cell r="B289" t="str">
            <v>UPPER PENINSULA</v>
          </cell>
        </row>
        <row r="290">
          <cell r="A290">
            <v>270101</v>
          </cell>
          <cell r="B290" t="str">
            <v>MINNEAPOLIS</v>
          </cell>
        </row>
        <row r="291">
          <cell r="A291">
            <v>270102</v>
          </cell>
          <cell r="B291" t="str">
            <v>BLOOMINGTON</v>
          </cell>
        </row>
        <row r="292">
          <cell r="A292">
            <v>270103</v>
          </cell>
          <cell r="B292" t="str">
            <v>ST. PAUL</v>
          </cell>
        </row>
        <row r="293">
          <cell r="A293">
            <v>270104</v>
          </cell>
          <cell r="B293" t="str">
            <v>MINNEAPOLIS NORTH AREA</v>
          </cell>
        </row>
        <row r="294">
          <cell r="A294">
            <v>270105</v>
          </cell>
          <cell r="B294" t="str">
            <v>MINNEAPOLIS SOUTH AREA</v>
          </cell>
        </row>
        <row r="295">
          <cell r="A295">
            <v>270201</v>
          </cell>
          <cell r="B295" t="str">
            <v>DULUTH, MN-WI</v>
          </cell>
        </row>
        <row r="296">
          <cell r="A296">
            <v>270202</v>
          </cell>
          <cell r="B296" t="str">
            <v>ST CLOUD/I-94</v>
          </cell>
        </row>
        <row r="297">
          <cell r="A297">
            <v>270203</v>
          </cell>
          <cell r="B297" t="str">
            <v>MINNESOTA NORTH AREA</v>
          </cell>
        </row>
        <row r="298">
          <cell r="A298">
            <v>270301</v>
          </cell>
          <cell r="B298" t="str">
            <v>ROCHESTER, MN</v>
          </cell>
        </row>
        <row r="299">
          <cell r="A299">
            <v>270302</v>
          </cell>
          <cell r="B299" t="str">
            <v>MINNESOTA SOUTH AREA</v>
          </cell>
        </row>
        <row r="300">
          <cell r="A300">
            <v>280102</v>
          </cell>
          <cell r="B300" t="str">
            <v>BILOXI-GULFPORT, MS</v>
          </cell>
        </row>
        <row r="301">
          <cell r="A301">
            <v>280104</v>
          </cell>
          <cell r="B301" t="str">
            <v>MISSISSIPPI NORTH</v>
          </cell>
        </row>
        <row r="302">
          <cell r="A302">
            <v>280105</v>
          </cell>
          <cell r="B302" t="str">
            <v>MISSISSIPPI CENTRAL</v>
          </cell>
        </row>
        <row r="303">
          <cell r="A303">
            <v>280106</v>
          </cell>
          <cell r="B303" t="str">
            <v>MISSISSIPPI SOUTH</v>
          </cell>
        </row>
        <row r="304">
          <cell r="A304">
            <v>280107</v>
          </cell>
          <cell r="B304" t="str">
            <v>MISSISSIPPI EAST</v>
          </cell>
        </row>
        <row r="305">
          <cell r="A305">
            <v>280201</v>
          </cell>
          <cell r="B305" t="str">
            <v>JACKSON MS SOUTH</v>
          </cell>
        </row>
        <row r="306">
          <cell r="A306">
            <v>280202</v>
          </cell>
          <cell r="B306" t="str">
            <v>JACKSON MS NORTH</v>
          </cell>
        </row>
        <row r="307">
          <cell r="A307">
            <v>290101</v>
          </cell>
          <cell r="B307" t="str">
            <v>KANSAS CITY</v>
          </cell>
        </row>
        <row r="308">
          <cell r="A308">
            <v>290102</v>
          </cell>
          <cell r="B308" t="str">
            <v>OVERLAND PARK-LENEXA</v>
          </cell>
        </row>
        <row r="309">
          <cell r="A309">
            <v>290103</v>
          </cell>
          <cell r="B309" t="str">
            <v>KANSAS CITY NORTH-AIRPORT</v>
          </cell>
        </row>
        <row r="310">
          <cell r="A310">
            <v>290104</v>
          </cell>
          <cell r="B310" t="str">
            <v>KANSAS CITY, MO AREA</v>
          </cell>
        </row>
        <row r="311">
          <cell r="A311">
            <v>290201</v>
          </cell>
          <cell r="B311" t="str">
            <v>ST. LOUIS</v>
          </cell>
        </row>
        <row r="312">
          <cell r="A312">
            <v>290202</v>
          </cell>
          <cell r="B312" t="str">
            <v>ST. LOUIS NORTHWEST</v>
          </cell>
        </row>
        <row r="313">
          <cell r="A313">
            <v>290203</v>
          </cell>
          <cell r="B313" t="str">
            <v>ST. LOUIS SOUTHWEST</v>
          </cell>
        </row>
        <row r="314">
          <cell r="A314">
            <v>290204</v>
          </cell>
          <cell r="B314" t="str">
            <v>ST. LOUIS EAST</v>
          </cell>
        </row>
        <row r="315">
          <cell r="A315">
            <v>290205</v>
          </cell>
          <cell r="B315" t="str">
            <v>ST LOUIS AIRPORT</v>
          </cell>
        </row>
        <row r="316">
          <cell r="A316">
            <v>290301</v>
          </cell>
          <cell r="B316" t="str">
            <v>COLUMBIA-JEFFERSON</v>
          </cell>
        </row>
        <row r="317">
          <cell r="A317">
            <v>290302</v>
          </cell>
          <cell r="B317" t="str">
            <v>MISSOURI NORTH AREA</v>
          </cell>
        </row>
        <row r="318">
          <cell r="A318">
            <v>290401</v>
          </cell>
          <cell r="B318" t="str">
            <v>SPRINGFIELD, MO</v>
          </cell>
        </row>
        <row r="319">
          <cell r="A319">
            <v>290402</v>
          </cell>
          <cell r="B319" t="str">
            <v>MISSOURI SOUTH CENTRAL</v>
          </cell>
        </row>
        <row r="320">
          <cell r="A320">
            <v>290403</v>
          </cell>
          <cell r="B320" t="str">
            <v>BRANSON</v>
          </cell>
        </row>
        <row r="321">
          <cell r="A321">
            <v>290404</v>
          </cell>
          <cell r="B321" t="str">
            <v>MISSOURI SOUTH AREA</v>
          </cell>
        </row>
        <row r="322">
          <cell r="A322">
            <v>300101</v>
          </cell>
          <cell r="B322" t="str">
            <v>BILLINGS, MT</v>
          </cell>
        </row>
        <row r="323">
          <cell r="A323">
            <v>300102</v>
          </cell>
          <cell r="B323" t="str">
            <v>MONTANA EAST AREA</v>
          </cell>
        </row>
        <row r="324">
          <cell r="A324">
            <v>300201</v>
          </cell>
          <cell r="B324" t="str">
            <v>BOZEMAN/YELLOWSTONE</v>
          </cell>
        </row>
        <row r="325">
          <cell r="A325">
            <v>300202</v>
          </cell>
          <cell r="B325" t="str">
            <v>MONTANA WEST AREA</v>
          </cell>
        </row>
        <row r="326">
          <cell r="A326">
            <v>300203</v>
          </cell>
          <cell r="B326" t="str">
            <v>MISSOULA/BUTTE</v>
          </cell>
        </row>
        <row r="327">
          <cell r="A327">
            <v>310101</v>
          </cell>
          <cell r="B327" t="str">
            <v>LINCOLN, NE</v>
          </cell>
        </row>
        <row r="328">
          <cell r="A328">
            <v>310103</v>
          </cell>
          <cell r="B328" t="str">
            <v>I-80 CORRIDOR</v>
          </cell>
        </row>
        <row r="329">
          <cell r="A329">
            <v>310104</v>
          </cell>
          <cell r="B329" t="str">
            <v>NEBRASKA AREA</v>
          </cell>
        </row>
        <row r="330">
          <cell r="A330">
            <v>310201</v>
          </cell>
          <cell r="B330" t="str">
            <v>OMAHA NORTH</v>
          </cell>
        </row>
        <row r="331">
          <cell r="A331">
            <v>310202</v>
          </cell>
          <cell r="B331" t="str">
            <v>COUNCIL BLUFFS, IA</v>
          </cell>
        </row>
        <row r="332">
          <cell r="A332">
            <v>310203</v>
          </cell>
          <cell r="B332" t="str">
            <v>OMAHA SOUTH</v>
          </cell>
        </row>
        <row r="333">
          <cell r="A333">
            <v>320103</v>
          </cell>
          <cell r="B333" t="str">
            <v>NEVADA AREA</v>
          </cell>
        </row>
        <row r="334">
          <cell r="A334">
            <v>320201</v>
          </cell>
          <cell r="B334" t="str">
            <v>LAS VEGAS-NORTH</v>
          </cell>
        </row>
        <row r="335">
          <cell r="A335">
            <v>320202</v>
          </cell>
          <cell r="B335" t="str">
            <v>LAS VEGAS-SOUTH</v>
          </cell>
        </row>
        <row r="336">
          <cell r="A336">
            <v>320203</v>
          </cell>
          <cell r="B336" t="str">
            <v>LAS VEGAS STRIP</v>
          </cell>
        </row>
        <row r="337">
          <cell r="A337">
            <v>320301</v>
          </cell>
          <cell r="B337" t="str">
            <v>RENO</v>
          </cell>
        </row>
        <row r="338">
          <cell r="A338">
            <v>320302</v>
          </cell>
          <cell r="B338" t="str">
            <v>RENO AREA</v>
          </cell>
        </row>
        <row r="339">
          <cell r="A339">
            <v>330101</v>
          </cell>
          <cell r="B339" t="str">
            <v>NEW HAMPSHIRE CENTRAL-NORTH</v>
          </cell>
        </row>
        <row r="340">
          <cell r="A340">
            <v>330102</v>
          </cell>
          <cell r="B340" t="str">
            <v>NEW HAMPSHIRE SOUTH</v>
          </cell>
        </row>
        <row r="341">
          <cell r="A341">
            <v>340101</v>
          </cell>
          <cell r="B341" t="str">
            <v>PASSAIC AREA</v>
          </cell>
        </row>
        <row r="342">
          <cell r="A342">
            <v>340102</v>
          </cell>
          <cell r="B342" t="str">
            <v>HACKENSACK-SOUTH</v>
          </cell>
        </row>
        <row r="343">
          <cell r="A343">
            <v>340201</v>
          </cell>
          <cell r="B343" t="str">
            <v>NEWARK</v>
          </cell>
        </row>
        <row r="344">
          <cell r="A344">
            <v>340202</v>
          </cell>
          <cell r="B344" t="str">
            <v>MORRIS-SUSSEX COUNTY</v>
          </cell>
        </row>
        <row r="345">
          <cell r="A345">
            <v>340203</v>
          </cell>
          <cell r="B345" t="str">
            <v>UNION COUNTY</v>
          </cell>
        </row>
        <row r="346">
          <cell r="A346">
            <v>340301</v>
          </cell>
          <cell r="B346" t="str">
            <v>MIDDLESEX-HUNTERDON</v>
          </cell>
        </row>
        <row r="347">
          <cell r="A347">
            <v>340302</v>
          </cell>
          <cell r="B347" t="str">
            <v>SOMERSET-HUNTERDON</v>
          </cell>
        </row>
        <row r="348">
          <cell r="A348">
            <v>340303</v>
          </cell>
          <cell r="B348" t="str">
            <v>PRINCETON/CENTAL N.J.</v>
          </cell>
        </row>
        <row r="349">
          <cell r="A349">
            <v>340401</v>
          </cell>
          <cell r="B349" t="str">
            <v>NORTH SHORE</v>
          </cell>
        </row>
        <row r="350">
          <cell r="A350">
            <v>340402</v>
          </cell>
          <cell r="B350" t="str">
            <v>VINELAND/SOUTH SHORE</v>
          </cell>
        </row>
        <row r="351">
          <cell r="A351">
            <v>340403</v>
          </cell>
          <cell r="B351" t="str">
            <v>ATLANTIC CITY</v>
          </cell>
        </row>
        <row r="352">
          <cell r="A352">
            <v>350102</v>
          </cell>
          <cell r="B352" t="str">
            <v>SANTA FE, NM</v>
          </cell>
        </row>
        <row r="353">
          <cell r="A353">
            <v>350103</v>
          </cell>
          <cell r="B353" t="str">
            <v>NEW MEXICO NORTH AREA</v>
          </cell>
        </row>
        <row r="354">
          <cell r="A354">
            <v>350201</v>
          </cell>
          <cell r="B354" t="str">
            <v>LAS CRUCES/DEMING, NM</v>
          </cell>
        </row>
        <row r="355">
          <cell r="A355">
            <v>350202</v>
          </cell>
          <cell r="B355" t="str">
            <v>NEW MEXICO SOUTH AREA</v>
          </cell>
        </row>
        <row r="356">
          <cell r="A356">
            <v>350301</v>
          </cell>
          <cell r="B356" t="str">
            <v>ALBUQUERQUE</v>
          </cell>
        </row>
        <row r="357">
          <cell r="A357">
            <v>350302</v>
          </cell>
          <cell r="B357" t="str">
            <v>ALBUQUERQUE AREA</v>
          </cell>
        </row>
        <row r="358">
          <cell r="A358">
            <v>360102</v>
          </cell>
          <cell r="B358" t="str">
            <v>WESTCHESTER-ROCKLAND</v>
          </cell>
        </row>
        <row r="359">
          <cell r="A359">
            <v>360103</v>
          </cell>
          <cell r="B359" t="str">
            <v>NEW YORK NY AREA</v>
          </cell>
        </row>
        <row r="360">
          <cell r="A360">
            <v>360104</v>
          </cell>
          <cell r="B360" t="str">
            <v>MANHATTAN - WEST</v>
          </cell>
        </row>
        <row r="361">
          <cell r="A361">
            <v>360105</v>
          </cell>
          <cell r="B361" t="str">
            <v>MANHATTAN - EAST</v>
          </cell>
        </row>
        <row r="362">
          <cell r="A362">
            <v>360201</v>
          </cell>
          <cell r="B362" t="str">
            <v>NASSAU</v>
          </cell>
        </row>
        <row r="363">
          <cell r="A363">
            <v>360202</v>
          </cell>
          <cell r="B363" t="str">
            <v>SUFFOLK</v>
          </cell>
        </row>
        <row r="364">
          <cell r="A364">
            <v>360302</v>
          </cell>
          <cell r="B364" t="str">
            <v>NEWBURGH/KINGSTON</v>
          </cell>
        </row>
        <row r="365">
          <cell r="A365">
            <v>360304</v>
          </cell>
          <cell r="B365" t="str">
            <v>NEW YORK EAST AREA</v>
          </cell>
        </row>
        <row r="366">
          <cell r="A366">
            <v>360401</v>
          </cell>
          <cell r="B366" t="str">
            <v>BINGHAMTON, NY</v>
          </cell>
        </row>
        <row r="367">
          <cell r="A367">
            <v>360404</v>
          </cell>
          <cell r="B367" t="str">
            <v>NEW YORK CENTRAL AREA</v>
          </cell>
        </row>
        <row r="368">
          <cell r="A368">
            <v>360501</v>
          </cell>
          <cell r="B368" t="str">
            <v>ITHACA/ELMIRA</v>
          </cell>
        </row>
        <row r="369">
          <cell r="A369">
            <v>360504</v>
          </cell>
          <cell r="B369" t="str">
            <v>NEW YORK WEST AREA</v>
          </cell>
        </row>
        <row r="370">
          <cell r="A370">
            <v>360601</v>
          </cell>
          <cell r="B370" t="str">
            <v>SYRACUSE</v>
          </cell>
        </row>
        <row r="371">
          <cell r="A371">
            <v>360602</v>
          </cell>
          <cell r="B371" t="str">
            <v>SYRACUSE AREA</v>
          </cell>
        </row>
        <row r="372">
          <cell r="A372">
            <v>360701</v>
          </cell>
          <cell r="B372" t="str">
            <v>ALBANY NY</v>
          </cell>
        </row>
        <row r="373">
          <cell r="A373">
            <v>360702</v>
          </cell>
          <cell r="B373" t="str">
            <v>SCHENECTADY NY</v>
          </cell>
        </row>
        <row r="374">
          <cell r="A374">
            <v>360801</v>
          </cell>
          <cell r="B374" t="str">
            <v>BUFFALO NORTH</v>
          </cell>
        </row>
        <row r="375">
          <cell r="A375">
            <v>360802</v>
          </cell>
          <cell r="B375" t="str">
            <v>BUFFALO SOUTH</v>
          </cell>
        </row>
        <row r="376">
          <cell r="A376">
            <v>360803</v>
          </cell>
          <cell r="B376" t="str">
            <v>NIAGARA FALLS, NY</v>
          </cell>
        </row>
        <row r="377">
          <cell r="A377">
            <v>360901</v>
          </cell>
          <cell r="B377" t="str">
            <v>ROCHESTER NY (CITY OF)</v>
          </cell>
        </row>
        <row r="378">
          <cell r="A378">
            <v>360902</v>
          </cell>
          <cell r="B378" t="str">
            <v>ROCHESTER NY (AREA)</v>
          </cell>
        </row>
        <row r="379">
          <cell r="A379">
            <v>370101</v>
          </cell>
          <cell r="B379" t="str">
            <v>CHARLOTTE AIRPORT/WEST</v>
          </cell>
        </row>
        <row r="380">
          <cell r="A380">
            <v>370102</v>
          </cell>
          <cell r="B380" t="str">
            <v>CHARLOTTE DOWNTOWN/SOUTHPARK</v>
          </cell>
        </row>
        <row r="381">
          <cell r="A381">
            <v>370103</v>
          </cell>
          <cell r="B381" t="str">
            <v>CHARLOTTE EAST</v>
          </cell>
        </row>
        <row r="382">
          <cell r="A382">
            <v>370104</v>
          </cell>
          <cell r="B382" t="str">
            <v>CHARLOTTE NORTH</v>
          </cell>
        </row>
        <row r="383">
          <cell r="A383">
            <v>370105</v>
          </cell>
          <cell r="B383" t="str">
            <v>ROCK HILL, SC</v>
          </cell>
        </row>
        <row r="384">
          <cell r="A384">
            <v>370106</v>
          </cell>
          <cell r="B384" t="str">
            <v>CHARLOTTE SOUTHWEST</v>
          </cell>
        </row>
        <row r="385">
          <cell r="A385">
            <v>370201</v>
          </cell>
          <cell r="B385" t="str">
            <v>WINSTON-SALEM</v>
          </cell>
        </row>
        <row r="386">
          <cell r="A386">
            <v>370202</v>
          </cell>
          <cell r="B386" t="str">
            <v>GREENSBORO</v>
          </cell>
        </row>
        <row r="387">
          <cell r="A387">
            <v>370203</v>
          </cell>
          <cell r="B387" t="str">
            <v>GREENSBORO-WINSTON-SALEM AREA</v>
          </cell>
        </row>
        <row r="388">
          <cell r="A388">
            <v>370301</v>
          </cell>
          <cell r="B388" t="str">
            <v>RALEIGH SOUTH</v>
          </cell>
        </row>
        <row r="389">
          <cell r="A389">
            <v>370302</v>
          </cell>
          <cell r="B389" t="str">
            <v>DURHAM</v>
          </cell>
        </row>
        <row r="390">
          <cell r="A390">
            <v>370303</v>
          </cell>
          <cell r="B390" t="str">
            <v>AIRPORT/TRIANGLE PARK</v>
          </cell>
        </row>
        <row r="391">
          <cell r="A391">
            <v>370304</v>
          </cell>
          <cell r="B391" t="str">
            <v>RALEIGH NORTH-WEST</v>
          </cell>
        </row>
        <row r="392">
          <cell r="A392">
            <v>370305</v>
          </cell>
          <cell r="B392" t="str">
            <v>RALEIGH NORTH-EAST</v>
          </cell>
        </row>
        <row r="393">
          <cell r="A393">
            <v>370401</v>
          </cell>
          <cell r="B393" t="str">
            <v>ASHEVILLE, NC</v>
          </cell>
        </row>
        <row r="394">
          <cell r="A394">
            <v>370402</v>
          </cell>
          <cell r="B394" t="str">
            <v>NORTH CAROLINA WEST CENTRAL</v>
          </cell>
        </row>
        <row r="395">
          <cell r="A395">
            <v>370403</v>
          </cell>
          <cell r="B395" t="str">
            <v>NORTH CAROLINA WEST AREA</v>
          </cell>
        </row>
        <row r="396">
          <cell r="A396">
            <v>370501</v>
          </cell>
          <cell r="B396" t="str">
            <v>WILMINGTON, NC</v>
          </cell>
        </row>
        <row r="397">
          <cell r="A397">
            <v>370503</v>
          </cell>
          <cell r="B397" t="str">
            <v>NORTHEAST BEACH AREA, NC</v>
          </cell>
        </row>
        <row r="398">
          <cell r="A398">
            <v>370504</v>
          </cell>
          <cell r="B398" t="str">
            <v>NORTH CAROLINA EAST AREA</v>
          </cell>
        </row>
        <row r="399">
          <cell r="A399">
            <v>370505</v>
          </cell>
          <cell r="B399" t="str">
            <v>NORTH CAROLINA CENTRAL</v>
          </cell>
        </row>
        <row r="400">
          <cell r="A400">
            <v>370506</v>
          </cell>
          <cell r="B400" t="str">
            <v>SOUTH BEACH AREA</v>
          </cell>
        </row>
        <row r="401">
          <cell r="A401">
            <v>370601</v>
          </cell>
          <cell r="B401" t="str">
            <v>NORTH I-95 CORRIDOR</v>
          </cell>
        </row>
        <row r="402">
          <cell r="A402">
            <v>370602</v>
          </cell>
          <cell r="B402" t="str">
            <v>SOUTH I-95 CORRIDOR</v>
          </cell>
        </row>
        <row r="403">
          <cell r="A403">
            <v>370604</v>
          </cell>
          <cell r="B403" t="str">
            <v>FAYETTEVILLE-LUMBERTON</v>
          </cell>
        </row>
        <row r="404">
          <cell r="A404">
            <v>380101</v>
          </cell>
          <cell r="B404" t="str">
            <v>BISMARCK, ND</v>
          </cell>
        </row>
        <row r="405">
          <cell r="A405">
            <v>380102</v>
          </cell>
          <cell r="B405" t="str">
            <v>NORTH DAKOTA AREA</v>
          </cell>
        </row>
        <row r="406">
          <cell r="A406">
            <v>380103</v>
          </cell>
          <cell r="B406" t="str">
            <v>FARGO, ND</v>
          </cell>
        </row>
        <row r="407">
          <cell r="A407">
            <v>390101</v>
          </cell>
          <cell r="B407" t="str">
            <v>AKRON, OH</v>
          </cell>
        </row>
        <row r="408">
          <cell r="A408">
            <v>390102</v>
          </cell>
          <cell r="B408" t="str">
            <v>SANDUSKY, OH</v>
          </cell>
        </row>
        <row r="409">
          <cell r="A409">
            <v>390103</v>
          </cell>
          <cell r="B409" t="str">
            <v>TOLEDO, OH</v>
          </cell>
        </row>
        <row r="410">
          <cell r="A410">
            <v>390104</v>
          </cell>
          <cell r="B410" t="str">
            <v>YOUNGSTOWN-WARREN, OH</v>
          </cell>
        </row>
        <row r="411">
          <cell r="A411">
            <v>390105</v>
          </cell>
          <cell r="B411" t="str">
            <v>OHIO NORTH AREA</v>
          </cell>
        </row>
        <row r="412">
          <cell r="A412">
            <v>390106</v>
          </cell>
          <cell r="B412" t="str">
            <v>I-75 CORRIDOR NORTH</v>
          </cell>
        </row>
        <row r="413">
          <cell r="A413">
            <v>390201</v>
          </cell>
          <cell r="B413" t="str">
            <v>CINCINNATI</v>
          </cell>
        </row>
        <row r="414">
          <cell r="A414">
            <v>390202</v>
          </cell>
          <cell r="B414" t="str">
            <v>CINCINNATI SOUTH</v>
          </cell>
        </row>
        <row r="415">
          <cell r="A415">
            <v>390203</v>
          </cell>
          <cell r="B415" t="str">
            <v>CINCINNATI NORTH/EAST</v>
          </cell>
        </row>
        <row r="416">
          <cell r="A416">
            <v>390204</v>
          </cell>
          <cell r="B416" t="str">
            <v>WARREN COUNTY</v>
          </cell>
        </row>
        <row r="417">
          <cell r="A417">
            <v>390301</v>
          </cell>
          <cell r="B417" t="str">
            <v>OHIO SOUTH AREA</v>
          </cell>
        </row>
        <row r="418">
          <cell r="A418">
            <v>390401</v>
          </cell>
          <cell r="B418" t="str">
            <v>CLEVELAND AIRPORT</v>
          </cell>
        </row>
        <row r="419">
          <cell r="A419">
            <v>390402</v>
          </cell>
          <cell r="B419" t="str">
            <v>CLEVELAND SOUTH-WEST</v>
          </cell>
        </row>
        <row r="420">
          <cell r="A420">
            <v>390403</v>
          </cell>
          <cell r="B420" t="str">
            <v>CLEVELAND CBD &amp; NORTH-EAST</v>
          </cell>
        </row>
        <row r="421">
          <cell r="A421">
            <v>390501</v>
          </cell>
          <cell r="B421" t="str">
            <v>COLUMBUS SOUTH-EAST</v>
          </cell>
        </row>
        <row r="422">
          <cell r="A422">
            <v>390502</v>
          </cell>
          <cell r="B422" t="str">
            <v>COLUMBUS &amp; WEST</v>
          </cell>
        </row>
        <row r="423">
          <cell r="A423">
            <v>390503</v>
          </cell>
          <cell r="B423" t="str">
            <v>COLUMBUS-WORTHINGTON</v>
          </cell>
        </row>
        <row r="424">
          <cell r="A424">
            <v>390601</v>
          </cell>
          <cell r="B424" t="str">
            <v>DAYTON OH</v>
          </cell>
        </row>
        <row r="425">
          <cell r="A425">
            <v>390602</v>
          </cell>
          <cell r="B425" t="str">
            <v>SPRINGFIELD OH</v>
          </cell>
        </row>
        <row r="426">
          <cell r="A426">
            <v>400101</v>
          </cell>
          <cell r="B426" t="str">
            <v>OKLAHOMA CITY AIRPORT-SOUTH</v>
          </cell>
        </row>
        <row r="427">
          <cell r="A427">
            <v>400102</v>
          </cell>
          <cell r="B427" t="str">
            <v>OKLAHOMA CITY &amp; NORTH</v>
          </cell>
        </row>
        <row r="428">
          <cell r="A428">
            <v>400202</v>
          </cell>
          <cell r="B428" t="str">
            <v>OKLAHOMA WEST</v>
          </cell>
        </row>
        <row r="429">
          <cell r="A429">
            <v>400203</v>
          </cell>
          <cell r="B429" t="str">
            <v>OKLAHOMA EAST</v>
          </cell>
        </row>
        <row r="430">
          <cell r="A430">
            <v>400301</v>
          </cell>
          <cell r="B430" t="str">
            <v>TULSA AIRPORT-NORTH</v>
          </cell>
        </row>
        <row r="431">
          <cell r="A431">
            <v>400302</v>
          </cell>
          <cell r="B431" t="str">
            <v>TULSA &amp; SOUTHWEST</v>
          </cell>
        </row>
        <row r="432">
          <cell r="A432">
            <v>410101</v>
          </cell>
          <cell r="B432" t="str">
            <v>PORTLAND AIRPORT</v>
          </cell>
        </row>
        <row r="433">
          <cell r="A433">
            <v>410102</v>
          </cell>
          <cell r="B433" t="str">
            <v>DOWNTOWN &amp; WEST</v>
          </cell>
        </row>
        <row r="434">
          <cell r="A434">
            <v>410103</v>
          </cell>
          <cell r="B434" t="str">
            <v>PORTLAND EAST &amp; SOUTH</v>
          </cell>
        </row>
        <row r="435">
          <cell r="A435">
            <v>410201</v>
          </cell>
          <cell r="B435" t="str">
            <v>OREGON WEST AREA</v>
          </cell>
        </row>
        <row r="436">
          <cell r="A436">
            <v>410202</v>
          </cell>
          <cell r="B436" t="str">
            <v>OREGON EAST AREA</v>
          </cell>
        </row>
        <row r="437">
          <cell r="A437">
            <v>410203</v>
          </cell>
          <cell r="B437" t="str">
            <v>EUGENE</v>
          </cell>
        </row>
        <row r="438">
          <cell r="A438">
            <v>410204</v>
          </cell>
          <cell r="B438" t="str">
            <v>MEDFORD/GRANTS PASS</v>
          </cell>
        </row>
        <row r="439">
          <cell r="A439">
            <v>420101</v>
          </cell>
          <cell r="B439" t="str">
            <v>PHILA CENTER CITY</v>
          </cell>
        </row>
        <row r="440">
          <cell r="A440">
            <v>420102</v>
          </cell>
          <cell r="B440" t="str">
            <v>PHILA NORTHERN SUBURBS</v>
          </cell>
        </row>
        <row r="441">
          <cell r="A441">
            <v>420103</v>
          </cell>
          <cell r="B441" t="str">
            <v>PHILA WESTERN SUBURBS</v>
          </cell>
        </row>
        <row r="442">
          <cell r="A442">
            <v>420104</v>
          </cell>
          <cell r="B442" t="str">
            <v>SOUTH JERSEY</v>
          </cell>
        </row>
        <row r="443">
          <cell r="A443">
            <v>420105</v>
          </cell>
          <cell r="B443" t="str">
            <v>PHILA AIRPORT/STADIUM</v>
          </cell>
        </row>
        <row r="444">
          <cell r="A444">
            <v>420106</v>
          </cell>
          <cell r="B444" t="str">
            <v>PHILA NORTHEAST/LOWER BUCKS</v>
          </cell>
        </row>
        <row r="445">
          <cell r="A445">
            <v>420201</v>
          </cell>
          <cell r="B445" t="str">
            <v>PITTSBURGH SOUTH-WEST</v>
          </cell>
        </row>
        <row r="446">
          <cell r="A446">
            <v>420202</v>
          </cell>
          <cell r="B446" t="str">
            <v>PITTSBURGH PA AREA</v>
          </cell>
        </row>
        <row r="447">
          <cell r="A447">
            <v>420203</v>
          </cell>
          <cell r="B447" t="str">
            <v>PITTSBURGH &amp; NORTH-EAST</v>
          </cell>
        </row>
        <row r="448">
          <cell r="A448">
            <v>420301</v>
          </cell>
          <cell r="B448" t="str">
            <v>LANCASTER, PA</v>
          </cell>
        </row>
        <row r="449">
          <cell r="A449">
            <v>420302</v>
          </cell>
          <cell r="B449" t="str">
            <v>YORK, PA</v>
          </cell>
        </row>
        <row r="450">
          <cell r="A450">
            <v>420401</v>
          </cell>
          <cell r="B450" t="str">
            <v>SCRANTON/WILKES-BARRE/POCONOS</v>
          </cell>
        </row>
        <row r="451">
          <cell r="A451">
            <v>420402</v>
          </cell>
          <cell r="B451" t="str">
            <v>POCONOS AREA</v>
          </cell>
        </row>
        <row r="452">
          <cell r="A452">
            <v>420502</v>
          </cell>
          <cell r="B452" t="str">
            <v>PENNSYLVANIA NORTHWEST</v>
          </cell>
        </row>
        <row r="453">
          <cell r="A453">
            <v>420503</v>
          </cell>
          <cell r="B453" t="str">
            <v>PENNSYLVANIA CENTRAL</v>
          </cell>
        </row>
        <row r="454">
          <cell r="A454">
            <v>420504</v>
          </cell>
          <cell r="B454" t="str">
            <v>ALTOONA/JOHNSTOWN PA</v>
          </cell>
        </row>
        <row r="455">
          <cell r="A455">
            <v>420601</v>
          </cell>
          <cell r="B455" t="str">
            <v>CARLISLE/MECHANICSBURG PA</v>
          </cell>
        </row>
        <row r="456">
          <cell r="A456">
            <v>420602</v>
          </cell>
          <cell r="B456" t="str">
            <v>HARRISBURG/HERSHEY PA</v>
          </cell>
        </row>
        <row r="457">
          <cell r="A457">
            <v>420701</v>
          </cell>
          <cell r="B457" t="str">
            <v>ALLENTOWN</v>
          </cell>
        </row>
        <row r="458">
          <cell r="A458">
            <v>420702</v>
          </cell>
          <cell r="B458" t="str">
            <v>READING</v>
          </cell>
        </row>
        <row r="459">
          <cell r="A459">
            <v>440201</v>
          </cell>
          <cell r="B459" t="str">
            <v>RHODE ISLAND</v>
          </cell>
        </row>
        <row r="460">
          <cell r="A460">
            <v>450101</v>
          </cell>
          <cell r="B460" t="str">
            <v>GREENVILLE</v>
          </cell>
        </row>
        <row r="461">
          <cell r="A461">
            <v>450102</v>
          </cell>
          <cell r="B461" t="str">
            <v>SPARTANBURG</v>
          </cell>
        </row>
        <row r="462">
          <cell r="A462">
            <v>450201</v>
          </cell>
          <cell r="B462" t="str">
            <v>COLUMBIA EAST</v>
          </cell>
        </row>
        <row r="463">
          <cell r="A463">
            <v>450202</v>
          </cell>
          <cell r="B463" t="str">
            <v>COLUMBIA WEST</v>
          </cell>
        </row>
        <row r="464">
          <cell r="A464">
            <v>450301</v>
          </cell>
          <cell r="B464" t="str">
            <v>FLORENCE/DILLION</v>
          </cell>
        </row>
        <row r="465">
          <cell r="A465">
            <v>450303</v>
          </cell>
          <cell r="B465" t="str">
            <v>HILTON HEAD</v>
          </cell>
        </row>
        <row r="466">
          <cell r="A466">
            <v>450304</v>
          </cell>
          <cell r="B466" t="str">
            <v>I-95 CORRIDOR</v>
          </cell>
        </row>
        <row r="467">
          <cell r="A467">
            <v>450305</v>
          </cell>
          <cell r="B467" t="str">
            <v>SOUTH CAROLINA SMALL TOWN</v>
          </cell>
        </row>
        <row r="468">
          <cell r="A468">
            <v>450401</v>
          </cell>
          <cell r="B468" t="str">
            <v>CHARLESTON AIRPORT-NORTH</v>
          </cell>
        </row>
        <row r="469">
          <cell r="A469">
            <v>450402</v>
          </cell>
          <cell r="B469" t="str">
            <v>CHARLESTON</v>
          </cell>
        </row>
        <row r="470">
          <cell r="A470">
            <v>450403</v>
          </cell>
          <cell r="B470" t="str">
            <v>CHARLESTON SOUTH</v>
          </cell>
        </row>
        <row r="471">
          <cell r="A471">
            <v>450501</v>
          </cell>
          <cell r="B471" t="str">
            <v>MYRTLE BEACH NORTH AREA</v>
          </cell>
        </row>
        <row r="472">
          <cell r="A472">
            <v>450502</v>
          </cell>
          <cell r="B472" t="str">
            <v>MYRTLE BEACH &amp; SOUTH</v>
          </cell>
        </row>
        <row r="473">
          <cell r="A473">
            <v>460101</v>
          </cell>
          <cell r="B473" t="str">
            <v>RAPID CITY, SD</v>
          </cell>
        </row>
        <row r="474">
          <cell r="A474">
            <v>460102</v>
          </cell>
          <cell r="B474" t="str">
            <v>SIOUX FALLS, SD</v>
          </cell>
        </row>
        <row r="475">
          <cell r="A475">
            <v>460103</v>
          </cell>
          <cell r="B475" t="str">
            <v>SOUTH DAKOTA AREA</v>
          </cell>
        </row>
        <row r="476">
          <cell r="A476">
            <v>470101</v>
          </cell>
          <cell r="B476" t="str">
            <v>KNOXVILLE</v>
          </cell>
        </row>
        <row r="477">
          <cell r="A477">
            <v>470103</v>
          </cell>
          <cell r="B477" t="str">
            <v>KNOXVILLE TN AREA</v>
          </cell>
        </row>
        <row r="478">
          <cell r="A478">
            <v>470201</v>
          </cell>
          <cell r="B478" t="str">
            <v>MEMPHIS</v>
          </cell>
        </row>
        <row r="479">
          <cell r="A479">
            <v>470202</v>
          </cell>
          <cell r="B479" t="str">
            <v>MEMPHIS AIRPORT &amp; SOUTH</v>
          </cell>
        </row>
        <row r="480">
          <cell r="A480">
            <v>470203</v>
          </cell>
          <cell r="B480" t="str">
            <v>MEMPHIS EAST</v>
          </cell>
        </row>
        <row r="481">
          <cell r="A481">
            <v>470204</v>
          </cell>
          <cell r="B481" t="str">
            <v>WEST MEMPHIS</v>
          </cell>
        </row>
        <row r="482">
          <cell r="A482">
            <v>470301</v>
          </cell>
          <cell r="B482" t="str">
            <v>NASHVILLE DOWNTOWN &amp; SOUTH</v>
          </cell>
        </row>
        <row r="483">
          <cell r="A483">
            <v>470302</v>
          </cell>
          <cell r="B483" t="str">
            <v>NASHVILLE EAST AIRPORT</v>
          </cell>
        </row>
        <row r="484">
          <cell r="A484">
            <v>470303</v>
          </cell>
          <cell r="B484" t="str">
            <v>NASHVILLE TN AREA NORTH</v>
          </cell>
        </row>
        <row r="485">
          <cell r="A485">
            <v>470304</v>
          </cell>
          <cell r="B485" t="str">
            <v>NASHVILLE METRO CENTER-NORTH</v>
          </cell>
        </row>
        <row r="486">
          <cell r="A486">
            <v>470305</v>
          </cell>
          <cell r="B486" t="str">
            <v>NASHVILLE TN AREA SOUTH</v>
          </cell>
        </row>
        <row r="487">
          <cell r="A487">
            <v>470402</v>
          </cell>
          <cell r="B487" t="str">
            <v>JOHNSON CITY-BRISTOL, TN-VA</v>
          </cell>
        </row>
        <row r="488">
          <cell r="A488">
            <v>470403</v>
          </cell>
          <cell r="B488" t="str">
            <v>TENNESSEE EAST AREA</v>
          </cell>
        </row>
        <row r="489">
          <cell r="A489">
            <v>470404</v>
          </cell>
          <cell r="B489" t="str">
            <v>TENNESSEE CENTRAL AREA</v>
          </cell>
        </row>
        <row r="490">
          <cell r="A490">
            <v>470405</v>
          </cell>
          <cell r="B490" t="str">
            <v>TENNESSEE WEST AREA</v>
          </cell>
        </row>
        <row r="491">
          <cell r="A491">
            <v>470501</v>
          </cell>
          <cell r="B491" t="str">
            <v>CHATTANOOGA</v>
          </cell>
        </row>
        <row r="492">
          <cell r="A492">
            <v>470502</v>
          </cell>
          <cell r="B492" t="str">
            <v>CHATTANOOGA AREA</v>
          </cell>
        </row>
        <row r="493">
          <cell r="A493">
            <v>470601</v>
          </cell>
          <cell r="B493" t="str">
            <v>GATLINBURG</v>
          </cell>
        </row>
        <row r="494">
          <cell r="A494">
            <v>470602</v>
          </cell>
          <cell r="B494" t="str">
            <v>PIGEON FORGE</v>
          </cell>
        </row>
        <row r="495">
          <cell r="A495">
            <v>480101</v>
          </cell>
          <cell r="B495" t="str">
            <v>AUSTIN</v>
          </cell>
        </row>
        <row r="496">
          <cell r="A496">
            <v>480102</v>
          </cell>
          <cell r="B496" t="str">
            <v>AUSTIN NORTH</v>
          </cell>
        </row>
        <row r="497">
          <cell r="A497">
            <v>480103</v>
          </cell>
          <cell r="B497" t="str">
            <v>AUSTIN SOUTH</v>
          </cell>
        </row>
        <row r="498">
          <cell r="A498">
            <v>480201</v>
          </cell>
          <cell r="B498" t="str">
            <v>DALLAS/MARKET CENTER</v>
          </cell>
        </row>
        <row r="499">
          <cell r="A499">
            <v>480202</v>
          </cell>
          <cell r="B499" t="str">
            <v>IRVING NORTH</v>
          </cell>
        </row>
        <row r="500">
          <cell r="A500">
            <v>480203</v>
          </cell>
          <cell r="B500" t="str">
            <v>DALLAS NORTH</v>
          </cell>
        </row>
        <row r="501">
          <cell r="A501">
            <v>480204</v>
          </cell>
          <cell r="B501" t="str">
            <v>DALLAS NORTHWEST</v>
          </cell>
        </row>
        <row r="502">
          <cell r="A502">
            <v>480205</v>
          </cell>
          <cell r="B502" t="str">
            <v>DALLAS SOUTH-EAST</v>
          </cell>
        </row>
        <row r="503">
          <cell r="A503">
            <v>480206</v>
          </cell>
          <cell r="B503" t="str">
            <v>IRVING SOUTH/GRAND PRAIRE</v>
          </cell>
        </row>
        <row r="504">
          <cell r="A504">
            <v>480207</v>
          </cell>
          <cell r="B504" t="str">
            <v>DALLAS NORTH AREA</v>
          </cell>
        </row>
        <row r="505">
          <cell r="A505">
            <v>480208</v>
          </cell>
          <cell r="B505" t="str">
            <v>PLANO/RICHARDSON</v>
          </cell>
        </row>
        <row r="506">
          <cell r="A506">
            <v>480301</v>
          </cell>
          <cell r="B506" t="str">
            <v>FORT WORTH</v>
          </cell>
        </row>
        <row r="507">
          <cell r="A507">
            <v>480302</v>
          </cell>
          <cell r="B507" t="str">
            <v>ARLINGTON-EULESS</v>
          </cell>
        </row>
        <row r="508">
          <cell r="A508">
            <v>480401</v>
          </cell>
          <cell r="B508" t="str">
            <v>HOUSTON/SOUTH</v>
          </cell>
        </row>
        <row r="509">
          <cell r="A509">
            <v>480402</v>
          </cell>
          <cell r="B509" t="str">
            <v>HOUSTON EAST/NASA/BAYTOWN</v>
          </cell>
        </row>
        <row r="510">
          <cell r="A510">
            <v>480404</v>
          </cell>
          <cell r="B510" t="str">
            <v>HOUSTON SOUTHWEST</v>
          </cell>
        </row>
        <row r="511">
          <cell r="A511">
            <v>480405</v>
          </cell>
          <cell r="B511" t="str">
            <v>HOUSTON WEST</v>
          </cell>
        </row>
        <row r="512">
          <cell r="A512">
            <v>480406</v>
          </cell>
          <cell r="B512" t="str">
            <v>HOUSTON NORTHWEST</v>
          </cell>
        </row>
        <row r="513">
          <cell r="A513">
            <v>480407</v>
          </cell>
          <cell r="B513" t="str">
            <v>HOUSTON NORTH</v>
          </cell>
        </row>
        <row r="514">
          <cell r="A514">
            <v>480501</v>
          </cell>
          <cell r="B514" t="str">
            <v>SAN ANTONIO</v>
          </cell>
        </row>
        <row r="515">
          <cell r="A515">
            <v>480502</v>
          </cell>
          <cell r="B515" t="str">
            <v>SAN ANTONIO NORTHEAST</v>
          </cell>
        </row>
        <row r="516">
          <cell r="A516">
            <v>480503</v>
          </cell>
          <cell r="B516" t="str">
            <v>SAN ANTONIO NORTHWEST</v>
          </cell>
        </row>
        <row r="517">
          <cell r="A517">
            <v>480504</v>
          </cell>
          <cell r="B517" t="str">
            <v>SAN ANTONIO AIRPORT</v>
          </cell>
        </row>
        <row r="518">
          <cell r="A518">
            <v>480505</v>
          </cell>
          <cell r="B518" t="str">
            <v>SAN ANTONIO EAST</v>
          </cell>
        </row>
        <row r="519">
          <cell r="A519">
            <v>480601</v>
          </cell>
          <cell r="B519" t="str">
            <v>AMARILLO, TX</v>
          </cell>
        </row>
        <row r="520">
          <cell r="A520">
            <v>480602</v>
          </cell>
          <cell r="B520" t="str">
            <v>TEXAS NORTH AREA</v>
          </cell>
        </row>
        <row r="521">
          <cell r="A521">
            <v>480701</v>
          </cell>
          <cell r="B521" t="str">
            <v>BROWNSVILLE-HARLINGEN, TX</v>
          </cell>
        </row>
        <row r="522">
          <cell r="A522">
            <v>480702</v>
          </cell>
          <cell r="B522" t="str">
            <v>CORPUS CHRISTI, TX</v>
          </cell>
        </row>
        <row r="523">
          <cell r="A523">
            <v>480703</v>
          </cell>
          <cell r="B523" t="str">
            <v>MCALLEN, TX</v>
          </cell>
        </row>
        <row r="524">
          <cell r="A524">
            <v>480704</v>
          </cell>
          <cell r="B524" t="str">
            <v>TEXAS SOUTH AREA</v>
          </cell>
        </row>
        <row r="525">
          <cell r="A525">
            <v>480801</v>
          </cell>
          <cell r="B525" t="str">
            <v>EL PASO, TX</v>
          </cell>
        </row>
        <row r="526">
          <cell r="A526">
            <v>480802</v>
          </cell>
          <cell r="B526" t="str">
            <v>MIDLAND-ODESSA</v>
          </cell>
        </row>
        <row r="527">
          <cell r="A527">
            <v>480803</v>
          </cell>
          <cell r="B527" t="str">
            <v>TEXAS WEST AREA</v>
          </cell>
        </row>
        <row r="528">
          <cell r="A528">
            <v>480901</v>
          </cell>
          <cell r="B528" t="str">
            <v>ABILENE, TX</v>
          </cell>
        </row>
        <row r="529">
          <cell r="A529">
            <v>480902</v>
          </cell>
          <cell r="B529" t="str">
            <v>BEAUMONT-PORT ARTHUR, TX</v>
          </cell>
        </row>
        <row r="530">
          <cell r="A530">
            <v>480903</v>
          </cell>
          <cell r="B530" t="str">
            <v>BRYAN COLLEGE STATION, TX</v>
          </cell>
        </row>
        <row r="531">
          <cell r="A531">
            <v>480904</v>
          </cell>
          <cell r="B531" t="str">
            <v>GALVESTON-TEXAS CITY, TX</v>
          </cell>
        </row>
        <row r="532">
          <cell r="A532">
            <v>480905</v>
          </cell>
          <cell r="B532" t="str">
            <v>KILLEEN-TEMPLE, TX</v>
          </cell>
        </row>
        <row r="533">
          <cell r="A533">
            <v>480906</v>
          </cell>
          <cell r="B533" t="str">
            <v>LONGVIEW-MARSHALL, TX</v>
          </cell>
        </row>
        <row r="534">
          <cell r="A534">
            <v>480907</v>
          </cell>
          <cell r="B534" t="str">
            <v>WICHITA FALLS</v>
          </cell>
        </row>
        <row r="535">
          <cell r="A535">
            <v>480908</v>
          </cell>
          <cell r="B535" t="str">
            <v>TYLER, TX</v>
          </cell>
        </row>
        <row r="536">
          <cell r="A536">
            <v>480909</v>
          </cell>
          <cell r="B536" t="str">
            <v>TEXAS EAST AREA</v>
          </cell>
        </row>
        <row r="537">
          <cell r="A537">
            <v>490101</v>
          </cell>
          <cell r="B537" t="str">
            <v>SALT LAKE CITY SOUTH</v>
          </cell>
        </row>
        <row r="538">
          <cell r="A538">
            <v>490102</v>
          </cell>
          <cell r="B538" t="str">
            <v>SALT LAKE CITY</v>
          </cell>
        </row>
        <row r="539">
          <cell r="A539">
            <v>490103</v>
          </cell>
          <cell r="B539" t="str">
            <v>SALT LAKE CITY NORTH</v>
          </cell>
        </row>
        <row r="540">
          <cell r="A540">
            <v>490201</v>
          </cell>
          <cell r="B540" t="str">
            <v>I-15 CORRIDOR</v>
          </cell>
        </row>
        <row r="541">
          <cell r="A541">
            <v>490202</v>
          </cell>
          <cell r="B541" t="str">
            <v>UTAH EAST AREA</v>
          </cell>
        </row>
        <row r="542">
          <cell r="A542">
            <v>500201</v>
          </cell>
          <cell r="B542" t="str">
            <v>VERMONT NORTH</v>
          </cell>
        </row>
        <row r="543">
          <cell r="A543">
            <v>500202</v>
          </cell>
          <cell r="B543" t="str">
            <v>VERMONT SOUTH</v>
          </cell>
        </row>
        <row r="544">
          <cell r="A544">
            <v>510101</v>
          </cell>
          <cell r="B544" t="str">
            <v>WILLIAMSBURG</v>
          </cell>
        </row>
        <row r="545">
          <cell r="A545">
            <v>510102</v>
          </cell>
          <cell r="B545" t="str">
            <v>VIRGINIA BEACH CITY</v>
          </cell>
        </row>
        <row r="546">
          <cell r="A546">
            <v>510103</v>
          </cell>
          <cell r="B546" t="str">
            <v>NORFOLK CITY</v>
          </cell>
        </row>
        <row r="547">
          <cell r="A547">
            <v>510104</v>
          </cell>
          <cell r="B547" t="str">
            <v>NEWPORT NEWS/HAMPTON</v>
          </cell>
        </row>
        <row r="548">
          <cell r="A548">
            <v>510105</v>
          </cell>
          <cell r="B548" t="str">
            <v>CHEASAPEAKE/PORTSMOUTH</v>
          </cell>
        </row>
        <row r="549">
          <cell r="A549">
            <v>510201</v>
          </cell>
          <cell r="B549" t="str">
            <v>RICHMOND CITY</v>
          </cell>
        </row>
        <row r="550">
          <cell r="A550">
            <v>510202</v>
          </cell>
          <cell r="B550" t="str">
            <v>HENRICO</v>
          </cell>
        </row>
        <row r="551">
          <cell r="A551">
            <v>510203</v>
          </cell>
          <cell r="B551" t="str">
            <v>RICHMOND AREA</v>
          </cell>
        </row>
        <row r="552">
          <cell r="A552">
            <v>510301</v>
          </cell>
          <cell r="B552" t="str">
            <v>LEXINGTON-WINCHESTER</v>
          </cell>
        </row>
        <row r="553">
          <cell r="A553">
            <v>510302</v>
          </cell>
          <cell r="B553" t="str">
            <v>ROANOKE, VA</v>
          </cell>
        </row>
        <row r="554">
          <cell r="A554">
            <v>510303</v>
          </cell>
          <cell r="B554" t="str">
            <v>I-81/I-77 CROSSROADS</v>
          </cell>
        </row>
        <row r="555">
          <cell r="A555">
            <v>510401</v>
          </cell>
          <cell r="B555" t="str">
            <v>VIRGINIA NORTH</v>
          </cell>
        </row>
        <row r="556">
          <cell r="A556">
            <v>510402</v>
          </cell>
          <cell r="B556" t="str">
            <v>VIRGINIA SOUTH</v>
          </cell>
        </row>
        <row r="557">
          <cell r="A557">
            <v>510403</v>
          </cell>
          <cell r="B557" t="str">
            <v>CHARLOTTESVILLE, VA</v>
          </cell>
        </row>
        <row r="558">
          <cell r="A558">
            <v>530101</v>
          </cell>
          <cell r="B558" t="str">
            <v>SEATTLE AIRPORT</v>
          </cell>
        </row>
        <row r="559">
          <cell r="A559">
            <v>530102</v>
          </cell>
          <cell r="B559" t="str">
            <v>SEATTLE SOUTH &amp; EAST</v>
          </cell>
        </row>
        <row r="560">
          <cell r="A560">
            <v>530103</v>
          </cell>
          <cell r="B560" t="str">
            <v>SEATTLE</v>
          </cell>
        </row>
        <row r="561">
          <cell r="A561">
            <v>530104</v>
          </cell>
          <cell r="B561" t="str">
            <v>SEATTLE NORTH</v>
          </cell>
        </row>
        <row r="562">
          <cell r="A562">
            <v>530201</v>
          </cell>
          <cell r="B562" t="str">
            <v>SPOKANE, WA</v>
          </cell>
        </row>
        <row r="563">
          <cell r="A563">
            <v>530202</v>
          </cell>
          <cell r="B563" t="str">
            <v>WASHINGTON EAST AREA</v>
          </cell>
        </row>
        <row r="564">
          <cell r="A564">
            <v>530301</v>
          </cell>
          <cell r="B564" t="str">
            <v>TACOMA WA</v>
          </cell>
        </row>
        <row r="565">
          <cell r="A565">
            <v>530302</v>
          </cell>
          <cell r="B565" t="str">
            <v>WASHINGTON NORTHWEST AREA</v>
          </cell>
        </row>
        <row r="566">
          <cell r="A566">
            <v>530303</v>
          </cell>
          <cell r="B566" t="str">
            <v>WASHINGTON SOUTHWEST AREA</v>
          </cell>
        </row>
        <row r="567">
          <cell r="A567">
            <v>540101</v>
          </cell>
          <cell r="B567" t="str">
            <v>WEST VIRGINIA SOUTH</v>
          </cell>
        </row>
        <row r="568">
          <cell r="A568">
            <v>540102</v>
          </cell>
          <cell r="B568" t="str">
            <v>WEST VIRGINIA NORTH</v>
          </cell>
        </row>
        <row r="569">
          <cell r="A569">
            <v>550101</v>
          </cell>
          <cell r="B569" t="str">
            <v>MADISON, WI</v>
          </cell>
        </row>
        <row r="570">
          <cell r="A570">
            <v>550102</v>
          </cell>
          <cell r="B570" t="str">
            <v>LA CROSSE, WI</v>
          </cell>
        </row>
        <row r="571">
          <cell r="A571">
            <v>550103</v>
          </cell>
          <cell r="B571" t="str">
            <v>WISCONSIN SOUTH AREA</v>
          </cell>
        </row>
        <row r="572">
          <cell r="A572">
            <v>550201</v>
          </cell>
          <cell r="B572" t="str">
            <v>GREEN BAY, WI</v>
          </cell>
        </row>
        <row r="573">
          <cell r="A573">
            <v>550202</v>
          </cell>
          <cell r="B573" t="str">
            <v>WISCONSIN NORTH AREA</v>
          </cell>
        </row>
        <row r="574">
          <cell r="A574">
            <v>550203</v>
          </cell>
          <cell r="B574" t="str">
            <v>APPLETON/OSHKOSH/NEENAH</v>
          </cell>
        </row>
        <row r="575">
          <cell r="A575">
            <v>550301</v>
          </cell>
          <cell r="B575" t="str">
            <v>MILWAUKEE NORTH</v>
          </cell>
        </row>
        <row r="576">
          <cell r="A576">
            <v>550302</v>
          </cell>
          <cell r="B576" t="str">
            <v>MILWAUKEE</v>
          </cell>
        </row>
        <row r="577">
          <cell r="A577">
            <v>550303</v>
          </cell>
          <cell r="B577" t="str">
            <v>MILWAUKEE WEST-SOUTH</v>
          </cell>
        </row>
        <row r="578">
          <cell r="A578">
            <v>560101</v>
          </cell>
          <cell r="B578" t="str">
            <v>I-25 CORRIDOR</v>
          </cell>
        </row>
        <row r="579">
          <cell r="A579">
            <v>560102</v>
          </cell>
          <cell r="B579" t="str">
            <v>I-80 CORRIDOR</v>
          </cell>
        </row>
        <row r="580">
          <cell r="A580">
            <v>560103</v>
          </cell>
          <cell r="B580" t="str">
            <v>WYOMING AREA</v>
          </cell>
        </row>
      </sheetData>
      <sheetData sheetId="6">
        <row r="2">
          <cell r="B2">
            <v>1</v>
          </cell>
          <cell r="C2" t="str">
            <v>URBAN</v>
          </cell>
          <cell r="E2">
            <v>1</v>
          </cell>
          <cell r="F2" t="str">
            <v>LOWER TIER</v>
          </cell>
        </row>
        <row r="3">
          <cell r="B3">
            <v>2</v>
          </cell>
          <cell r="C3" t="str">
            <v>SUBURBAN</v>
          </cell>
          <cell r="E3">
            <v>2</v>
          </cell>
          <cell r="F3" t="str">
            <v>MIDDLE TIER</v>
          </cell>
        </row>
        <row r="4">
          <cell r="B4">
            <v>3</v>
          </cell>
          <cell r="C4" t="str">
            <v>AIRPORT</v>
          </cell>
          <cell r="E4">
            <v>3</v>
          </cell>
          <cell r="F4" t="str">
            <v>UPPER TIER</v>
          </cell>
        </row>
        <row r="5">
          <cell r="B5">
            <v>4</v>
          </cell>
          <cell r="C5" t="str">
            <v>HIGHWAY</v>
          </cell>
        </row>
        <row r="6">
          <cell r="B6">
            <v>5</v>
          </cell>
          <cell r="C6" t="str">
            <v>RESORT</v>
          </cell>
        </row>
        <row r="10">
          <cell r="B10">
            <v>1</v>
          </cell>
          <cell r="C10" t="str">
            <v>CHAIN MANAGEMENT</v>
          </cell>
          <cell r="E10">
            <v>1</v>
          </cell>
          <cell r="F10" t="str">
            <v>GAMING</v>
          </cell>
        </row>
        <row r="11">
          <cell r="B11">
            <v>2</v>
          </cell>
          <cell r="C11" t="str">
            <v>FRANCHISE</v>
          </cell>
          <cell r="E11">
            <v>2</v>
          </cell>
          <cell r="F11" t="str">
            <v>CONVENTION</v>
          </cell>
        </row>
        <row r="12">
          <cell r="B12">
            <v>3</v>
          </cell>
          <cell r="C12" t="str">
            <v>INDEPENDENT</v>
          </cell>
          <cell r="E12">
            <v>3</v>
          </cell>
          <cell r="F12" t="str">
            <v>CONFERENCE</v>
          </cell>
        </row>
        <row r="13">
          <cell r="B13">
            <v>4</v>
          </cell>
          <cell r="C13" t="str">
            <v>LEASED</v>
          </cell>
          <cell r="E13">
            <v>4</v>
          </cell>
          <cell r="F13" t="str">
            <v>ALL SUITES</v>
          </cell>
        </row>
        <row r="14">
          <cell r="B14">
            <v>5</v>
          </cell>
          <cell r="C14" t="str">
            <v>OWNED</v>
          </cell>
          <cell r="E14">
            <v>5</v>
          </cell>
          <cell r="F14" t="str">
            <v>HOTEL</v>
          </cell>
        </row>
        <row r="19">
          <cell r="B19">
            <v>1</v>
          </cell>
          <cell r="C19" t="str">
            <v>LUXURY</v>
          </cell>
        </row>
        <row r="20">
          <cell r="B20">
            <v>2</v>
          </cell>
          <cell r="C20" t="str">
            <v>UPSCALE</v>
          </cell>
        </row>
        <row r="21">
          <cell r="B21">
            <v>3</v>
          </cell>
          <cell r="C21" t="str">
            <v>MIDPRICE</v>
          </cell>
        </row>
        <row r="22">
          <cell r="B22">
            <v>4</v>
          </cell>
          <cell r="C22" t="str">
            <v>ECONOMY</v>
          </cell>
        </row>
        <row r="23">
          <cell r="B23">
            <v>5</v>
          </cell>
          <cell r="C23" t="str">
            <v>BUDGET</v>
          </cell>
        </row>
        <row r="26">
          <cell r="B26">
            <v>1</v>
          </cell>
          <cell r="C26" t="str">
            <v>NEW ENGLAND</v>
          </cell>
        </row>
        <row r="27">
          <cell r="B27">
            <v>2</v>
          </cell>
          <cell r="C27" t="str">
            <v>MIDDLE ATLANTIC</v>
          </cell>
        </row>
        <row r="28">
          <cell r="B28">
            <v>3</v>
          </cell>
          <cell r="C28" t="str">
            <v>SOUTH ATLANTIC</v>
          </cell>
        </row>
        <row r="29">
          <cell r="B29">
            <v>4</v>
          </cell>
          <cell r="C29" t="str">
            <v>EAST NORTH CENTRAL</v>
          </cell>
        </row>
        <row r="30">
          <cell r="B30">
            <v>5</v>
          </cell>
          <cell r="C30" t="str">
            <v>EAST SOUTH CENTRAL</v>
          </cell>
        </row>
        <row r="31">
          <cell r="B31">
            <v>6</v>
          </cell>
          <cell r="C31" t="str">
            <v>WEST NORTH CENTRAL</v>
          </cell>
        </row>
        <row r="32">
          <cell r="B32">
            <v>7</v>
          </cell>
          <cell r="C32" t="str">
            <v>WEST SOUTH CENTRAL</v>
          </cell>
        </row>
        <row r="33">
          <cell r="B33">
            <v>8</v>
          </cell>
          <cell r="C33" t="str">
            <v>MOUNTAIN</v>
          </cell>
        </row>
        <row r="34">
          <cell r="B34">
            <v>9</v>
          </cell>
          <cell r="C34" t="str">
            <v>PACIFIC</v>
          </cell>
        </row>
        <row r="37">
          <cell r="B37">
            <v>1</v>
          </cell>
          <cell r="C37" t="str">
            <v>RESTAURANT</v>
          </cell>
        </row>
        <row r="38">
          <cell r="B38">
            <v>2</v>
          </cell>
          <cell r="C38" t="str">
            <v>NO RESTAURANT</v>
          </cell>
        </row>
        <row r="42">
          <cell r="B42">
            <v>1</v>
          </cell>
          <cell r="C42" t="str">
            <v>UPPER UPSCALE</v>
          </cell>
        </row>
        <row r="43">
          <cell r="B43">
            <v>2</v>
          </cell>
          <cell r="C43" t="str">
            <v>UPSCALE</v>
          </cell>
        </row>
        <row r="44">
          <cell r="B44">
            <v>3</v>
          </cell>
          <cell r="C44" t="str">
            <v>MIDSCALE W/ F&amp;B</v>
          </cell>
        </row>
        <row r="45">
          <cell r="B45">
            <v>4</v>
          </cell>
          <cell r="C45" t="str">
            <v>MIDSCALE W/O F&amp;B</v>
          </cell>
        </row>
        <row r="46">
          <cell r="B46">
            <v>5</v>
          </cell>
          <cell r="C46" t="str">
            <v>ECONOMY</v>
          </cell>
        </row>
        <row r="47">
          <cell r="B47">
            <v>6</v>
          </cell>
          <cell r="C47" t="str">
            <v>INDEPENDENTS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300000"/>
      <sheetName val="Introduction"/>
      <sheetName val="Summary Model"/>
      <sheetName val="05 Quarterly"/>
      <sheetName val="04 Quarterly"/>
      <sheetName val="Income Statement"/>
      <sheetName val="Regional Sales OM GM"/>
      <sheetName val="Category Sales"/>
      <sheetName val="Balance Sheet"/>
      <sheetName val="BS Assumptions and Calcs"/>
      <sheetName val="Cash Flow"/>
      <sheetName val="Report"/>
      <sheetName val="03 Quarterly"/>
      <sheetName val=" DC Acquisition"/>
      <sheetName val="report-appendix"/>
      <sheetName val="02 Quarterly"/>
      <sheetName val="01 Quarterly"/>
      <sheetName val="00 Quarterly"/>
      <sheetName val="Debt"/>
      <sheetName val="Marketing Template"/>
      <sheetName val="Qtrly Sales by Category"/>
      <sheetName val="Bookings"/>
      <sheetName val="Sales by Brand"/>
      <sheetName val="Stores"/>
      <sheetName val="Sales by Channel"/>
      <sheetName val="Sales by Product"/>
      <sheetName val="Rossignol Acquisition"/>
      <sheetName val="Rossignol Pro-forma Assumptions"/>
      <sheetName val="ignore - DCF"/>
      <sheetName val="ignore - KCP-Retail Analysis"/>
      <sheetName val="ignore - 4 YR QTR IncSt"/>
      <sheetName val="ignore - 4 YR QTR  BalSt"/>
      <sheetName val="ignore - Seasonality"/>
      <sheetName val="Sales by Region"/>
      <sheetName val="Repor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46">
          <cell r="B46" t="str">
            <v>OK</v>
          </cell>
          <cell r="C46" t="str">
            <v>OK</v>
          </cell>
          <cell r="D46" t="str">
            <v>OK</v>
          </cell>
          <cell r="E46" t="str">
            <v>OK</v>
          </cell>
          <cell r="F46" t="str">
            <v>OK</v>
          </cell>
          <cell r="G46" t="str">
            <v>OK</v>
          </cell>
          <cell r="H46" t="str">
            <v>OK</v>
          </cell>
          <cell r="I46" t="str">
            <v>OK</v>
          </cell>
          <cell r="J46" t="str">
            <v>OK</v>
          </cell>
          <cell r="K46" t="str">
            <v>OK</v>
          </cell>
          <cell r="L46" t="str">
            <v>OK</v>
          </cell>
          <cell r="M46" t="str">
            <v>OK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Major v. River v. Equip."/>
      <sheetName val="LgCapEBITDA"/>
      <sheetName val="SmCapEBITDA"/>
      <sheetName val="SupplyEBITDA"/>
      <sheetName val="LgCapEPS"/>
      <sheetName val="SmCapEPS"/>
      <sheetName val="SupplyEPS"/>
      <sheetName val="LodgingEBITDA"/>
      <sheetName val="LodgingEPS"/>
      <sheetName val="LargerCap Gaming Stock Val 2001"/>
      <sheetName val="LargerCap Gaming Stock Val 2002"/>
      <sheetName val="Smaller Cap Gaming Stock Val"/>
      <sheetName val="Lodging Stock Val."/>
      <sheetName val="Universe Table"/>
      <sheetName val="Universe Table Gaming only"/>
      <sheetName val="Universe Table Lodging Only"/>
      <sheetName val="CruiseEBITDA"/>
      <sheetName val="CruiseEPS"/>
      <sheetName val="Industry (2)"/>
      <sheetName val="Industry"/>
      <sheetName val="Lodging Returns ppt"/>
      <sheetName val="pbos"/>
      <sheetName val="Major v. River"/>
      <sheetName val="Major v. Equipment"/>
      <sheetName val="EBITDA Growth"/>
      <sheetName val="LV REt"/>
      <sheetName val="River Ret"/>
      <sheetName val="Demographics"/>
      <sheetName val="Leisure"/>
      <sheetName val="States"/>
      <sheetName val="nongame"/>
      <sheetName val="nongame2"/>
      <sheetName val="Room Margin"/>
      <sheetName val="Hyp Casino"/>
      <sheetName val="lv gates"/>
      <sheetName val="potential"/>
      <sheetName val="LV Detail $1 Mil"/>
      <sheetName val="Room Mrgn 95"/>
      <sheetName val="ACcap2"/>
      <sheetName val="ACcap"/>
      <sheetName val="LVCap"/>
      <sheetName val="LVCap2"/>
      <sheetName val="LVrooms"/>
      <sheetName val="LV Investment"/>
      <sheetName val="disclosure"/>
      <sheetName val="disclosure inpres"/>
      <sheetName val="EBITDA Mix"/>
      <sheetName val="Free Cash Flow"/>
      <sheetName val="Tougher Comps in 01 "/>
      <sheetName val="Lodging Historical Returns"/>
      <sheetName val="Lodging Recent Price Trends"/>
      <sheetName val="Daily Closes"/>
      <sheetName val="Lodging PE Multiples"/>
      <sheetName val="Lodging EBITDA Multiples"/>
      <sheetName val="Lodging Stock Valuation"/>
      <sheetName val="Cash EPS, PE Multiples"/>
      <sheetName val="ABN EPS Est. V First Call"/>
      <sheetName val="THE LINK FOR ALL"/>
      <sheetName val="Worksheet Cash EPS, PEs"/>
    </sheetNames>
    <sheetDataSet>
      <sheetData sheetId="0" refreshError="1">
        <row r="6">
          <cell r="F6">
            <v>57.57</v>
          </cell>
          <cell r="G6">
            <v>62.91</v>
          </cell>
        </row>
        <row r="15">
          <cell r="F15">
            <v>1.1100000000000001</v>
          </cell>
          <cell r="G15">
            <v>1.24</v>
          </cell>
        </row>
        <row r="21">
          <cell r="F21">
            <v>1.17</v>
          </cell>
          <cell r="G21">
            <v>1.27</v>
          </cell>
        </row>
        <row r="23">
          <cell r="F23">
            <v>0.46</v>
          </cell>
          <cell r="G23">
            <v>0.53</v>
          </cell>
        </row>
        <row r="25">
          <cell r="F25">
            <v>3.13</v>
          </cell>
          <cell r="G25">
            <v>3.75</v>
          </cell>
        </row>
        <row r="26">
          <cell r="F26">
            <v>2.46</v>
          </cell>
          <cell r="G26">
            <v>2.88</v>
          </cell>
        </row>
        <row r="27">
          <cell r="F27">
            <v>1.59</v>
          </cell>
          <cell r="G27">
            <v>1.8</v>
          </cell>
        </row>
        <row r="28">
          <cell r="F28">
            <v>0.59</v>
          </cell>
          <cell r="G28">
            <v>0.68</v>
          </cell>
        </row>
        <row r="42">
          <cell r="B42">
            <v>10.375</v>
          </cell>
        </row>
        <row r="43">
          <cell r="B43">
            <v>10.3125</v>
          </cell>
        </row>
        <row r="45">
          <cell r="B45">
            <v>66.375</v>
          </cell>
        </row>
        <row r="46">
          <cell r="B46">
            <v>4.9375</v>
          </cell>
        </row>
        <row r="47">
          <cell r="B47">
            <v>2.5625</v>
          </cell>
        </row>
        <row r="48">
          <cell r="B48">
            <v>39.5</v>
          </cell>
        </row>
        <row r="49">
          <cell r="B49">
            <v>9.875</v>
          </cell>
        </row>
        <row r="50">
          <cell r="B50">
            <v>4.9375</v>
          </cell>
        </row>
        <row r="51">
          <cell r="B51">
            <v>10</v>
          </cell>
        </row>
        <row r="52">
          <cell r="B52">
            <v>99.1875</v>
          </cell>
        </row>
        <row r="53">
          <cell r="B53">
            <v>75</v>
          </cell>
        </row>
        <row r="54">
          <cell r="B54">
            <v>17.125</v>
          </cell>
        </row>
        <row r="55">
          <cell r="B55">
            <v>81.9375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troduction"/>
      <sheetName val="Sheet2"/>
      <sheetName val="Comps"/>
      <sheetName val="__FDSCACHE__"/>
      <sheetName val="Quick ROIC"/>
      <sheetName val="EPS Model"/>
      <sheetName val="Balance Sheet"/>
      <sheetName val="DCF"/>
      <sheetName val="Cash Flow"/>
      <sheetName val="workingcap &amp; other"/>
      <sheetName val="Equity"/>
      <sheetName val="debt_interest"/>
      <sheetName val="Depreciation"/>
      <sheetName val="Share Count"/>
      <sheetName val="Summary EPS"/>
      <sheetName val="Guidance"/>
      <sheetName val="Sheet1"/>
      <sheetName val="Reconciliation"/>
      <sheetName val="Misc Ratios"/>
      <sheetName val="Comparables (2)"/>
      <sheetName val="Store Model"/>
      <sheetName val="Store-Comp Waterfall (2)"/>
      <sheetName val="Store-Comp Waterfall"/>
      <sheetName val="Insider"/>
      <sheetName val="Mix 99"/>
      <sheetName val="Mix 03"/>
      <sheetName val="2006E Margin"/>
      <sheetName val="1999 Margin"/>
      <sheetName val="1999 Sales (2)"/>
      <sheetName val="2003 Sales"/>
      <sheetName val="1999 Sales"/>
      <sheetName val="Retail v Wholesale"/>
      <sheetName val="Retail sls"/>
      <sheetName val="Wholesale sls"/>
      <sheetName val="2004 Margin"/>
      <sheetName val="2003 Margin"/>
      <sheetName val="2004 Sales"/>
      <sheetName val="Store Waterfall"/>
      <sheetName val="CHS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BA6">
            <v>1</v>
          </cell>
        </row>
      </sheetData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Lookups"/>
      <sheetName val="Q2 99 Projects"/>
      <sheetName val="Pivots"/>
      <sheetName val="LE Brand Chart"/>
      <sheetName val="All Cat"/>
      <sheetName val="1996 8/15/96"/>
      <sheetName val="1995 8/15/96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Consolidated"/>
      <sheetName val="DLJ"/>
      <sheetName val="Alliance"/>
      <sheetName val="Life Insurance"/>
      <sheetName val="Premiums"/>
      <sheetName val="Segments"/>
      <sheetName val="Partnerships"/>
      <sheetName val="AMA"/>
      <sheetName val="Model"/>
      <sheetName val="Macro1"/>
      <sheetName val="p1c2"/>
      <sheetName val="t1"/>
      <sheetName val="Data Pag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P&amp;L"/>
      <sheetName val="DCF Output"/>
      <sheetName val="DCF Calculations"/>
      <sheetName val="DCF Calculations II"/>
      <sheetName val="Historical Balance Sheet"/>
      <sheetName val="Sheet1"/>
      <sheetName val="2000 Revenue Worksheet"/>
      <sheetName val="Stats"/>
      <sheetName val="Misc calculations"/>
      <sheetName val="Pipeline Projects"/>
      <sheetName val="List of Open Props"/>
      <sheetName val="Present Pie"/>
      <sheetName val="Build Out Pie"/>
      <sheetName val="N.America Now Pie"/>
      <sheetName val="Chart4"/>
      <sheetName val="Openings Timeline"/>
      <sheetName val="NOTES"/>
      <sheetName val="xxx"/>
      <sheetName val="Currency Conversion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4">
          <cell r="B4">
            <v>1.5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y Conversion Page"/>
      <sheetName val="Valuation"/>
      <sheetName val="DCF Output"/>
      <sheetName val="Sheet5"/>
      <sheetName val="DCF Calculations"/>
      <sheetName val="P&amp;L"/>
      <sheetName val="2000 Revenue Worksheet"/>
      <sheetName val="Stats"/>
      <sheetName val="Managed Properties"/>
      <sheetName val="Sheet1"/>
      <sheetName val="Pipeline Projects"/>
      <sheetName val="Sheet3"/>
      <sheetName val="NOTES"/>
      <sheetName val="Sheet2"/>
      <sheetName val="DCF"/>
    </sheetNames>
    <sheetDataSet>
      <sheetData sheetId="0" refreshError="1">
        <row r="16">
          <cell r="B16">
            <v>1.5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Overview"/>
      <sheetName val="Income statement"/>
      <sheetName val="Balance sheet"/>
      <sheetName val="Cashflows"/>
      <sheetName val="Valuation"/>
      <sheetName val="Outputs"/>
      <sheetName val="Company specific"/>
      <sheetName val="Other data"/>
      <sheetName val="Questions"/>
      <sheetName val="RatingsRatios"/>
      <sheetName val="Input"/>
      <sheetName val="SumSheet"/>
      <sheetName val="ValuationInput"/>
      <sheetName val="Storage"/>
      <sheetName val="APV"/>
      <sheetName val="IncStatement"/>
      <sheetName val="ISBS"/>
      <sheetName val="BalanceSheet"/>
      <sheetName val="CashFlow"/>
      <sheetName val="EVA"/>
      <sheetName val="TokyoBondRating"/>
      <sheetName val="p5t1"/>
      <sheetName val="p8t1"/>
    </sheetNames>
    <sheetDataSet>
      <sheetData sheetId="0" refreshError="1">
        <row r="1">
          <cell r="A1" t="str">
            <v xml:space="preserve"> </v>
          </cell>
          <cell r="F1" t="str">
            <v xml:space="preserve"> </v>
          </cell>
        </row>
        <row r="5">
          <cell r="A5" t="str">
            <v>US Equity Research</v>
          </cell>
          <cell r="F5" t="str">
            <v>Simon Taylor +44 207 325 4439</v>
          </cell>
        </row>
        <row r="6">
          <cell r="A6" t="str">
            <v>New York</v>
          </cell>
          <cell r="F6" t="str">
            <v>simon.c.taylor@jpmorgan.com</v>
          </cell>
        </row>
        <row r="7">
          <cell r="A7" t="str">
            <v>Date</v>
          </cell>
          <cell r="C7">
            <v>37858.845827314814</v>
          </cell>
        </row>
        <row r="8">
          <cell r="B8" t="str">
            <v>Analyst Model</v>
          </cell>
          <cell r="F8" t="str">
            <v xml:space="preserve"> </v>
          </cell>
        </row>
        <row r="9">
          <cell r="E9" t="str">
            <v xml:space="preserve"> </v>
          </cell>
        </row>
        <row r="10">
          <cell r="B10" t="str">
            <v>Test Inc.</v>
          </cell>
        </row>
        <row r="11">
          <cell r="B11" t="str">
            <v xml:space="preserve">Financial Year End: </v>
          </cell>
          <cell r="D11" t="str">
            <v>Jun 31</v>
          </cell>
          <cell r="G11" t="str">
            <v>Currency:</v>
          </cell>
          <cell r="H11" t="str">
            <v>US$</v>
          </cell>
        </row>
        <row r="19">
          <cell r="C19" t="str">
            <v>Ordinary Shares (Reuters: xxxx.xx; Bloomberg: xxx xx)</v>
          </cell>
        </row>
        <row r="20">
          <cell r="C20" t="str">
            <v>Fiscal year end Jun 31</v>
          </cell>
          <cell r="D20" t="str">
            <v>2002</v>
          </cell>
          <cell r="E20" t="str">
            <v>2003E</v>
          </cell>
          <cell r="F20" t="str">
            <v>2003Q3E</v>
          </cell>
          <cell r="G20" t="str">
            <v>2004E</v>
          </cell>
          <cell r="I20" t="str">
            <v>Share price</v>
          </cell>
          <cell r="K20">
            <v>40</v>
          </cell>
        </row>
        <row r="21">
          <cell r="C21" t="str">
            <v>Reported EPS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C22" t="str">
            <v>Analyst EPS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C23" t="str">
            <v>P/E (analyst)</v>
          </cell>
          <cell r="D23" t="e">
            <v>#DIV/0!</v>
          </cell>
          <cell r="E23" t="e">
            <v>#DIV/0!</v>
          </cell>
          <cell r="F23" t="str">
            <v>nm</v>
          </cell>
          <cell r="G23" t="e">
            <v>#DIV/0!</v>
          </cell>
        </row>
        <row r="24">
          <cell r="C24" t="str">
            <v>Source: Company data; Datastream; JPMorgan estimates</v>
          </cell>
        </row>
        <row r="27">
          <cell r="B27" t="str">
            <v xml:space="preserve">Please go to the Company Overview Page on the Morgan Markets web site for the latest research report. </v>
          </cell>
        </row>
        <row r="28">
          <cell r="B28" t="str">
            <v>http://mm.jpmorgan.com</v>
          </cell>
        </row>
        <row r="29">
          <cell r="B29" t="str">
            <v>Source: Company reports and JPMorgan estimates.</v>
          </cell>
        </row>
        <row r="31">
          <cell r="B31" t="str">
            <v>Analyst Team</v>
          </cell>
        </row>
        <row r="32">
          <cell r="B32" t="str">
            <v>Simon Taylor +44 207 325 4439</v>
          </cell>
        </row>
        <row r="33">
          <cell r="B33" t="str">
            <v>simon.c.taylor@jpmorgan.com</v>
          </cell>
        </row>
      </sheetData>
      <sheetData sheetId="1" refreshError="1"/>
      <sheetData sheetId="2" refreshError="1">
        <row r="1">
          <cell r="A1" t="str">
            <v>Test Inc.  Income Statement</v>
          </cell>
        </row>
        <row r="2">
          <cell r="A2" t="str">
            <v>Fiscal year end Jun 31</v>
          </cell>
          <cell r="B2" t="str">
            <v>01Q1</v>
          </cell>
          <cell r="C2" t="str">
            <v>01Q2</v>
          </cell>
          <cell r="D2" t="str">
            <v>01Q3</v>
          </cell>
          <cell r="E2" t="str">
            <v>01Q4</v>
          </cell>
          <cell r="F2" t="str">
            <v>01H1</v>
          </cell>
          <cell r="G2" t="str">
            <v>01 9M</v>
          </cell>
          <cell r="H2" t="str">
            <v>02Q1</v>
          </cell>
          <cell r="I2" t="str">
            <v>02Q2</v>
          </cell>
          <cell r="J2" t="str">
            <v>02Q3</v>
          </cell>
          <cell r="K2" t="str">
            <v>02Q4</v>
          </cell>
          <cell r="L2" t="str">
            <v>02H1</v>
          </cell>
          <cell r="M2" t="str">
            <v>02 9M</v>
          </cell>
          <cell r="N2" t="str">
            <v>03Q1E</v>
          </cell>
          <cell r="O2" t="str">
            <v>03Q2E</v>
          </cell>
          <cell r="P2" t="str">
            <v>03Q3E</v>
          </cell>
          <cell r="Q2" t="str">
            <v>03Q4E</v>
          </cell>
          <cell r="R2" t="str">
            <v>03H1E</v>
          </cell>
          <cell r="S2" t="str">
            <v>03 9ME</v>
          </cell>
          <cell r="T2">
            <v>1998</v>
          </cell>
          <cell r="U2">
            <v>1999</v>
          </cell>
          <cell r="V2">
            <v>2000</v>
          </cell>
          <cell r="W2">
            <v>2001</v>
          </cell>
          <cell r="X2">
            <v>2002</v>
          </cell>
          <cell r="Y2" t="str">
            <v>2003E</v>
          </cell>
          <cell r="Z2" t="str">
            <v>2004E</v>
          </cell>
          <cell r="AA2" t="str">
            <v>2005E</v>
          </cell>
          <cell r="AB2" t="str">
            <v>2006E</v>
          </cell>
          <cell r="AC2" t="str">
            <v>2007E</v>
          </cell>
        </row>
        <row r="3">
          <cell r="A3" t="str">
            <v>Sales of goods &amp; services</v>
          </cell>
          <cell r="F3">
            <v>0</v>
          </cell>
          <cell r="G3">
            <v>0</v>
          </cell>
          <cell r="L3">
            <v>0</v>
          </cell>
          <cell r="M3">
            <v>0</v>
          </cell>
          <cell r="Q3">
            <v>0</v>
          </cell>
          <cell r="R3">
            <v>0</v>
          </cell>
          <cell r="S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 xml:space="preserve">  % change yoy</v>
          </cell>
          <cell r="H4" t="e">
            <v>#DIV/0!</v>
          </cell>
          <cell r="I4" t="e">
            <v>#DIV/0!</v>
          </cell>
          <cell r="J4" t="e">
            <v>#DIV/0!</v>
          </cell>
          <cell r="K4" t="e">
            <v>#DIV/0!</v>
          </cell>
          <cell r="L4" t="e">
            <v>#DIV/0!</v>
          </cell>
          <cell r="M4" t="e">
            <v>#DIV/0!</v>
          </cell>
          <cell r="N4" t="e">
            <v>#DIV/0!</v>
          </cell>
          <cell r="O4" t="e">
            <v>#DIV/0!</v>
          </cell>
          <cell r="P4" t="e">
            <v>#DIV/0!</v>
          </cell>
          <cell r="Q4" t="e">
            <v>#DIV/0!</v>
          </cell>
          <cell r="R4" t="e">
            <v>#DIV/0!</v>
          </cell>
          <cell r="S4" t="e">
            <v>#DIV/0!</v>
          </cell>
          <cell r="U4" t="e">
            <v>#DIV/0!</v>
          </cell>
          <cell r="V4" t="e">
            <v>#DIV/0!</v>
          </cell>
          <cell r="W4" t="e">
            <v>#DIV/0!</v>
          </cell>
          <cell r="X4" t="e">
            <v>#DIV/0!</v>
          </cell>
          <cell r="Y4">
            <v>0.03</v>
          </cell>
          <cell r="Z4">
            <v>0.03</v>
          </cell>
          <cell r="AA4">
            <v>0.03</v>
          </cell>
          <cell r="AB4">
            <v>0.03</v>
          </cell>
          <cell r="AC4">
            <v>0.03</v>
          </cell>
        </row>
        <row r="5">
          <cell r="A5" t="str">
            <v>Other operating income</v>
          </cell>
          <cell r="F5">
            <v>0</v>
          </cell>
          <cell r="G5">
            <v>0</v>
          </cell>
          <cell r="L5">
            <v>0</v>
          </cell>
          <cell r="M5">
            <v>0</v>
          </cell>
          <cell r="Q5">
            <v>0</v>
          </cell>
          <cell r="R5">
            <v>0</v>
          </cell>
          <cell r="S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</row>
        <row r="6">
          <cell r="A6" t="str">
            <v>Total revenues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A7" t="str">
            <v xml:space="preserve">  % change yoy</v>
          </cell>
          <cell r="H7" t="e">
            <v>#DIV/0!</v>
          </cell>
          <cell r="I7" t="e">
            <v>#DIV/0!</v>
          </cell>
          <cell r="J7" t="e">
            <v>#DIV/0!</v>
          </cell>
          <cell r="K7" t="e">
            <v>#DIV/0!</v>
          </cell>
          <cell r="L7" t="e">
            <v>#DIV/0!</v>
          </cell>
          <cell r="M7" t="e">
            <v>#DIV/0!</v>
          </cell>
          <cell r="N7" t="e">
            <v>#DIV/0!</v>
          </cell>
          <cell r="O7" t="e">
            <v>#DIV/0!</v>
          </cell>
          <cell r="P7" t="e">
            <v>#DIV/0!</v>
          </cell>
          <cell r="Q7" t="e">
            <v>#DIV/0!</v>
          </cell>
          <cell r="R7" t="e">
            <v>#DIV/0!</v>
          </cell>
          <cell r="S7" t="e">
            <v>#DIV/0!</v>
          </cell>
          <cell r="U7" t="e">
            <v>#DIV/0!</v>
          </cell>
          <cell r="V7" t="e">
            <v>#DIV/0!</v>
          </cell>
          <cell r="W7" t="e">
            <v>#DIV/0!</v>
          </cell>
          <cell r="X7" t="e">
            <v>#DIV/0!</v>
          </cell>
          <cell r="Y7" t="e">
            <v>#DIV/0!</v>
          </cell>
          <cell r="Z7" t="e">
            <v>#DIV/0!</v>
          </cell>
          <cell r="AA7" t="e">
            <v>#DIV/0!</v>
          </cell>
          <cell r="AB7" t="e">
            <v>#DIV/0!</v>
          </cell>
          <cell r="AC7" t="e">
            <v>#DIV/0!</v>
          </cell>
        </row>
        <row r="9">
          <cell r="A9" t="str">
            <v>Cost of goods sold</v>
          </cell>
          <cell r="F9">
            <v>0</v>
          </cell>
          <cell r="G9">
            <v>0</v>
          </cell>
          <cell r="L9">
            <v>0</v>
          </cell>
          <cell r="M9">
            <v>0</v>
          </cell>
          <cell r="Q9">
            <v>0</v>
          </cell>
          <cell r="R9">
            <v>0</v>
          </cell>
          <cell r="S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 xml:space="preserve">  as % of sales</v>
          </cell>
          <cell r="B10" t="e">
            <v>#DIV/0!</v>
          </cell>
          <cell r="C10" t="e">
            <v>#DIV/0!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e">
            <v>#DIV/0!</v>
          </cell>
          <cell r="I10" t="e">
            <v>#DIV/0!</v>
          </cell>
          <cell r="J10" t="e">
            <v>#DIV/0!</v>
          </cell>
          <cell r="K10" t="e">
            <v>#DIV/0!</v>
          </cell>
          <cell r="L10" t="e">
            <v>#DIV/0!</v>
          </cell>
          <cell r="M10" t="e">
            <v>#DIV/0!</v>
          </cell>
          <cell r="N10" t="e">
            <v>#DIV/0!</v>
          </cell>
          <cell r="O10" t="e">
            <v>#DIV/0!</v>
          </cell>
          <cell r="P10" t="e">
            <v>#DIV/0!</v>
          </cell>
          <cell r="Q10" t="e">
            <v>#DIV/0!</v>
          </cell>
          <cell r="U10" t="e">
            <v>#DIV/0!</v>
          </cell>
          <cell r="V10" t="e">
            <v>#DIV/0!</v>
          </cell>
          <cell r="W10" t="e">
            <v>#DIV/0!</v>
          </cell>
          <cell r="X10" t="e">
            <v>#DIV/0!</v>
          </cell>
          <cell r="Y10">
            <v>0.74</v>
          </cell>
          <cell r="Z10">
            <v>0.74</v>
          </cell>
          <cell r="AA10">
            <v>0.74</v>
          </cell>
          <cell r="AB10">
            <v>0.74</v>
          </cell>
          <cell r="AC10">
            <v>0.74</v>
          </cell>
        </row>
        <row r="11">
          <cell r="A11" t="str">
            <v>Gross Profit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 xml:space="preserve">  Gross margin (% of total revenues)</v>
          </cell>
          <cell r="B12" t="e">
            <v>#DIV/0!</v>
          </cell>
          <cell r="C12" t="e">
            <v>#DIV/0!</v>
          </cell>
          <cell r="D12" t="e">
            <v>#DIV/0!</v>
          </cell>
          <cell r="E12" t="e">
            <v>#DIV/0!</v>
          </cell>
          <cell r="F12" t="e">
            <v>#DIV/0!</v>
          </cell>
          <cell r="G12" t="e">
            <v>#DIV/0!</v>
          </cell>
          <cell r="H12" t="e">
            <v>#DIV/0!</v>
          </cell>
          <cell r="I12" t="e">
            <v>#DIV/0!</v>
          </cell>
          <cell r="J12" t="e">
            <v>#DIV/0!</v>
          </cell>
          <cell r="K12" t="e">
            <v>#DIV/0!</v>
          </cell>
          <cell r="L12" t="e">
            <v>#DIV/0!</v>
          </cell>
          <cell r="M12" t="e">
            <v>#DIV/0!</v>
          </cell>
          <cell r="N12" t="e">
            <v>#DIV/0!</v>
          </cell>
          <cell r="O12" t="e">
            <v>#DIV/0!</v>
          </cell>
          <cell r="P12" t="e">
            <v>#DIV/0!</v>
          </cell>
          <cell r="Q12" t="e">
            <v>#DIV/0!</v>
          </cell>
          <cell r="T12" t="e">
            <v>#DIV/0!</v>
          </cell>
          <cell r="U12" t="e">
            <v>#DIV/0!</v>
          </cell>
          <cell r="V12" t="e">
            <v>#DIV/0!</v>
          </cell>
          <cell r="W12" t="e">
            <v>#DIV/0!</v>
          </cell>
          <cell r="X12" t="e">
            <v>#DIV/0!</v>
          </cell>
          <cell r="Y12" t="e">
            <v>#DIV/0!</v>
          </cell>
          <cell r="Z12" t="e">
            <v>#DIV/0!</v>
          </cell>
          <cell r="AA12" t="e">
            <v>#DIV/0!</v>
          </cell>
          <cell r="AB12" t="e">
            <v>#DIV/0!</v>
          </cell>
          <cell r="AC12" t="e">
            <v>#DIV/0!</v>
          </cell>
        </row>
        <row r="14">
          <cell r="A14" t="str">
            <v>Selling General &amp; Admin costs</v>
          </cell>
          <cell r="F14">
            <v>0</v>
          </cell>
          <cell r="G14">
            <v>0</v>
          </cell>
          <cell r="L14">
            <v>0</v>
          </cell>
          <cell r="M14">
            <v>0</v>
          </cell>
          <cell r="Q14">
            <v>0</v>
          </cell>
          <cell r="R14">
            <v>0</v>
          </cell>
          <cell r="S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 xml:space="preserve">   as % of sales</v>
          </cell>
          <cell r="B15" t="e">
            <v>#DIV/0!</v>
          </cell>
          <cell r="C15" t="e">
            <v>#DIV/0!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 t="e">
            <v>#DIV/0!</v>
          </cell>
          <cell r="N15" t="e">
            <v>#DIV/0!</v>
          </cell>
          <cell r="O15" t="e">
            <v>#DIV/0!</v>
          </cell>
          <cell r="P15" t="e">
            <v>#DIV/0!</v>
          </cell>
          <cell r="Q15" t="e">
            <v>#DIV/0!</v>
          </cell>
          <cell r="T15" t="e">
            <v>#DIV/0!</v>
          </cell>
          <cell r="U15" t="e">
            <v>#DIV/0!</v>
          </cell>
          <cell r="V15" t="e">
            <v>#DIV/0!</v>
          </cell>
          <cell r="W15" t="e">
            <v>#DIV/0!</v>
          </cell>
          <cell r="X15" t="e">
            <v>#DIV/0!</v>
          </cell>
          <cell r="Y15">
            <v>0.182</v>
          </cell>
          <cell r="Z15">
            <v>0.182</v>
          </cell>
          <cell r="AA15">
            <v>0.182</v>
          </cell>
          <cell r="AB15">
            <v>0.182</v>
          </cell>
          <cell r="AC15">
            <v>0.182</v>
          </cell>
        </row>
        <row r="16">
          <cell r="A16" t="str">
            <v>R&amp;D costs</v>
          </cell>
          <cell r="F16">
            <v>0</v>
          </cell>
          <cell r="G16">
            <v>0</v>
          </cell>
          <cell r="L16">
            <v>0</v>
          </cell>
          <cell r="M16">
            <v>0</v>
          </cell>
          <cell r="Q16">
            <v>0</v>
          </cell>
          <cell r="R16">
            <v>0</v>
          </cell>
          <cell r="S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 xml:space="preserve">      % change yoy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e">
            <v>#DIV/0!</v>
          </cell>
          <cell r="U17" t="e">
            <v>#DIV/0!</v>
          </cell>
          <cell r="V17" t="e">
            <v>#DIV/0!</v>
          </cell>
          <cell r="W17" t="e">
            <v>#DIV/0!</v>
          </cell>
          <cell r="X17" t="e">
            <v>#DIV/0!</v>
          </cell>
          <cell r="Y17" t="e">
            <v>#DIV/0!</v>
          </cell>
          <cell r="Z17" t="e">
            <v>#DIV/0!</v>
          </cell>
          <cell r="AA17" t="e">
            <v>#DIV/0!</v>
          </cell>
          <cell r="AB17" t="e">
            <v>#DIV/0!</v>
          </cell>
          <cell r="AC17" t="e">
            <v>#DIV/0!</v>
          </cell>
        </row>
        <row r="18">
          <cell r="A18" t="str">
            <v xml:space="preserve">      as % of total revenues</v>
          </cell>
          <cell r="B18" t="e">
            <v>#DIV/0!</v>
          </cell>
          <cell r="C18" t="e">
            <v>#DIV/0!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e">
            <v>#DIV/0!</v>
          </cell>
          <cell r="I18" t="e">
            <v>#DIV/0!</v>
          </cell>
          <cell r="J18" t="e">
            <v>#DIV/0!</v>
          </cell>
          <cell r="K18" t="e">
            <v>#DIV/0!</v>
          </cell>
          <cell r="L18" t="e">
            <v>#DIV/0!</v>
          </cell>
          <cell r="M18" t="e">
            <v>#DIV/0!</v>
          </cell>
          <cell r="N18" t="e">
            <v>#DIV/0!</v>
          </cell>
          <cell r="O18" t="e">
            <v>#DIV/0!</v>
          </cell>
          <cell r="P18" t="e">
            <v>#DIV/0!</v>
          </cell>
          <cell r="Q18" t="e">
            <v>#DIV/0!</v>
          </cell>
          <cell r="T18" t="e">
            <v>#DIV/0!</v>
          </cell>
          <cell r="U18" t="e">
            <v>#DIV/0!</v>
          </cell>
          <cell r="V18" t="e">
            <v>#DIV/0!</v>
          </cell>
          <cell r="W18" t="e">
            <v>#DIV/0!</v>
          </cell>
          <cell r="X18" t="e">
            <v>#DIV/0!</v>
          </cell>
          <cell r="Y18">
            <v>1.0999999999999999E-2</v>
          </cell>
          <cell r="Z18">
            <v>1.0999999999999999E-2</v>
          </cell>
          <cell r="AA18">
            <v>1.0999999999999999E-2</v>
          </cell>
          <cell r="AB18">
            <v>1.0999999999999999E-2</v>
          </cell>
          <cell r="AC18">
            <v>1.0999999999999999E-2</v>
          </cell>
        </row>
        <row r="19">
          <cell r="A19" t="str">
            <v>Other (costs)/income</v>
          </cell>
          <cell r="F19">
            <v>0</v>
          </cell>
          <cell r="G19">
            <v>0</v>
          </cell>
          <cell r="L19">
            <v>0</v>
          </cell>
          <cell r="M19">
            <v>0</v>
          </cell>
          <cell r="Q19">
            <v>0</v>
          </cell>
          <cell r="R19">
            <v>0</v>
          </cell>
          <cell r="S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 xml:space="preserve">       % change yoy</v>
          </cell>
          <cell r="H20" t="e">
            <v>#DIV/0!</v>
          </cell>
          <cell r="I20" t="e">
            <v>#DIV/0!</v>
          </cell>
          <cell r="J20" t="e">
            <v>#DIV/0!</v>
          </cell>
          <cell r="K20" t="e">
            <v>#DIV/0!</v>
          </cell>
          <cell r="L20" t="e">
            <v>#DIV/0!</v>
          </cell>
          <cell r="M20" t="e">
            <v>#DIV/0!</v>
          </cell>
          <cell r="N20" t="e">
            <v>#DIV/0!</v>
          </cell>
          <cell r="O20" t="e">
            <v>#DIV/0!</v>
          </cell>
          <cell r="P20" t="e">
            <v>#DIV/0!</v>
          </cell>
          <cell r="U20" t="e">
            <v>#DIV/0!</v>
          </cell>
          <cell r="V20" t="e">
            <v>#DIV/0!</v>
          </cell>
          <cell r="W20" t="e">
            <v>#DIV/0!</v>
          </cell>
          <cell r="X20" t="e">
            <v>#DIV/0!</v>
          </cell>
          <cell r="Y20">
            <v>-0.03</v>
          </cell>
          <cell r="Z20">
            <v>-0.03</v>
          </cell>
          <cell r="AA20">
            <v>-0.03</v>
          </cell>
          <cell r="AB20">
            <v>-0.03</v>
          </cell>
          <cell r="AC20">
            <v>-0.03</v>
          </cell>
        </row>
        <row r="21">
          <cell r="A21" t="str">
            <v>Goodwill impairment</v>
          </cell>
          <cell r="F21">
            <v>0</v>
          </cell>
          <cell r="G21">
            <v>0</v>
          </cell>
          <cell r="L21">
            <v>0</v>
          </cell>
          <cell r="M21">
            <v>0</v>
          </cell>
          <cell r="Q21">
            <v>0</v>
          </cell>
          <cell r="R21">
            <v>0</v>
          </cell>
          <cell r="S21">
            <v>0</v>
          </cell>
          <cell r="W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A22" t="str">
            <v>Total costs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A23" t="str">
            <v xml:space="preserve">  % change yoy</v>
          </cell>
          <cell r="H23" t="e">
            <v>#DIV/0!</v>
          </cell>
          <cell r="I23" t="e">
            <v>#DIV/0!</v>
          </cell>
          <cell r="J23" t="e">
            <v>#DIV/0!</v>
          </cell>
          <cell r="K23" t="e">
            <v>#DIV/0!</v>
          </cell>
          <cell r="L23" t="e">
            <v>#DIV/0!</v>
          </cell>
          <cell r="M23" t="e">
            <v>#DIV/0!</v>
          </cell>
          <cell r="N23" t="e">
            <v>#DIV/0!</v>
          </cell>
          <cell r="O23" t="e">
            <v>#DIV/0!</v>
          </cell>
          <cell r="P23" t="e">
            <v>#DIV/0!</v>
          </cell>
          <cell r="Q23" t="e">
            <v>#DIV/0!</v>
          </cell>
          <cell r="R23" t="e">
            <v>#DIV/0!</v>
          </cell>
          <cell r="S23" t="e">
            <v>#DIV/0!</v>
          </cell>
          <cell r="U23" t="e">
            <v>#DIV/0!</v>
          </cell>
          <cell r="V23" t="e">
            <v>#DIV/0!</v>
          </cell>
          <cell r="W23" t="e">
            <v>#DIV/0!</v>
          </cell>
          <cell r="X23" t="e">
            <v>#DIV/0!</v>
          </cell>
          <cell r="Y23" t="e">
            <v>#DIV/0!</v>
          </cell>
          <cell r="Z23" t="e">
            <v>#DIV/0!</v>
          </cell>
          <cell r="AA23" t="e">
            <v>#DIV/0!</v>
          </cell>
          <cell r="AB23" t="e">
            <v>#DIV/0!</v>
          </cell>
          <cell r="AC23" t="e">
            <v>#DIV/0!</v>
          </cell>
        </row>
        <row r="25">
          <cell r="A25" t="str">
            <v>Earnings from operations bef int and tax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A26" t="str">
            <v xml:space="preserve">  % change yoy</v>
          </cell>
          <cell r="H26" t="e">
            <v>#DIV/0!</v>
          </cell>
          <cell r="I26" t="e">
            <v>#DIV/0!</v>
          </cell>
          <cell r="J26" t="e">
            <v>#DIV/0!</v>
          </cell>
          <cell r="K26" t="e">
            <v>#DIV/0!</v>
          </cell>
          <cell r="L26" t="e">
            <v>#DIV/0!</v>
          </cell>
          <cell r="M26" t="e">
            <v>#DIV/0!</v>
          </cell>
          <cell r="N26" t="e">
            <v>#DIV/0!</v>
          </cell>
          <cell r="O26" t="e">
            <v>#DIV/0!</v>
          </cell>
          <cell r="P26" t="e">
            <v>#DIV/0!</v>
          </cell>
          <cell r="Q26" t="e">
            <v>#DIV/0!</v>
          </cell>
          <cell r="R26" t="e">
            <v>#DIV/0!</v>
          </cell>
          <cell r="S26" t="e">
            <v>#DIV/0!</v>
          </cell>
          <cell r="U26" t="e">
            <v>#DIV/0!</v>
          </cell>
          <cell r="V26" t="e">
            <v>#DIV/0!</v>
          </cell>
          <cell r="W26" t="e">
            <v>#DIV/0!</v>
          </cell>
          <cell r="X26" t="e">
            <v>#DIV/0!</v>
          </cell>
          <cell r="Y26" t="e">
            <v>#DIV/0!</v>
          </cell>
          <cell r="Z26" t="e">
            <v>#DIV/0!</v>
          </cell>
          <cell r="AA26" t="e">
            <v>#DIV/0!</v>
          </cell>
          <cell r="AB26" t="e">
            <v>#DIV/0!</v>
          </cell>
          <cell r="AC26" t="e">
            <v>#DIV/0!</v>
          </cell>
        </row>
        <row r="27">
          <cell r="A27" t="str">
            <v>Adjustments for SFAS142</v>
          </cell>
          <cell r="L27">
            <v>0</v>
          </cell>
          <cell r="M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A28" t="str">
            <v>Add back goodwill impairment</v>
          </cell>
          <cell r="L28">
            <v>0</v>
          </cell>
          <cell r="M28">
            <v>0</v>
          </cell>
          <cell r="Q28">
            <v>0</v>
          </cell>
          <cell r="R28">
            <v>0</v>
          </cell>
          <cell r="S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>EBITA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A30" t="str">
            <v xml:space="preserve">  % change yoy</v>
          </cell>
          <cell r="H30" t="e">
            <v>#DIV/0!</v>
          </cell>
          <cell r="I30" t="e">
            <v>#DIV/0!</v>
          </cell>
          <cell r="J30" t="e">
            <v>#DIV/0!</v>
          </cell>
          <cell r="K30" t="e">
            <v>#DIV/0!</v>
          </cell>
          <cell r="L30" t="e">
            <v>#DIV/0!</v>
          </cell>
          <cell r="M30" t="e">
            <v>#DIV/0!</v>
          </cell>
          <cell r="N30" t="e">
            <v>#DIV/0!</v>
          </cell>
          <cell r="O30" t="e">
            <v>#DIV/0!</v>
          </cell>
          <cell r="P30" t="e">
            <v>#DIV/0!</v>
          </cell>
          <cell r="Q30" t="e">
            <v>#DIV/0!</v>
          </cell>
          <cell r="R30" t="e">
            <v>#DIV/0!</v>
          </cell>
          <cell r="S30" t="e">
            <v>#DIV/0!</v>
          </cell>
          <cell r="U30" t="e">
            <v>#DIV/0!</v>
          </cell>
          <cell r="V30" t="e">
            <v>#DIV/0!</v>
          </cell>
          <cell r="W30" t="e">
            <v>#DIV/0!</v>
          </cell>
          <cell r="X30" t="e">
            <v>#DIV/0!</v>
          </cell>
          <cell r="Y30" t="e">
            <v>#DIV/0!</v>
          </cell>
          <cell r="Z30" t="e">
            <v>#DIV/0!</v>
          </cell>
          <cell r="AA30" t="e">
            <v>#DIV/0!</v>
          </cell>
          <cell r="AB30" t="e">
            <v>#DIV/0!</v>
          </cell>
          <cell r="AC30" t="e">
            <v>#DIV/0!</v>
          </cell>
        </row>
        <row r="31">
          <cell r="A31" t="str">
            <v xml:space="preserve">  EBITA margin (%)</v>
          </cell>
          <cell r="E31" t="e">
            <v>#DIV/0!</v>
          </cell>
          <cell r="F31" t="e">
            <v>#DIV/0!</v>
          </cell>
          <cell r="G31" t="e">
            <v>#DIV/0!</v>
          </cell>
          <cell r="H31" t="e">
            <v>#DIV/0!</v>
          </cell>
          <cell r="I31" t="e">
            <v>#DIV/0!</v>
          </cell>
          <cell r="J31" t="e">
            <v>#DIV/0!</v>
          </cell>
          <cell r="K31" t="e">
            <v>#DIV/0!</v>
          </cell>
          <cell r="L31" t="e">
            <v>#DIV/0!</v>
          </cell>
          <cell r="M31" t="e">
            <v>#DIV/0!</v>
          </cell>
          <cell r="N31" t="e">
            <v>#DIV/0!</v>
          </cell>
          <cell r="O31" t="e">
            <v>#DIV/0!</v>
          </cell>
          <cell r="P31" t="e">
            <v>#DIV/0!</v>
          </cell>
          <cell r="Q31" t="e">
            <v>#DIV/0!</v>
          </cell>
          <cell r="R31" t="e">
            <v>#DIV/0!</v>
          </cell>
          <cell r="S31" t="e">
            <v>#DIV/0!</v>
          </cell>
          <cell r="T31" t="e">
            <v>#DIV/0!</v>
          </cell>
          <cell r="U31" t="e">
            <v>#DIV/0!</v>
          </cell>
          <cell r="V31" t="e">
            <v>#DIV/0!</v>
          </cell>
          <cell r="W31" t="e">
            <v>#DIV/0!</v>
          </cell>
          <cell r="X31" t="e">
            <v>#DIV/0!</v>
          </cell>
          <cell r="Y31" t="e">
            <v>#DIV/0!</v>
          </cell>
          <cell r="Z31" t="e">
            <v>#DIV/0!</v>
          </cell>
          <cell r="AA31" t="e">
            <v>#DIV/0!</v>
          </cell>
          <cell r="AB31" t="e">
            <v>#DIV/0!</v>
          </cell>
          <cell r="AC31" t="e">
            <v>#DIV/0!</v>
          </cell>
        </row>
        <row r="32">
          <cell r="A32" t="str">
            <v>EBITDA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 xml:space="preserve">  % change yoy</v>
          </cell>
          <cell r="H33" t="e">
            <v>#DIV/0!</v>
          </cell>
          <cell r="I33" t="e">
            <v>#DIV/0!</v>
          </cell>
          <cell r="J33" t="e">
            <v>#DIV/0!</v>
          </cell>
          <cell r="K33" t="e">
            <v>#DIV/0!</v>
          </cell>
          <cell r="L33" t="e">
            <v>#DIV/0!</v>
          </cell>
          <cell r="M33" t="e">
            <v>#DIV/0!</v>
          </cell>
          <cell r="N33" t="e">
            <v>#DIV/0!</v>
          </cell>
          <cell r="O33" t="e">
            <v>#DIV/0!</v>
          </cell>
          <cell r="P33" t="e">
            <v>#DIV/0!</v>
          </cell>
          <cell r="Q33" t="e">
            <v>#DIV/0!</v>
          </cell>
          <cell r="R33" t="e">
            <v>#DIV/0!</v>
          </cell>
          <cell r="S33" t="e">
            <v>#DIV/0!</v>
          </cell>
          <cell r="T33" t="e">
            <v>#DIV/0!</v>
          </cell>
          <cell r="U33" t="e">
            <v>#DIV/0!</v>
          </cell>
          <cell r="V33" t="e">
            <v>#DIV/0!</v>
          </cell>
          <cell r="W33" t="e">
            <v>#DIV/0!</v>
          </cell>
          <cell r="X33" t="e">
            <v>#DIV/0!</v>
          </cell>
          <cell r="Y33" t="e">
            <v>#DIV/0!</v>
          </cell>
          <cell r="Z33" t="e">
            <v>#DIV/0!</v>
          </cell>
          <cell r="AA33" t="e">
            <v>#DIV/0!</v>
          </cell>
          <cell r="AB33" t="e">
            <v>#DIV/0!</v>
          </cell>
          <cell r="AC33" t="e">
            <v>#DIV/0!</v>
          </cell>
        </row>
        <row r="34">
          <cell r="A34" t="str">
            <v xml:space="preserve">   EBITDA margin (%)</v>
          </cell>
          <cell r="B34" t="e">
            <v>#DIV/0!</v>
          </cell>
          <cell r="C34" t="e">
            <v>#DIV/0!</v>
          </cell>
          <cell r="D34" t="e">
            <v>#DIV/0!</v>
          </cell>
          <cell r="E34" t="e">
            <v>#DIV/0!</v>
          </cell>
          <cell r="F34" t="e">
            <v>#DIV/0!</v>
          </cell>
          <cell r="G34" t="e">
            <v>#DIV/0!</v>
          </cell>
          <cell r="H34" t="e">
            <v>#DIV/0!</v>
          </cell>
          <cell r="I34" t="e">
            <v>#DIV/0!</v>
          </cell>
          <cell r="J34" t="e">
            <v>#DIV/0!</v>
          </cell>
          <cell r="K34" t="e">
            <v>#DIV/0!</v>
          </cell>
          <cell r="L34" t="e">
            <v>#DIV/0!</v>
          </cell>
          <cell r="M34" t="e">
            <v>#DIV/0!</v>
          </cell>
          <cell r="N34" t="e">
            <v>#DIV/0!</v>
          </cell>
          <cell r="O34" t="e">
            <v>#DIV/0!</v>
          </cell>
          <cell r="P34" t="e">
            <v>#DIV/0!</v>
          </cell>
          <cell r="Q34" t="e">
            <v>#DIV/0!</v>
          </cell>
          <cell r="R34" t="e">
            <v>#DIV/0!</v>
          </cell>
          <cell r="S34" t="e">
            <v>#DIV/0!</v>
          </cell>
          <cell r="T34" t="e">
            <v>#DIV/0!</v>
          </cell>
          <cell r="U34" t="e">
            <v>#DIV/0!</v>
          </cell>
          <cell r="V34" t="e">
            <v>#DIV/0!</v>
          </cell>
          <cell r="W34" t="e">
            <v>#DIV/0!</v>
          </cell>
          <cell r="X34" t="e">
            <v>#DIV/0!</v>
          </cell>
          <cell r="Y34" t="e">
            <v>#DIV/0!</v>
          </cell>
          <cell r="Z34" t="e">
            <v>#DIV/0!</v>
          </cell>
          <cell r="AA34" t="e">
            <v>#DIV/0!</v>
          </cell>
          <cell r="AB34" t="e">
            <v>#DIV/0!</v>
          </cell>
          <cell r="AC34" t="e">
            <v>#DIV/0!</v>
          </cell>
        </row>
        <row r="36">
          <cell r="A36" t="str">
            <v>Financial income/(costs)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>Equity income</v>
          </cell>
          <cell r="L37">
            <v>0</v>
          </cell>
          <cell r="M37">
            <v>0</v>
          </cell>
          <cell r="Q37">
            <v>0</v>
          </cell>
          <cell r="R37">
            <v>0</v>
          </cell>
          <cell r="S37">
            <v>0</v>
          </cell>
          <cell r="V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</row>
        <row r="38">
          <cell r="A38" t="str">
            <v>Other non-operating income</v>
          </cell>
          <cell r="L38">
            <v>0</v>
          </cell>
          <cell r="M38">
            <v>0</v>
          </cell>
          <cell r="Q38">
            <v>0</v>
          </cell>
          <cell r="R38">
            <v>0</v>
          </cell>
          <cell r="S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</row>
        <row r="39">
          <cell r="A39" t="str">
            <v>Net interest and financial charge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</row>
        <row r="40">
          <cell r="A40" t="str">
            <v xml:space="preserve">  interest paid</v>
          </cell>
          <cell r="L40">
            <v>0</v>
          </cell>
          <cell r="M40">
            <v>0</v>
          </cell>
          <cell r="Q40">
            <v>0</v>
          </cell>
          <cell r="R40">
            <v>0</v>
          </cell>
          <cell r="S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</row>
        <row r="41">
          <cell r="A41" t="str">
            <v xml:space="preserve">  interest received</v>
          </cell>
          <cell r="L41">
            <v>0</v>
          </cell>
          <cell r="M41">
            <v>0</v>
          </cell>
          <cell r="Q41">
            <v>0</v>
          </cell>
          <cell r="R41">
            <v>0</v>
          </cell>
          <cell r="S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</row>
        <row r="42">
          <cell r="A42" t="str">
            <v xml:space="preserve">  financial writedowns</v>
          </cell>
          <cell r="L42">
            <v>0</v>
          </cell>
          <cell r="M42">
            <v>0</v>
          </cell>
          <cell r="Q42">
            <v>0</v>
          </cell>
          <cell r="R42">
            <v>0</v>
          </cell>
          <cell r="S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A43" t="str">
            <v xml:space="preserve">  other financial items</v>
          </cell>
          <cell r="L43">
            <v>0</v>
          </cell>
          <cell r="M43">
            <v>0</v>
          </cell>
          <cell r="Q43">
            <v>0</v>
          </cell>
          <cell r="R43">
            <v>0</v>
          </cell>
          <cell r="S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5">
          <cell r="A45" t="str">
            <v>Earnings before tax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A46" t="str">
            <v xml:space="preserve">  % change yoy</v>
          </cell>
          <cell r="H46" t="e">
            <v>#DIV/0!</v>
          </cell>
          <cell r="I46" t="e">
            <v>#DIV/0!</v>
          </cell>
          <cell r="J46" t="e">
            <v>#DIV/0!</v>
          </cell>
          <cell r="K46" t="e">
            <v>#DIV/0!</v>
          </cell>
          <cell r="L46" t="e">
            <v>#DIV/0!</v>
          </cell>
          <cell r="M46" t="e">
            <v>#DIV/0!</v>
          </cell>
          <cell r="N46" t="e">
            <v>#DIV/0!</v>
          </cell>
          <cell r="O46" t="e">
            <v>#DIV/0!</v>
          </cell>
          <cell r="P46" t="e">
            <v>#DIV/0!</v>
          </cell>
          <cell r="Q46" t="e">
            <v>#DIV/0!</v>
          </cell>
          <cell r="R46" t="e">
            <v>#DIV/0!</v>
          </cell>
          <cell r="S46" t="e">
            <v>#DIV/0!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  <cell r="AC46" t="e">
            <v>#DIV/0!</v>
          </cell>
        </row>
        <row r="47">
          <cell r="A47" t="str">
            <v>Earnings before tax and goodwill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8">
          <cell r="A48" t="str">
            <v xml:space="preserve">  % change yoy</v>
          </cell>
          <cell r="H48" t="e">
            <v>#DIV/0!</v>
          </cell>
          <cell r="I48" t="e">
            <v>#DIV/0!</v>
          </cell>
          <cell r="J48" t="e">
            <v>#DIV/0!</v>
          </cell>
          <cell r="K48" t="e">
            <v>#DIV/0!</v>
          </cell>
          <cell r="L48" t="e">
            <v>#DIV/0!</v>
          </cell>
          <cell r="M48" t="e">
            <v>#DIV/0!</v>
          </cell>
          <cell r="N48" t="e">
            <v>#DIV/0!</v>
          </cell>
          <cell r="O48" t="e">
            <v>#DIV/0!</v>
          </cell>
          <cell r="P48" t="e">
            <v>#DIV/0!</v>
          </cell>
          <cell r="Q48" t="e">
            <v>#DIV/0!</v>
          </cell>
          <cell r="R48" t="e">
            <v>#DIV/0!</v>
          </cell>
          <cell r="S48" t="e">
            <v>#DIV/0!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  <cell r="AC48" t="e">
            <v>#DIV/0!</v>
          </cell>
        </row>
        <row r="49">
          <cell r="A49" t="str">
            <v xml:space="preserve">   Pretax margin (%)</v>
          </cell>
          <cell r="B49" t="e">
            <v>#DIV/0!</v>
          </cell>
          <cell r="C49" t="e">
            <v>#DIV/0!</v>
          </cell>
          <cell r="D49" t="e">
            <v>#DIV/0!</v>
          </cell>
          <cell r="E49" t="e">
            <v>#DIV/0!</v>
          </cell>
          <cell r="H49" t="e">
            <v>#DIV/0!</v>
          </cell>
          <cell r="I49" t="e">
            <v>#DIV/0!</v>
          </cell>
          <cell r="J49" t="e">
            <v>#DIV/0!</v>
          </cell>
          <cell r="K49" t="e">
            <v>#DIV/0!</v>
          </cell>
          <cell r="L49" t="e">
            <v>#DIV/0!</v>
          </cell>
          <cell r="M49" t="e">
            <v>#DIV/0!</v>
          </cell>
          <cell r="N49" t="e">
            <v>#DIV/0!</v>
          </cell>
          <cell r="O49" t="e">
            <v>#DIV/0!</v>
          </cell>
          <cell r="P49" t="e">
            <v>#DIV/0!</v>
          </cell>
          <cell r="Q49" t="e">
            <v>#DIV/0!</v>
          </cell>
          <cell r="R49" t="e">
            <v>#DIV/0!</v>
          </cell>
          <cell r="S49" t="e">
            <v>#DIV/0!</v>
          </cell>
          <cell r="T49" t="e">
            <v>#DIV/0!</v>
          </cell>
          <cell r="U49" t="e">
            <v>#DIV/0!</v>
          </cell>
          <cell r="V49" t="e">
            <v>#DIV/0!</v>
          </cell>
          <cell r="W49" t="e">
            <v>#DIV/0!</v>
          </cell>
          <cell r="X49" t="e">
            <v>#DIV/0!</v>
          </cell>
          <cell r="Y49" t="e">
            <v>#DIV/0!</v>
          </cell>
          <cell r="Z49" t="e">
            <v>#DIV/0!</v>
          </cell>
          <cell r="AA49" t="e">
            <v>#DIV/0!</v>
          </cell>
          <cell r="AB49" t="e">
            <v>#DIV/0!</v>
          </cell>
          <cell r="AC49" t="e">
            <v>#DIV/0!</v>
          </cell>
        </row>
        <row r="50">
          <cell r="A50" t="str">
            <v>Income taxes</v>
          </cell>
          <cell r="F50">
            <v>0</v>
          </cell>
          <cell r="G50">
            <v>0</v>
          </cell>
          <cell r="L50">
            <v>0</v>
          </cell>
          <cell r="M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A51" t="str">
            <v xml:space="preserve">  Current taxes</v>
          </cell>
        </row>
        <row r="52">
          <cell r="A52" t="str">
            <v xml:space="preserve">  Deferred taxes</v>
          </cell>
        </row>
        <row r="53">
          <cell r="A53" t="str">
            <v xml:space="preserve">  as % of EBTG</v>
          </cell>
          <cell r="B53" t="e">
            <v>#DIV/0!</v>
          </cell>
          <cell r="C53" t="e">
            <v>#DIV/0!</v>
          </cell>
          <cell r="D53" t="e">
            <v>#DIV/0!</v>
          </cell>
          <cell r="E53" t="e">
            <v>#DIV/0!</v>
          </cell>
          <cell r="H53" t="e">
            <v>#DIV/0!</v>
          </cell>
          <cell r="I53" t="e">
            <v>#DIV/0!</v>
          </cell>
          <cell r="J53" t="e">
            <v>#DIV/0!</v>
          </cell>
          <cell r="K53" t="e">
            <v>#DIV/0!</v>
          </cell>
          <cell r="L53" t="e">
            <v>#DIV/0!</v>
          </cell>
          <cell r="M53" t="e">
            <v>#DIV/0!</v>
          </cell>
          <cell r="N53" t="e">
            <v>#DIV/0!</v>
          </cell>
          <cell r="O53" t="e">
            <v>#DIV/0!</v>
          </cell>
          <cell r="P53" t="e">
            <v>#DIV/0!</v>
          </cell>
          <cell r="Q53" t="e">
            <v>#DIV/0!</v>
          </cell>
          <cell r="R53" t="e">
            <v>#DIV/0!</v>
          </cell>
          <cell r="S53" t="e">
            <v>#DIV/0!</v>
          </cell>
          <cell r="T53" t="e">
            <v>#DIV/0!</v>
          </cell>
          <cell r="U53" t="e">
            <v>#DIV/0!</v>
          </cell>
          <cell r="V53" t="e">
            <v>#DIV/0!</v>
          </cell>
          <cell r="W53" t="e">
            <v>#DIV/0!</v>
          </cell>
          <cell r="X53" t="e">
            <v>#DIV/0!</v>
          </cell>
          <cell r="Y53">
            <v>0.35</v>
          </cell>
          <cell r="Z53">
            <v>0.35</v>
          </cell>
          <cell r="AA53">
            <v>0.35</v>
          </cell>
          <cell r="AB53">
            <v>0.35</v>
          </cell>
          <cell r="AC53">
            <v>0.35</v>
          </cell>
        </row>
        <row r="54">
          <cell r="A54" t="str">
            <v>Income from continuing operations after tax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 xml:space="preserve">  % change yoy</v>
          </cell>
          <cell r="H55" t="e">
            <v>#DIV/0!</v>
          </cell>
          <cell r="I55" t="e">
            <v>#DIV/0!</v>
          </cell>
          <cell r="J55" t="e">
            <v>#DIV/0!</v>
          </cell>
          <cell r="K55" t="e">
            <v>#DIV/0!</v>
          </cell>
          <cell r="L55" t="e">
            <v>#DIV/0!</v>
          </cell>
          <cell r="M55" t="e">
            <v>#DIV/0!</v>
          </cell>
          <cell r="N55" t="e">
            <v>#DIV/0!</v>
          </cell>
          <cell r="O55" t="e">
            <v>#DIV/0!</v>
          </cell>
          <cell r="P55" t="e">
            <v>#DIV/0!</v>
          </cell>
          <cell r="Q55" t="e">
            <v>#DIV/0!</v>
          </cell>
          <cell r="R55" t="e">
            <v>#DIV/0!</v>
          </cell>
          <cell r="S55" t="e">
            <v>#DIV/0!</v>
          </cell>
          <cell r="U55" t="e">
            <v>#DIV/0!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  <cell r="AC55" t="e">
            <v>#DIV/0!</v>
          </cell>
        </row>
        <row r="56">
          <cell r="A56" t="str">
            <v>Minority interests</v>
          </cell>
          <cell r="L56">
            <v>0</v>
          </cell>
          <cell r="M56">
            <v>0</v>
          </cell>
          <cell r="Q56">
            <v>0</v>
          </cell>
          <cell r="R56">
            <v>0</v>
          </cell>
          <cell r="S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A57" t="str">
            <v>Net income from continuing operations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</row>
        <row r="58">
          <cell r="A58" t="str">
            <v xml:space="preserve">  % change yoy</v>
          </cell>
          <cell r="H58" t="e">
            <v>#DIV/0!</v>
          </cell>
          <cell r="I58" t="e">
            <v>#DIV/0!</v>
          </cell>
          <cell r="J58" t="e">
            <v>#DIV/0!</v>
          </cell>
          <cell r="K58" t="e">
            <v>#DIV/0!</v>
          </cell>
          <cell r="L58" t="e">
            <v>#DIV/0!</v>
          </cell>
          <cell r="M58" t="e">
            <v>#DIV/0!</v>
          </cell>
          <cell r="N58" t="e">
            <v>#DIV/0!</v>
          </cell>
          <cell r="O58" t="e">
            <v>#DIV/0!</v>
          </cell>
          <cell r="P58" t="e">
            <v>#DIV/0!</v>
          </cell>
          <cell r="Q58" t="e">
            <v>#DIV/0!</v>
          </cell>
          <cell r="R58" t="e">
            <v>#DIV/0!</v>
          </cell>
          <cell r="S58" t="e">
            <v>#DIV/0!</v>
          </cell>
          <cell r="U58" t="e">
            <v>#DIV/0!</v>
          </cell>
          <cell r="V58" t="e">
            <v>#DIV/0!</v>
          </cell>
          <cell r="W58" t="e">
            <v>#DIV/0!</v>
          </cell>
          <cell r="X58" t="e">
            <v>#DIV/0!</v>
          </cell>
          <cell r="Y58" t="e">
            <v>#DIV/0!</v>
          </cell>
          <cell r="Z58" t="e">
            <v>#DIV/0!</v>
          </cell>
          <cell r="AA58" t="e">
            <v>#DIV/0!</v>
          </cell>
          <cell r="AB58" t="e">
            <v>#DIV/0!</v>
          </cell>
          <cell r="AC58" t="e">
            <v>#DIV/0!</v>
          </cell>
        </row>
        <row r="59">
          <cell r="A59" t="str">
            <v>(Loss)/income from discontinued operations</v>
          </cell>
          <cell r="L59">
            <v>0</v>
          </cell>
          <cell r="M59">
            <v>0</v>
          </cell>
          <cell r="Q59">
            <v>0</v>
          </cell>
          <cell r="R59">
            <v>0</v>
          </cell>
          <cell r="S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</row>
        <row r="60">
          <cell r="A60" t="str">
            <v>Other adjustments to net income</v>
          </cell>
          <cell r="L60">
            <v>0</v>
          </cell>
          <cell r="M60">
            <v>0</v>
          </cell>
          <cell r="Q60">
            <v>0</v>
          </cell>
          <cell r="R60">
            <v>0</v>
          </cell>
          <cell r="S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</row>
        <row r="61">
          <cell r="A61" t="str">
            <v>Net income as reported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</row>
        <row r="62">
          <cell r="A62" t="str">
            <v xml:space="preserve">  % change yoy</v>
          </cell>
          <cell r="H62" t="e">
            <v>#DIV/0!</v>
          </cell>
          <cell r="I62" t="e">
            <v>#DIV/0!</v>
          </cell>
          <cell r="J62" t="e">
            <v>#DIV/0!</v>
          </cell>
          <cell r="K62" t="e">
            <v>#DIV/0!</v>
          </cell>
          <cell r="L62" t="e">
            <v>#DIV/0!</v>
          </cell>
          <cell r="M62" t="e">
            <v>#DIV/0!</v>
          </cell>
          <cell r="N62" t="e">
            <v>#DIV/0!</v>
          </cell>
          <cell r="O62" t="e">
            <v>#DIV/0!</v>
          </cell>
          <cell r="P62" t="e">
            <v>#DIV/0!</v>
          </cell>
          <cell r="Q62" t="e">
            <v>#DIV/0!</v>
          </cell>
          <cell r="R62" t="e">
            <v>#DIV/0!</v>
          </cell>
          <cell r="S62" t="e">
            <v>#DIV/0!</v>
          </cell>
          <cell r="U62" t="e">
            <v>#DIV/0!</v>
          </cell>
          <cell r="V62" t="e">
            <v>#DIV/0!</v>
          </cell>
          <cell r="W62" t="e">
            <v>#DIV/0!</v>
          </cell>
          <cell r="X62" t="e">
            <v>#DIV/0!</v>
          </cell>
          <cell r="Y62" t="e">
            <v>#DIV/0!</v>
          </cell>
          <cell r="Z62" t="e">
            <v>#DIV/0!</v>
          </cell>
          <cell r="AA62" t="e">
            <v>#DIV/0!</v>
          </cell>
          <cell r="AB62" t="e">
            <v>#DIV/0!</v>
          </cell>
          <cell r="AC62" t="e">
            <v>#DIV/0!</v>
          </cell>
        </row>
        <row r="63">
          <cell r="A63" t="str">
            <v>Preference dividends</v>
          </cell>
          <cell r="L63">
            <v>0</v>
          </cell>
          <cell r="M63">
            <v>0</v>
          </cell>
          <cell r="Q63">
            <v>0</v>
          </cell>
          <cell r="R63">
            <v>0</v>
          </cell>
          <cell r="S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</row>
        <row r="64">
          <cell r="A64" t="str">
            <v>Attributable earnings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</row>
        <row r="65">
          <cell r="A65" t="str">
            <v>Dividends payable</v>
          </cell>
          <cell r="Q65">
            <v>0</v>
          </cell>
          <cell r="R65">
            <v>0</v>
          </cell>
          <cell r="S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A66" t="str">
            <v>Retained earnings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</row>
        <row r="68">
          <cell r="A68" t="str">
            <v>No of shares data</v>
          </cell>
        </row>
        <row r="69">
          <cell r="A69" t="str">
            <v>Ave no of shares in issue (m)</v>
          </cell>
          <cell r="W69">
            <v>674</v>
          </cell>
          <cell r="X69">
            <v>652</v>
          </cell>
          <cell r="Y69">
            <v>652</v>
          </cell>
          <cell r="Z69">
            <v>652</v>
          </cell>
          <cell r="AA69">
            <v>652</v>
          </cell>
          <cell r="AB69">
            <v>652</v>
          </cell>
          <cell r="AC69">
            <v>652</v>
          </cell>
        </row>
        <row r="70">
          <cell r="A70" t="str">
            <v>Period end no of shares in issue (m)</v>
          </cell>
          <cell r="W70">
            <v>674</v>
          </cell>
          <cell r="X70">
            <v>652</v>
          </cell>
          <cell r="Y70">
            <v>652</v>
          </cell>
          <cell r="Z70">
            <v>652</v>
          </cell>
          <cell r="AA70">
            <v>652</v>
          </cell>
          <cell r="AB70">
            <v>652</v>
          </cell>
          <cell r="AC70">
            <v>652</v>
          </cell>
        </row>
        <row r="71">
          <cell r="A71" t="str">
            <v>Additional shares for dilution (m)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A72" t="str">
            <v>Diluted ave no of shares in issue (m)</v>
          </cell>
          <cell r="T72">
            <v>0</v>
          </cell>
          <cell r="U72">
            <v>0</v>
          </cell>
          <cell r="V72">
            <v>0</v>
          </cell>
          <cell r="W72">
            <v>674</v>
          </cell>
          <cell r="X72">
            <v>652</v>
          </cell>
          <cell r="Y72">
            <v>652</v>
          </cell>
          <cell r="Z72">
            <v>652</v>
          </cell>
          <cell r="AA72">
            <v>652</v>
          </cell>
          <cell r="AB72">
            <v>652</v>
          </cell>
          <cell r="AC72">
            <v>652</v>
          </cell>
        </row>
        <row r="74">
          <cell r="A74" t="str">
            <v>Per share amounts</v>
          </cell>
          <cell r="B74" t="str">
            <v>01Q1</v>
          </cell>
          <cell r="C74" t="str">
            <v>01Q2</v>
          </cell>
          <cell r="D74" t="str">
            <v>01Q3</v>
          </cell>
          <cell r="E74" t="str">
            <v>01Q4</v>
          </cell>
          <cell r="F74" t="str">
            <v>01H1</v>
          </cell>
          <cell r="G74" t="str">
            <v>01 9M</v>
          </cell>
          <cell r="H74" t="str">
            <v>02Q1</v>
          </cell>
          <cell r="I74" t="str">
            <v>02Q2</v>
          </cell>
          <cell r="J74" t="str">
            <v>02Q3</v>
          </cell>
          <cell r="K74" t="str">
            <v>02Q4</v>
          </cell>
          <cell r="L74" t="str">
            <v>02H1</v>
          </cell>
          <cell r="M74" t="str">
            <v>02 9M</v>
          </cell>
          <cell r="N74" t="str">
            <v>03Q1E</v>
          </cell>
          <cell r="O74" t="str">
            <v>03Q2E</v>
          </cell>
          <cell r="P74" t="str">
            <v>03Q3E</v>
          </cell>
          <cell r="Q74" t="str">
            <v>03Q4E</v>
          </cell>
          <cell r="R74" t="str">
            <v>03H1E</v>
          </cell>
          <cell r="S74" t="str">
            <v>03 9ME</v>
          </cell>
          <cell r="T74">
            <v>1998</v>
          </cell>
          <cell r="U74">
            <v>1999</v>
          </cell>
          <cell r="V74">
            <v>2000</v>
          </cell>
          <cell r="W74">
            <v>2001</v>
          </cell>
          <cell r="X74">
            <v>2002</v>
          </cell>
          <cell r="Y74" t="str">
            <v>2003E</v>
          </cell>
          <cell r="Z74" t="str">
            <v>2004E</v>
          </cell>
          <cell r="AA74" t="str">
            <v>2005E</v>
          </cell>
          <cell r="AB74" t="str">
            <v>2006E</v>
          </cell>
          <cell r="AC74" t="str">
            <v>2007E</v>
          </cell>
        </row>
        <row r="75">
          <cell r="A75" t="str">
            <v>Fully diluted EPS:</v>
          </cell>
        </row>
        <row r="76">
          <cell r="A76" t="str">
            <v xml:space="preserve">  EPS - reported</v>
          </cell>
          <cell r="B76" t="e">
            <v>#DIV/0!</v>
          </cell>
          <cell r="C76" t="e">
            <v>#DIV/0!</v>
          </cell>
          <cell r="D76" t="e">
            <v>#DIV/0!</v>
          </cell>
          <cell r="E76" t="e">
            <v>#DIV/0!</v>
          </cell>
          <cell r="H76" t="e">
            <v>#DIV/0!</v>
          </cell>
          <cell r="I76" t="e">
            <v>#DIV/0!</v>
          </cell>
          <cell r="J76" t="e">
            <v>#DIV/0!</v>
          </cell>
          <cell r="K76" t="e">
            <v>#DIV/0!</v>
          </cell>
          <cell r="N76" t="e">
            <v>#DIV/0!</v>
          </cell>
          <cell r="O76" t="e">
            <v>#DIV/0!</v>
          </cell>
          <cell r="P76" t="e">
            <v>#DIV/0!</v>
          </cell>
          <cell r="Q76" t="e">
            <v>#DIV/0!</v>
          </cell>
          <cell r="T76" t="e">
            <v>#DIV/0!</v>
          </cell>
          <cell r="U76" t="e">
            <v>#DIV/0!</v>
          </cell>
          <cell r="V76" t="e">
            <v>#DIV/0!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</row>
        <row r="77">
          <cell r="A77" t="str">
            <v xml:space="preserve">  % change yoy</v>
          </cell>
          <cell r="H77" t="e">
            <v>#DIV/0!</v>
          </cell>
          <cell r="I77" t="e">
            <v>#DIV/0!</v>
          </cell>
          <cell r="J77" t="e">
            <v>#DIV/0!</v>
          </cell>
          <cell r="K77" t="e">
            <v>#DIV/0!</v>
          </cell>
          <cell r="L77" t="e">
            <v>#DIV/0!</v>
          </cell>
          <cell r="M77" t="e">
            <v>#DIV/0!</v>
          </cell>
          <cell r="N77" t="e">
            <v>#DIV/0!</v>
          </cell>
          <cell r="O77" t="e">
            <v>#DIV/0!</v>
          </cell>
          <cell r="P77" t="e">
            <v>#DIV/0!</v>
          </cell>
          <cell r="Q77" t="e">
            <v>#DIV/0!</v>
          </cell>
          <cell r="R77" t="e">
            <v>#DIV/0!</v>
          </cell>
          <cell r="S77" t="e">
            <v>#DIV/0!</v>
          </cell>
          <cell r="U77" t="e">
            <v>#DIV/0!</v>
          </cell>
          <cell r="V77" t="e">
            <v>#DIV/0!</v>
          </cell>
          <cell r="W77" t="e">
            <v>#DIV/0!</v>
          </cell>
          <cell r="X77" t="e">
            <v>#DIV/0!</v>
          </cell>
          <cell r="Y77" t="e">
            <v>#DIV/0!</v>
          </cell>
          <cell r="Z77" t="e">
            <v>#DIV/0!</v>
          </cell>
          <cell r="AA77" t="e">
            <v>#DIV/0!</v>
          </cell>
          <cell r="AB77" t="e">
            <v>#DIV/0!</v>
          </cell>
          <cell r="AC77" t="e">
            <v>#DIV/0!</v>
          </cell>
        </row>
        <row r="78">
          <cell r="A78" t="str">
            <v xml:space="preserve">  EPS - analyst</v>
          </cell>
          <cell r="B78" t="e">
            <v>#DIV/0!</v>
          </cell>
          <cell r="C78" t="e">
            <v>#DIV/0!</v>
          </cell>
          <cell r="D78" t="e">
            <v>#DIV/0!</v>
          </cell>
          <cell r="E78" t="e">
            <v>#DIV/0!</v>
          </cell>
          <cell r="H78" t="e">
            <v>#DIV/0!</v>
          </cell>
          <cell r="I78" t="e">
            <v>#DIV/0!</v>
          </cell>
          <cell r="J78" t="e">
            <v>#DIV/0!</v>
          </cell>
          <cell r="K78" t="e">
            <v>#DIV/0!</v>
          </cell>
          <cell r="N78" t="e">
            <v>#DIV/0!</v>
          </cell>
          <cell r="O78" t="e">
            <v>#DIV/0!</v>
          </cell>
          <cell r="P78" t="e">
            <v>#DIV/0!</v>
          </cell>
          <cell r="Q78" t="e">
            <v>#DIV/0!</v>
          </cell>
          <cell r="T78" t="e">
            <v>#DIV/0!</v>
          </cell>
          <cell r="U78" t="e">
            <v>#DIV/0!</v>
          </cell>
          <cell r="V78" t="e">
            <v>#DIV/0!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</row>
        <row r="79">
          <cell r="A79" t="str">
            <v xml:space="preserve">  % change yoy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U79" t="e">
            <v>#DIV/0!</v>
          </cell>
          <cell r="V79" t="e">
            <v>#DIV/0!</v>
          </cell>
          <cell r="W79" t="e">
            <v>#DIV/0!</v>
          </cell>
          <cell r="X79" t="e">
            <v>#DIV/0!</v>
          </cell>
          <cell r="Y79" t="e">
            <v>#DIV/0!</v>
          </cell>
          <cell r="Z79" t="e">
            <v>#DIV/0!</v>
          </cell>
          <cell r="AA79" t="e">
            <v>#DIV/0!</v>
          </cell>
          <cell r="AB79" t="e">
            <v>#DIV/0!</v>
          </cell>
          <cell r="AC79" t="e">
            <v>#DIV/0!</v>
          </cell>
        </row>
        <row r="80">
          <cell r="A80" t="str">
            <v xml:space="preserve">  EPS - S&amp;P core</v>
          </cell>
          <cell r="B80" t="e">
            <v>#DIV/0!</v>
          </cell>
          <cell r="C80" t="e">
            <v>#DIV/0!</v>
          </cell>
          <cell r="D80" t="e">
            <v>#DIV/0!</v>
          </cell>
          <cell r="E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T80" t="e">
            <v>#DIV/0!</v>
          </cell>
          <cell r="U80" t="e">
            <v>#DIV/0!</v>
          </cell>
          <cell r="V80" t="e">
            <v>#DIV/0!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</row>
        <row r="81">
          <cell r="A81" t="str">
            <v xml:space="preserve">  CEPS</v>
          </cell>
          <cell r="T81" t="e">
            <v>#DIV/0!</v>
          </cell>
          <cell r="U81" t="e">
            <v>#DIV/0!</v>
          </cell>
          <cell r="V81" t="e">
            <v>#DIV/0!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 xml:space="preserve">  % change yoy</v>
          </cell>
          <cell r="H82" t="e">
            <v>#DIV/0!</v>
          </cell>
          <cell r="I82" t="e">
            <v>#DIV/0!</v>
          </cell>
          <cell r="J82" t="e">
            <v>#DIV/0!</v>
          </cell>
          <cell r="K82" t="e">
            <v>#DIV/0!</v>
          </cell>
          <cell r="L82" t="e">
            <v>#DIV/0!</v>
          </cell>
          <cell r="M82" t="e">
            <v>#DIV/0!</v>
          </cell>
          <cell r="N82" t="e">
            <v>#DIV/0!</v>
          </cell>
          <cell r="O82" t="e">
            <v>#DIV/0!</v>
          </cell>
          <cell r="P82" t="e">
            <v>#DIV/0!</v>
          </cell>
          <cell r="Q82" t="e">
            <v>#DIV/0!</v>
          </cell>
          <cell r="R82" t="e">
            <v>#DIV/0!</v>
          </cell>
          <cell r="S82" t="e">
            <v>#DIV/0!</v>
          </cell>
          <cell r="U82" t="e">
            <v>#DIV/0!</v>
          </cell>
          <cell r="V82" t="e">
            <v>#DIV/0!</v>
          </cell>
          <cell r="W82" t="e">
            <v>#DIV/0!</v>
          </cell>
          <cell r="X82" t="e">
            <v>#DIV/0!</v>
          </cell>
          <cell r="Y82" t="e">
            <v>#DIV/0!</v>
          </cell>
          <cell r="Z82" t="e">
            <v>#DIV/0!</v>
          </cell>
          <cell r="AA82" t="e">
            <v>#DIV/0!</v>
          </cell>
          <cell r="AB82" t="e">
            <v>#DIV/0!</v>
          </cell>
          <cell r="AC82" t="e">
            <v>#DIV/0!</v>
          </cell>
        </row>
        <row r="83">
          <cell r="A83" t="str">
            <v>Basic EPS</v>
          </cell>
        </row>
        <row r="84">
          <cell r="A84" t="str">
            <v xml:space="preserve">  EPS - reported</v>
          </cell>
        </row>
        <row r="85">
          <cell r="A85" t="str">
            <v xml:space="preserve">  EPS - analyst</v>
          </cell>
        </row>
        <row r="86">
          <cell r="A86" t="str">
            <v xml:space="preserve">  EPS - S&amp;P core</v>
          </cell>
        </row>
        <row r="87">
          <cell r="A87" t="str">
            <v xml:space="preserve">  Dividend per share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</row>
        <row r="88">
          <cell r="A88" t="str">
            <v xml:space="preserve">   % change yoy</v>
          </cell>
          <cell r="H88" t="e">
            <v>#DIV/0!</v>
          </cell>
          <cell r="I88" t="e">
            <v>#DIV/0!</v>
          </cell>
          <cell r="J88" t="e">
            <v>#DIV/0!</v>
          </cell>
          <cell r="K88" t="e">
            <v>#DIV/0!</v>
          </cell>
          <cell r="L88" t="e">
            <v>#DIV/0!</v>
          </cell>
          <cell r="M88" t="e">
            <v>#DIV/0!</v>
          </cell>
          <cell r="N88" t="e">
            <v>#DIV/0!</v>
          </cell>
          <cell r="O88" t="e">
            <v>#DIV/0!</v>
          </cell>
          <cell r="P88" t="e">
            <v>#DIV/0!</v>
          </cell>
          <cell r="Q88" t="e">
            <v>#DIV/0!</v>
          </cell>
          <cell r="R88" t="e">
            <v>#DIV/0!</v>
          </cell>
          <cell r="S88" t="e">
            <v>#DIV/0!</v>
          </cell>
          <cell r="U88" t="e">
            <v>#DIV/0!</v>
          </cell>
          <cell r="V88" t="e">
            <v>#DIV/0!</v>
          </cell>
          <cell r="W88" t="e">
            <v>#DIV/0!</v>
          </cell>
          <cell r="X88" t="e">
            <v>#DIV/0!</v>
          </cell>
          <cell r="Y88">
            <v>0.02</v>
          </cell>
          <cell r="Z88">
            <v>0.02</v>
          </cell>
          <cell r="AA88">
            <v>0.02</v>
          </cell>
          <cell r="AB88">
            <v>0.02</v>
          </cell>
          <cell r="AC88">
            <v>0.02</v>
          </cell>
        </row>
        <row r="90">
          <cell r="A90" t="str">
            <v>Income statement performance ratios (%)</v>
          </cell>
          <cell r="B90" t="str">
            <v>01Q1</v>
          </cell>
          <cell r="C90" t="str">
            <v>01Q2</v>
          </cell>
          <cell r="D90" t="str">
            <v>01Q3</v>
          </cell>
          <cell r="E90" t="str">
            <v>01Q4</v>
          </cell>
          <cell r="F90" t="str">
            <v>01H1</v>
          </cell>
          <cell r="G90" t="str">
            <v>01 9M</v>
          </cell>
          <cell r="H90" t="str">
            <v>02Q1</v>
          </cell>
          <cell r="I90" t="str">
            <v>02Q2</v>
          </cell>
          <cell r="J90" t="str">
            <v>02Q3</v>
          </cell>
          <cell r="K90" t="str">
            <v>02Q4</v>
          </cell>
          <cell r="L90" t="str">
            <v>02H1</v>
          </cell>
          <cell r="M90" t="str">
            <v>02 9M</v>
          </cell>
          <cell r="N90" t="str">
            <v>03Q1E</v>
          </cell>
          <cell r="O90" t="str">
            <v>03Q2E</v>
          </cell>
          <cell r="P90" t="str">
            <v>03Q3E</v>
          </cell>
          <cell r="Q90" t="str">
            <v>03Q4E</v>
          </cell>
          <cell r="R90" t="str">
            <v>03H1E</v>
          </cell>
          <cell r="S90" t="str">
            <v>03 9ME</v>
          </cell>
          <cell r="T90">
            <v>1998</v>
          </cell>
          <cell r="U90">
            <v>1999</v>
          </cell>
          <cell r="V90">
            <v>2000</v>
          </cell>
          <cell r="W90">
            <v>2001</v>
          </cell>
          <cell r="X90">
            <v>2002</v>
          </cell>
          <cell r="Y90" t="str">
            <v>2003E</v>
          </cell>
          <cell r="Z90" t="str">
            <v>2004E</v>
          </cell>
          <cell r="AA90" t="str">
            <v>2005E</v>
          </cell>
          <cell r="AB90" t="str">
            <v>2006E</v>
          </cell>
          <cell r="AC90" t="str">
            <v>2007E</v>
          </cell>
        </row>
        <row r="91">
          <cell r="A91" t="str">
            <v>Sales growth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T91">
            <v>0</v>
          </cell>
          <cell r="U91" t="e">
            <v>#DIV/0!</v>
          </cell>
          <cell r="V91" t="e">
            <v>#DIV/0!</v>
          </cell>
          <cell r="W91" t="e">
            <v>#DIV/0!</v>
          </cell>
          <cell r="X91" t="e">
            <v>#DIV/0!</v>
          </cell>
          <cell r="Y91" t="e">
            <v>#DIV/0!</v>
          </cell>
          <cell r="Z91" t="e">
            <v>#DIV/0!</v>
          </cell>
          <cell r="AA91" t="e">
            <v>#DIV/0!</v>
          </cell>
          <cell r="AB91" t="e">
            <v>#DIV/0!</v>
          </cell>
          <cell r="AC91" t="e">
            <v>#DIV/0!</v>
          </cell>
        </row>
        <row r="92">
          <cell r="A92" t="str">
            <v>Unit volume</v>
          </cell>
        </row>
        <row r="93">
          <cell r="A93" t="str">
            <v>Unit price</v>
          </cell>
        </row>
        <row r="94">
          <cell r="A94" t="str">
            <v>Gross margin</v>
          </cell>
          <cell r="B94" t="e">
            <v>#DIV/0!</v>
          </cell>
          <cell r="C94" t="e">
            <v>#DIV/0!</v>
          </cell>
          <cell r="D94" t="e">
            <v>#DIV/0!</v>
          </cell>
          <cell r="E94" t="e">
            <v>#DIV/0!</v>
          </cell>
          <cell r="H94" t="e">
            <v>#DIV/0!</v>
          </cell>
          <cell r="I94" t="e">
            <v>#DIV/0!</v>
          </cell>
          <cell r="J94" t="e">
            <v>#DIV/0!</v>
          </cell>
          <cell r="K94" t="e">
            <v>#DIV/0!</v>
          </cell>
          <cell r="N94" t="e">
            <v>#DIV/0!</v>
          </cell>
          <cell r="O94" t="e">
            <v>#DIV/0!</v>
          </cell>
          <cell r="P94" t="e">
            <v>#DIV/0!</v>
          </cell>
          <cell r="Q94" t="e">
            <v>#DIV/0!</v>
          </cell>
          <cell r="T94" t="e">
            <v>#DIV/0!</v>
          </cell>
          <cell r="U94" t="e">
            <v>#DIV/0!</v>
          </cell>
          <cell r="V94" t="e">
            <v>#DIV/0!</v>
          </cell>
          <cell r="W94" t="e">
            <v>#DIV/0!</v>
          </cell>
          <cell r="X94" t="e">
            <v>#DIV/0!</v>
          </cell>
          <cell r="Y94" t="e">
            <v>#DIV/0!</v>
          </cell>
          <cell r="Z94" t="e">
            <v>#DIV/0!</v>
          </cell>
          <cell r="AA94" t="e">
            <v>#DIV/0!</v>
          </cell>
          <cell r="AB94" t="e">
            <v>#DIV/0!</v>
          </cell>
          <cell r="AC94" t="e">
            <v>#DIV/0!</v>
          </cell>
        </row>
        <row r="95">
          <cell r="A95" t="str">
            <v>SG&amp;A as % of sales</v>
          </cell>
        </row>
        <row r="96">
          <cell r="A96" t="str">
            <v>EBITA margin</v>
          </cell>
          <cell r="B96" t="e">
            <v>#DIV/0!</v>
          </cell>
          <cell r="C96" t="e">
            <v>#DIV/0!</v>
          </cell>
          <cell r="D96" t="e">
            <v>#DIV/0!</v>
          </cell>
          <cell r="E96" t="e">
            <v>#DIV/0!</v>
          </cell>
          <cell r="H96" t="e">
            <v>#DIV/0!</v>
          </cell>
          <cell r="I96" t="e">
            <v>#DIV/0!</v>
          </cell>
          <cell r="J96" t="e">
            <v>#DIV/0!</v>
          </cell>
          <cell r="K96" t="e">
            <v>#DIV/0!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#DIV/0!</v>
          </cell>
          <cell r="T96" t="e">
            <v>#DIV/0!</v>
          </cell>
          <cell r="U96" t="e">
            <v>#DIV/0!</v>
          </cell>
          <cell r="V96" t="e">
            <v>#DIV/0!</v>
          </cell>
          <cell r="W96" t="e">
            <v>#DIV/0!</v>
          </cell>
          <cell r="X96" t="e">
            <v>#DIV/0!</v>
          </cell>
          <cell r="Y96" t="e">
            <v>#DIV/0!</v>
          </cell>
          <cell r="Z96" t="e">
            <v>#DIV/0!</v>
          </cell>
          <cell r="AA96" t="e">
            <v>#DIV/0!</v>
          </cell>
          <cell r="AB96" t="e">
            <v>#DIV/0!</v>
          </cell>
          <cell r="AC96" t="e">
            <v>#DIV/0!</v>
          </cell>
        </row>
        <row r="97">
          <cell r="A97" t="str">
            <v>EBITA growth</v>
          </cell>
          <cell r="H97" t="e">
            <v>#DIV/0!</v>
          </cell>
          <cell r="I97" t="e">
            <v>#DIV/0!</v>
          </cell>
          <cell r="J97" t="e">
            <v>#DIV/0!</v>
          </cell>
          <cell r="K97" t="e">
            <v>#DIV/0!</v>
          </cell>
          <cell r="N97" t="e">
            <v>#DIV/0!</v>
          </cell>
          <cell r="O97" t="e">
            <v>#DIV/0!</v>
          </cell>
          <cell r="P97" t="e">
            <v>#DIV/0!</v>
          </cell>
          <cell r="Q97" t="e">
            <v>#DIV/0!</v>
          </cell>
          <cell r="T97">
            <v>0</v>
          </cell>
          <cell r="U97" t="e">
            <v>#DIV/0!</v>
          </cell>
          <cell r="V97" t="e">
            <v>#DIV/0!</v>
          </cell>
          <cell r="W97" t="e">
            <v>#DIV/0!</v>
          </cell>
          <cell r="X97" t="e">
            <v>#DIV/0!</v>
          </cell>
          <cell r="Y97" t="e">
            <v>#DIV/0!</v>
          </cell>
          <cell r="Z97" t="e">
            <v>#DIV/0!</v>
          </cell>
          <cell r="AA97" t="e">
            <v>#DIV/0!</v>
          </cell>
          <cell r="AB97" t="e">
            <v>#DIV/0!</v>
          </cell>
          <cell r="AC97" t="e">
            <v>#DIV/0!</v>
          </cell>
        </row>
        <row r="98">
          <cell r="A98" t="str">
            <v>EBITDA margin</v>
          </cell>
          <cell r="B98" t="e">
            <v>#DIV/0!</v>
          </cell>
          <cell r="C98" t="e">
            <v>#DIV/0!</v>
          </cell>
          <cell r="D98" t="e">
            <v>#DIV/0!</v>
          </cell>
          <cell r="E98" t="e">
            <v>#DIV/0!</v>
          </cell>
          <cell r="H98" t="e">
            <v>#DIV/0!</v>
          </cell>
          <cell r="I98" t="e">
            <v>#DIV/0!</v>
          </cell>
          <cell r="J98" t="e">
            <v>#DIV/0!</v>
          </cell>
          <cell r="K98" t="e">
            <v>#DIV/0!</v>
          </cell>
          <cell r="N98" t="e">
            <v>#DIV/0!</v>
          </cell>
          <cell r="O98" t="e">
            <v>#DIV/0!</v>
          </cell>
          <cell r="P98" t="e">
            <v>#DIV/0!</v>
          </cell>
          <cell r="Q98" t="e">
            <v>#DIV/0!</v>
          </cell>
          <cell r="T98" t="e">
            <v>#DIV/0!</v>
          </cell>
          <cell r="U98" t="e">
            <v>#DIV/0!</v>
          </cell>
          <cell r="V98" t="e">
            <v>#DIV/0!</v>
          </cell>
          <cell r="W98" t="e">
            <v>#DIV/0!</v>
          </cell>
          <cell r="X98" t="e">
            <v>#DIV/0!</v>
          </cell>
          <cell r="Y98" t="e">
            <v>#DIV/0!</v>
          </cell>
          <cell r="Z98" t="e">
            <v>#DIV/0!</v>
          </cell>
          <cell r="AA98" t="e">
            <v>#DIV/0!</v>
          </cell>
          <cell r="AB98" t="e">
            <v>#DIV/0!</v>
          </cell>
          <cell r="AC98" t="e">
            <v>#DIV/0!</v>
          </cell>
        </row>
        <row r="99">
          <cell r="A99" t="str">
            <v>EBITDA growth</v>
          </cell>
          <cell r="H99" t="e">
            <v>#DIV/0!</v>
          </cell>
          <cell r="I99" t="e">
            <v>#DIV/0!</v>
          </cell>
          <cell r="J99" t="e">
            <v>#DIV/0!</v>
          </cell>
          <cell r="K99" t="e">
            <v>#DIV/0!</v>
          </cell>
          <cell r="N99" t="e">
            <v>#DIV/0!</v>
          </cell>
          <cell r="O99" t="e">
            <v>#DIV/0!</v>
          </cell>
          <cell r="P99" t="e">
            <v>#DIV/0!</v>
          </cell>
          <cell r="Q99" t="e">
            <v>#DIV/0!</v>
          </cell>
          <cell r="T99" t="e">
            <v>#DIV/0!</v>
          </cell>
          <cell r="U99" t="e">
            <v>#DIV/0!</v>
          </cell>
          <cell r="V99" t="e">
            <v>#DIV/0!</v>
          </cell>
          <cell r="W99" t="e">
            <v>#DIV/0!</v>
          </cell>
          <cell r="X99" t="e">
            <v>#DIV/0!</v>
          </cell>
          <cell r="Y99" t="e">
            <v>#DIV/0!</v>
          </cell>
          <cell r="Z99" t="e">
            <v>#DIV/0!</v>
          </cell>
          <cell r="AA99" t="e">
            <v>#DIV/0!</v>
          </cell>
          <cell r="AB99" t="e">
            <v>#DIV/0!</v>
          </cell>
          <cell r="AC99" t="e">
            <v>#DIV/0!</v>
          </cell>
        </row>
        <row r="100">
          <cell r="A100" t="str">
            <v>Pretax margin (pre-goodwill)</v>
          </cell>
          <cell r="B100" t="e">
            <v>#DIV/0!</v>
          </cell>
          <cell r="C100" t="e">
            <v>#DIV/0!</v>
          </cell>
          <cell r="D100" t="e">
            <v>#DIV/0!</v>
          </cell>
          <cell r="E100" t="e">
            <v>#DIV/0!</v>
          </cell>
          <cell r="H100" t="e">
            <v>#DIV/0!</v>
          </cell>
          <cell r="I100" t="e">
            <v>#DIV/0!</v>
          </cell>
          <cell r="J100" t="e">
            <v>#DIV/0!</v>
          </cell>
          <cell r="K100" t="e">
            <v>#DIV/0!</v>
          </cell>
          <cell r="N100" t="e">
            <v>#DIV/0!</v>
          </cell>
          <cell r="O100" t="e">
            <v>#DIV/0!</v>
          </cell>
          <cell r="P100" t="e">
            <v>#DIV/0!</v>
          </cell>
          <cell r="Q100" t="e">
            <v>#DIV/0!</v>
          </cell>
          <cell r="T100" t="e">
            <v>#DIV/0!</v>
          </cell>
          <cell r="U100" t="e">
            <v>#DIV/0!</v>
          </cell>
          <cell r="V100" t="e">
            <v>#DIV/0!</v>
          </cell>
          <cell r="W100" t="e">
            <v>#DIV/0!</v>
          </cell>
          <cell r="X100" t="e">
            <v>#DIV/0!</v>
          </cell>
          <cell r="Y100" t="e">
            <v>#DIV/0!</v>
          </cell>
          <cell r="Z100" t="e">
            <v>#DIV/0!</v>
          </cell>
          <cell r="AA100" t="e">
            <v>#DIV/0!</v>
          </cell>
          <cell r="AB100" t="e">
            <v>#DIV/0!</v>
          </cell>
          <cell r="AC100" t="e">
            <v>#DIV/0!</v>
          </cell>
        </row>
        <row r="101">
          <cell r="A101" t="str">
            <v>Tax rate</v>
          </cell>
          <cell r="B101" t="e">
            <v>#DIV/0!</v>
          </cell>
          <cell r="C101" t="e">
            <v>#DIV/0!</v>
          </cell>
          <cell r="D101" t="e">
            <v>#DIV/0!</v>
          </cell>
          <cell r="E101" t="e">
            <v>#DIV/0!</v>
          </cell>
          <cell r="H101" t="e">
            <v>#DIV/0!</v>
          </cell>
          <cell r="I101" t="e">
            <v>#DIV/0!</v>
          </cell>
          <cell r="J101" t="e">
            <v>#DIV/0!</v>
          </cell>
          <cell r="K101" t="e">
            <v>#DIV/0!</v>
          </cell>
          <cell r="N101" t="e">
            <v>#DIV/0!</v>
          </cell>
          <cell r="O101" t="e">
            <v>#DIV/0!</v>
          </cell>
          <cell r="P101" t="e">
            <v>#DIV/0!</v>
          </cell>
          <cell r="Q101" t="e">
            <v>#DIV/0!</v>
          </cell>
          <cell r="T101" t="e">
            <v>#DIV/0!</v>
          </cell>
          <cell r="U101" t="e">
            <v>#DIV/0!</v>
          </cell>
          <cell r="V101" t="e">
            <v>#DIV/0!</v>
          </cell>
          <cell r="W101" t="e">
            <v>#DIV/0!</v>
          </cell>
          <cell r="X101" t="e">
            <v>#DIV/0!</v>
          </cell>
          <cell r="Y101">
            <v>0.35</v>
          </cell>
          <cell r="Z101">
            <v>0.35</v>
          </cell>
          <cell r="AA101">
            <v>0.35</v>
          </cell>
          <cell r="AB101">
            <v>0.35</v>
          </cell>
          <cell r="AC101">
            <v>0.35</v>
          </cell>
        </row>
        <row r="102">
          <cell r="A102" t="str">
            <v>Net income growth (reported)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</row>
        <row r="103">
          <cell r="A103" t="str">
            <v>Net income growth (analyst)</v>
          </cell>
          <cell r="H103" t="e">
            <v>#DIV/0!</v>
          </cell>
          <cell r="I103" t="e">
            <v>#DIV/0!</v>
          </cell>
          <cell r="J103" t="e">
            <v>#DIV/0!</v>
          </cell>
          <cell r="K103" t="e">
            <v>#DIV/0!</v>
          </cell>
          <cell r="N103" t="e">
            <v>#DIV/0!</v>
          </cell>
          <cell r="O103" t="e">
            <v>#DIV/0!</v>
          </cell>
          <cell r="P103" t="e">
            <v>#DIV/0!</v>
          </cell>
          <cell r="Q103" t="e">
            <v>#DIV/0!</v>
          </cell>
          <cell r="T103">
            <v>0</v>
          </cell>
          <cell r="U103" t="e">
            <v>#DIV/0!</v>
          </cell>
          <cell r="V103" t="e">
            <v>#DIV/0!</v>
          </cell>
          <cell r="W103" t="e">
            <v>#DIV/0!</v>
          </cell>
          <cell r="X103" t="e">
            <v>#DIV/0!</v>
          </cell>
          <cell r="Y103" t="e">
            <v>#DIV/0!</v>
          </cell>
          <cell r="Z103" t="e">
            <v>#DIV/0!</v>
          </cell>
          <cell r="AA103" t="e">
            <v>#DIV/0!</v>
          </cell>
          <cell r="AB103" t="e">
            <v>#DIV/0!</v>
          </cell>
          <cell r="AC103" t="e">
            <v>#DIV/0!</v>
          </cell>
        </row>
        <row r="104">
          <cell r="A104" t="str">
            <v>EPS - reported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H104" t="e">
            <v>#DIV/0!</v>
          </cell>
          <cell r="I104" t="e">
            <v>#DIV/0!</v>
          </cell>
          <cell r="J104" t="e">
            <v>#DIV/0!</v>
          </cell>
          <cell r="K104" t="e">
            <v>#DIV/0!</v>
          </cell>
          <cell r="N104" t="e">
            <v>#DIV/0!</v>
          </cell>
          <cell r="O104" t="e">
            <v>#DIV/0!</v>
          </cell>
          <cell r="P104" t="e">
            <v>#DIV/0!</v>
          </cell>
          <cell r="Q104" t="e">
            <v>#DIV/0!</v>
          </cell>
          <cell r="T104">
            <v>0</v>
          </cell>
          <cell r="U104" t="e">
            <v>#DIV/0!</v>
          </cell>
          <cell r="V104" t="e">
            <v>#DIV/0!</v>
          </cell>
          <cell r="W104" t="e">
            <v>#DIV/0!</v>
          </cell>
          <cell r="X104" t="e">
            <v>#DIV/0!</v>
          </cell>
          <cell r="Y104" t="e">
            <v>#DIV/0!</v>
          </cell>
          <cell r="Z104" t="e">
            <v>#DIV/0!</v>
          </cell>
          <cell r="AA104" t="e">
            <v>#DIV/0!</v>
          </cell>
          <cell r="AB104" t="e">
            <v>#DIV/0!</v>
          </cell>
          <cell r="AC104" t="e">
            <v>#DIV/0!</v>
          </cell>
        </row>
        <row r="105">
          <cell r="A105" t="str">
            <v>EPS - analyst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H105" t="e">
            <v>#DIV/0!</v>
          </cell>
          <cell r="I105" t="e">
            <v>#DIV/0!</v>
          </cell>
          <cell r="J105" t="e">
            <v>#DIV/0!</v>
          </cell>
          <cell r="K105" t="e">
            <v>#DIV/0!</v>
          </cell>
          <cell r="N105" t="e">
            <v>#DIV/0!</v>
          </cell>
          <cell r="O105" t="e">
            <v>#DIV/0!</v>
          </cell>
          <cell r="P105" t="e">
            <v>#DIV/0!</v>
          </cell>
          <cell r="Q105" t="e">
            <v>#DIV/0!</v>
          </cell>
          <cell r="T105">
            <v>0</v>
          </cell>
          <cell r="U105" t="e">
            <v>#DIV/0!</v>
          </cell>
          <cell r="V105" t="e">
            <v>#DIV/0!</v>
          </cell>
          <cell r="W105" t="e">
            <v>#DIV/0!</v>
          </cell>
          <cell r="X105" t="e">
            <v>#DIV/0!</v>
          </cell>
          <cell r="Y105" t="e">
            <v>#DIV/0!</v>
          </cell>
          <cell r="Z105" t="e">
            <v>#DIV/0!</v>
          </cell>
          <cell r="AA105" t="e">
            <v>#DIV/0!</v>
          </cell>
          <cell r="AB105" t="e">
            <v>#DIV/0!</v>
          </cell>
          <cell r="AC105" t="e">
            <v>#DIV/0!</v>
          </cell>
        </row>
        <row r="106">
          <cell r="A106" t="str">
            <v>DPS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H106" t="e">
            <v>#DIV/0!</v>
          </cell>
          <cell r="I106" t="e">
            <v>#DIV/0!</v>
          </cell>
          <cell r="J106" t="e">
            <v>#DIV/0!</v>
          </cell>
          <cell r="K106" t="e">
            <v>#DIV/0!</v>
          </cell>
          <cell r="N106" t="e">
            <v>#DIV/0!</v>
          </cell>
          <cell r="O106" t="e">
            <v>#DIV/0!</v>
          </cell>
          <cell r="P106" t="e">
            <v>#DIV/0!</v>
          </cell>
          <cell r="Q106" t="e">
            <v>#DIV/0!</v>
          </cell>
          <cell r="T106">
            <v>0</v>
          </cell>
          <cell r="U106" t="e">
            <v>#DIV/0!</v>
          </cell>
          <cell r="V106" t="e">
            <v>#DIV/0!</v>
          </cell>
          <cell r="W106" t="e">
            <v>#DIV/0!</v>
          </cell>
          <cell r="X106" t="e">
            <v>#DIV/0!</v>
          </cell>
          <cell r="Y106">
            <v>0.02</v>
          </cell>
          <cell r="Z106">
            <v>0.02</v>
          </cell>
          <cell r="AA106">
            <v>0.02</v>
          </cell>
          <cell r="AB106">
            <v>0.02</v>
          </cell>
          <cell r="AC106">
            <v>0.02</v>
          </cell>
        </row>
        <row r="107">
          <cell r="A107" t="str">
            <v>Payout ratio (analyst EPS basis)</v>
          </cell>
          <cell r="B107" t="e">
            <v>#DIV/0!</v>
          </cell>
          <cell r="C107" t="e">
            <v>#DIV/0!</v>
          </cell>
          <cell r="D107" t="e">
            <v>#DIV/0!</v>
          </cell>
          <cell r="E107" t="e">
            <v>#DIV/0!</v>
          </cell>
          <cell r="H107" t="e">
            <v>#DIV/0!</v>
          </cell>
          <cell r="I107" t="e">
            <v>#DIV/0!</v>
          </cell>
          <cell r="J107" t="e">
            <v>#DIV/0!</v>
          </cell>
          <cell r="K107" t="e">
            <v>#DIV/0!</v>
          </cell>
          <cell r="N107" t="e">
            <v>#DIV/0!</v>
          </cell>
          <cell r="O107" t="e">
            <v>#DIV/0!</v>
          </cell>
          <cell r="P107" t="e">
            <v>#DIV/0!</v>
          </cell>
          <cell r="Q107" t="e">
            <v>#DIV/0!</v>
          </cell>
          <cell r="T107" t="e">
            <v>#DIV/0!</v>
          </cell>
          <cell r="U107" t="e">
            <v>#DIV/0!</v>
          </cell>
          <cell r="V107" t="e">
            <v>#DIV/0!</v>
          </cell>
          <cell r="W107" t="e">
            <v>#DIV/0!</v>
          </cell>
          <cell r="X107" t="e">
            <v>#DIV/0!</v>
          </cell>
          <cell r="Y107" t="e">
            <v>#DIV/0!</v>
          </cell>
          <cell r="Z107" t="e">
            <v>#DIV/0!</v>
          </cell>
          <cell r="AA107" t="e">
            <v>#DIV/0!</v>
          </cell>
          <cell r="AB107" t="e">
            <v>#DIV/0!</v>
          </cell>
          <cell r="AC107" t="e">
            <v>#DIV/0!</v>
          </cell>
        </row>
        <row r="108">
          <cell r="A108" t="str">
            <v>Dividend cover - analyst EPS basis (x)</v>
          </cell>
          <cell r="B108" t="e">
            <v>#DIV/0!</v>
          </cell>
          <cell r="C108" t="e">
            <v>#DIV/0!</v>
          </cell>
          <cell r="D108" t="e">
            <v>#DIV/0!</v>
          </cell>
          <cell r="E108" t="e">
            <v>#DIV/0!</v>
          </cell>
          <cell r="H108" t="e">
            <v>#DIV/0!</v>
          </cell>
          <cell r="I108" t="e">
            <v>#DIV/0!</v>
          </cell>
          <cell r="J108" t="e">
            <v>#DIV/0!</v>
          </cell>
          <cell r="K108" t="e">
            <v>#DIV/0!</v>
          </cell>
          <cell r="N108" t="e">
            <v>#DIV/0!</v>
          </cell>
          <cell r="O108" t="e">
            <v>#DIV/0!</v>
          </cell>
          <cell r="P108" t="e">
            <v>#DIV/0!</v>
          </cell>
          <cell r="Q108" t="e">
            <v>#DIV/0!</v>
          </cell>
          <cell r="T108" t="e">
            <v>#DIV/0!</v>
          </cell>
          <cell r="U108" t="e">
            <v>#DIV/0!</v>
          </cell>
          <cell r="V108" t="e">
            <v>#DIV/0!</v>
          </cell>
          <cell r="W108" t="e">
            <v>#DIV/0!</v>
          </cell>
          <cell r="X108" t="e">
            <v>#DIV/0!</v>
          </cell>
          <cell r="Y108" t="e">
            <v>#DIV/0!</v>
          </cell>
          <cell r="Z108" t="e">
            <v>#DIV/0!</v>
          </cell>
          <cell r="AA108" t="e">
            <v>#DIV/0!</v>
          </cell>
          <cell r="AB108" t="e">
            <v>#DIV/0!</v>
          </cell>
          <cell r="AC108" t="e">
            <v>#DIV/0!</v>
          </cell>
        </row>
        <row r="109">
          <cell r="A109" t="str">
            <v>Cash earnings per share growth</v>
          </cell>
        </row>
        <row r="110">
          <cell r="A110" t="str">
            <v>Interest cover (x)</v>
          </cell>
          <cell r="B110" t="e">
            <v>#DIV/0!</v>
          </cell>
          <cell r="C110" t="e">
            <v>#DIV/0!</v>
          </cell>
          <cell r="D110" t="e">
            <v>#DIV/0!</v>
          </cell>
          <cell r="E110" t="e">
            <v>#DIV/0!</v>
          </cell>
          <cell r="H110" t="e">
            <v>#DIV/0!</v>
          </cell>
          <cell r="I110" t="e">
            <v>#DIV/0!</v>
          </cell>
          <cell r="J110" t="e">
            <v>#DIV/0!</v>
          </cell>
          <cell r="K110" t="e">
            <v>#DIV/0!</v>
          </cell>
          <cell r="N110" t="e">
            <v>#DIV/0!</v>
          </cell>
          <cell r="O110" t="e">
            <v>#DIV/0!</v>
          </cell>
          <cell r="P110" t="e">
            <v>#DIV/0!</v>
          </cell>
          <cell r="Q110" t="e">
            <v>#DIV/0!</v>
          </cell>
          <cell r="V110" t="e">
            <v>#DIV/0!</v>
          </cell>
          <cell r="W110" t="e">
            <v>#DIV/0!</v>
          </cell>
          <cell r="X110" t="e">
            <v>#DIV/0!</v>
          </cell>
          <cell r="Y110" t="e">
            <v>#DIV/0!</v>
          </cell>
          <cell r="Z110" t="e">
            <v>#DIV/0!</v>
          </cell>
          <cell r="AA110" t="e">
            <v>#DIV/0!</v>
          </cell>
          <cell r="AB110" t="e">
            <v>#DIV/0!</v>
          </cell>
          <cell r="AC110" t="e">
            <v>#DIV/0!</v>
          </cell>
        </row>
        <row r="111">
          <cell r="A111" t="str">
            <v>Op leverage: change in EBIT/change in sales</v>
          </cell>
          <cell r="B111" t="e">
            <v>#DIV/0!</v>
          </cell>
          <cell r="C111" t="e">
            <v>#DIV/0!</v>
          </cell>
          <cell r="D111" t="e">
            <v>#DIV/0!</v>
          </cell>
          <cell r="E111" t="e">
            <v>#DIV/0!</v>
          </cell>
          <cell r="F111" t="e">
            <v>#DIV/0!</v>
          </cell>
          <cell r="G111" t="e">
            <v>#DIV/0!</v>
          </cell>
          <cell r="H111" t="e">
            <v>#DIV/0!</v>
          </cell>
          <cell r="I111" t="e">
            <v>#DIV/0!</v>
          </cell>
          <cell r="J111" t="e">
            <v>#DIV/0!</v>
          </cell>
          <cell r="K111" t="e">
            <v>#DIV/0!</v>
          </cell>
          <cell r="L111" t="e">
            <v>#DIV/0!</v>
          </cell>
          <cell r="M111" t="e">
            <v>#DIV/0!</v>
          </cell>
          <cell r="N111" t="e">
            <v>#DIV/0!</v>
          </cell>
          <cell r="O111" t="e">
            <v>#DIV/0!</v>
          </cell>
          <cell r="P111" t="e">
            <v>#DIV/0!</v>
          </cell>
          <cell r="Q111" t="e">
            <v>#DIV/0!</v>
          </cell>
          <cell r="R111" t="e">
            <v>#DIV/0!</v>
          </cell>
          <cell r="S111" t="e">
            <v>#DIV/0!</v>
          </cell>
          <cell r="T111" t="e">
            <v>#DIV/0!</v>
          </cell>
          <cell r="U111" t="e">
            <v>#DIV/0!</v>
          </cell>
          <cell r="V111" t="e">
            <v>#DIV/0!</v>
          </cell>
          <cell r="W111" t="e">
            <v>#DIV/0!</v>
          </cell>
          <cell r="X111" t="e">
            <v>#DIV/0!</v>
          </cell>
          <cell r="Y111" t="e">
            <v>#DIV/0!</v>
          </cell>
          <cell r="Z111" t="e">
            <v>#DIV/0!</v>
          </cell>
          <cell r="AA111" t="e">
            <v>#DIV/0!</v>
          </cell>
          <cell r="AB111" t="e">
            <v>#DIV/0!</v>
          </cell>
          <cell r="AC111" t="e">
            <v>#DIV/0!</v>
          </cell>
        </row>
      </sheetData>
      <sheetData sheetId="3" refreshError="1">
        <row r="1">
          <cell r="A1" t="str">
            <v>Test Inc.  Balance Sheet</v>
          </cell>
        </row>
        <row r="2">
          <cell r="A2" t="str">
            <v>Fiscal year end Jun 31</v>
          </cell>
          <cell r="B2" t="str">
            <v>01Q1</v>
          </cell>
          <cell r="C2" t="str">
            <v>01Q2</v>
          </cell>
          <cell r="D2" t="str">
            <v>01Q3</v>
          </cell>
          <cell r="E2" t="str">
            <v>01Q4</v>
          </cell>
          <cell r="F2" t="str">
            <v>01H1</v>
          </cell>
          <cell r="G2" t="str">
            <v>01 9M</v>
          </cell>
          <cell r="H2" t="str">
            <v>02Q1</v>
          </cell>
          <cell r="I2" t="str">
            <v>02Q2</v>
          </cell>
          <cell r="J2" t="str">
            <v>02Q3</v>
          </cell>
          <cell r="K2" t="str">
            <v>02Q4</v>
          </cell>
          <cell r="L2" t="str">
            <v>02H1</v>
          </cell>
          <cell r="M2" t="str">
            <v>02 9M</v>
          </cell>
          <cell r="N2" t="str">
            <v>03Q1E</v>
          </cell>
          <cell r="O2" t="str">
            <v>03Q2E</v>
          </cell>
          <cell r="P2" t="str">
            <v>03Q3E</v>
          </cell>
          <cell r="Q2" t="str">
            <v>03Q4E</v>
          </cell>
          <cell r="R2" t="str">
            <v>03H1E</v>
          </cell>
          <cell r="S2" t="str">
            <v>03 9ME</v>
          </cell>
          <cell r="T2">
            <v>1998</v>
          </cell>
          <cell r="U2">
            <v>1999</v>
          </cell>
          <cell r="V2">
            <v>2000</v>
          </cell>
          <cell r="W2">
            <v>2001</v>
          </cell>
          <cell r="X2">
            <v>2002</v>
          </cell>
          <cell r="Y2" t="str">
            <v>2003E</v>
          </cell>
          <cell r="Z2" t="str">
            <v>2004E</v>
          </cell>
          <cell r="AA2" t="str">
            <v>2005E</v>
          </cell>
          <cell r="AB2" t="str">
            <v>2006E</v>
          </cell>
          <cell r="AC2" t="str">
            <v>2007E</v>
          </cell>
        </row>
        <row r="3">
          <cell r="A3" t="str">
            <v>Current assets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>Cash &amp; equivalents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</row>
        <row r="5">
          <cell r="A5" t="str">
            <v xml:space="preserve">     as % of total revenues</v>
          </cell>
          <cell r="B5" t="e">
            <v>#DIV/0!</v>
          </cell>
          <cell r="C5" t="e">
            <v>#DIV/0!</v>
          </cell>
          <cell r="D5" t="e">
            <v>#DIV/0!</v>
          </cell>
          <cell r="E5" t="e">
            <v>#DIV/0!</v>
          </cell>
          <cell r="F5" t="e">
            <v>#DIV/0!</v>
          </cell>
          <cell r="G5" t="e">
            <v>#DIV/0!</v>
          </cell>
          <cell r="H5" t="e">
            <v>#DIV/0!</v>
          </cell>
          <cell r="I5" t="e">
            <v>#DIV/0!</v>
          </cell>
          <cell r="J5" t="e">
            <v>#DIV/0!</v>
          </cell>
          <cell r="K5" t="e">
            <v>#DIV/0!</v>
          </cell>
          <cell r="L5" t="e">
            <v>#DIV/0!</v>
          </cell>
          <cell r="M5" t="e">
            <v>#DIV/0!</v>
          </cell>
          <cell r="N5" t="e">
            <v>#DIV/0!</v>
          </cell>
          <cell r="O5" t="e">
            <v>#DIV/0!</v>
          </cell>
          <cell r="P5" t="e">
            <v>#DIV/0!</v>
          </cell>
          <cell r="Q5" t="e">
            <v>#DIV/0!</v>
          </cell>
          <cell r="R5" t="e">
            <v>#DIV/0!</v>
          </cell>
          <cell r="S5" t="e">
            <v>#DIV/0!</v>
          </cell>
          <cell r="T5" t="e">
            <v>#DIV/0!</v>
          </cell>
          <cell r="U5" t="e">
            <v>#DIV/0!</v>
          </cell>
          <cell r="V5" t="e">
            <v>#DIV/0!</v>
          </cell>
          <cell r="W5" t="e">
            <v>#DIV/0!</v>
          </cell>
          <cell r="X5" t="e">
            <v>#DIV/0!</v>
          </cell>
          <cell r="Y5">
            <v>3.6999999999999998E-2</v>
          </cell>
          <cell r="Z5">
            <v>3.6999999999999998E-2</v>
          </cell>
          <cell r="AA5">
            <v>3.6999999999999998E-2</v>
          </cell>
          <cell r="AB5">
            <v>3.6999999999999998E-2</v>
          </cell>
          <cell r="AC5">
            <v>3.6999999999999998E-2</v>
          </cell>
        </row>
        <row r="6">
          <cell r="A6" t="str">
            <v>Marketable securities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A7" t="str">
            <v>Non-cash current assets (for NWI):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</row>
        <row r="8">
          <cell r="A8" t="str">
            <v xml:space="preserve">     as % of total revenues</v>
          </cell>
          <cell r="B8" t="e">
            <v>#DIV/0!</v>
          </cell>
          <cell r="C8" t="e">
            <v>#DIV/0!</v>
          </cell>
          <cell r="D8" t="e">
            <v>#DIV/0!</v>
          </cell>
          <cell r="E8" t="e">
            <v>#DIV/0!</v>
          </cell>
          <cell r="F8" t="e">
            <v>#DIV/0!</v>
          </cell>
          <cell r="G8" t="e">
            <v>#DIV/0!</v>
          </cell>
          <cell r="H8" t="e">
            <v>#DIV/0!</v>
          </cell>
          <cell r="I8" t="e">
            <v>#DIV/0!</v>
          </cell>
          <cell r="J8" t="e">
            <v>#DIV/0!</v>
          </cell>
          <cell r="K8" t="e">
            <v>#DIV/0!</v>
          </cell>
          <cell r="L8" t="e">
            <v>#DIV/0!</v>
          </cell>
          <cell r="M8" t="e">
            <v>#DIV/0!</v>
          </cell>
          <cell r="N8" t="e">
            <v>#DIV/0!</v>
          </cell>
          <cell r="O8" t="e">
            <v>#DIV/0!</v>
          </cell>
          <cell r="P8" t="e">
            <v>#DIV/0!</v>
          </cell>
          <cell r="Q8" t="e">
            <v>#DIV/0!</v>
          </cell>
          <cell r="R8" t="e">
            <v>#DIV/0!</v>
          </cell>
          <cell r="S8" t="e">
            <v>#DIV/0!</v>
          </cell>
          <cell r="T8" t="e">
            <v>#DIV/0!</v>
          </cell>
          <cell r="U8" t="e">
            <v>#DIV/0!</v>
          </cell>
          <cell r="V8" t="e">
            <v>#DIV/0!</v>
          </cell>
          <cell r="W8" t="e">
            <v>#DIV/0!</v>
          </cell>
          <cell r="X8" t="e">
            <v>#DIV/0!</v>
          </cell>
          <cell r="Y8">
            <v>0.628</v>
          </cell>
          <cell r="Z8">
            <v>0.628</v>
          </cell>
          <cell r="AA8">
            <v>0.628</v>
          </cell>
          <cell r="AB8">
            <v>0.628</v>
          </cell>
          <cell r="AC8">
            <v>0.628</v>
          </cell>
        </row>
        <row r="9">
          <cell r="A9" t="str">
            <v xml:space="preserve">     Note: Bottom - up non-cash current assets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 xml:space="preserve">   Current receivables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A11" t="str">
            <v xml:space="preserve">     as % of total revenues</v>
          </cell>
          <cell r="B11" t="e">
            <v>#DIV/0!</v>
          </cell>
          <cell r="C11" t="e">
            <v>#DIV/0!</v>
          </cell>
          <cell r="D11" t="e">
            <v>#DIV/0!</v>
          </cell>
          <cell r="E11" t="e">
            <v>#DIV/0!</v>
          </cell>
          <cell r="F11" t="e">
            <v>#DIV/0!</v>
          </cell>
          <cell r="G11" t="e">
            <v>#DIV/0!</v>
          </cell>
          <cell r="H11" t="e">
            <v>#DIV/0!</v>
          </cell>
          <cell r="I11" t="e">
            <v>#DIV/0!</v>
          </cell>
          <cell r="J11" t="e">
            <v>#DIV/0!</v>
          </cell>
          <cell r="K11" t="e">
            <v>#DIV/0!</v>
          </cell>
          <cell r="L11" t="e">
            <v>#DIV/0!</v>
          </cell>
          <cell r="M11" t="e">
            <v>#DIV/0!</v>
          </cell>
          <cell r="N11" t="e">
            <v>#DIV/0!</v>
          </cell>
          <cell r="O11" t="e">
            <v>#DIV/0!</v>
          </cell>
          <cell r="P11" t="e">
            <v>#DIV/0!</v>
          </cell>
          <cell r="Q11" t="e">
            <v>#DIV/0!</v>
          </cell>
          <cell r="R11" t="e">
            <v>#DIV/0!</v>
          </cell>
          <cell r="S11" t="e">
            <v>#DIV/0!</v>
          </cell>
          <cell r="T11" t="e">
            <v>#DIV/0!</v>
          </cell>
          <cell r="U11" t="e">
            <v>#DIV/0!</v>
          </cell>
          <cell r="V11" t="e">
            <v>#DIV/0!</v>
          </cell>
          <cell r="W11" t="e">
            <v>#DIV/0!</v>
          </cell>
          <cell r="X11" t="e">
            <v>#DIV/0!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 xml:space="preserve">   Inventories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A13" t="str">
            <v xml:space="preserve">     as % of total revenues</v>
          </cell>
          <cell r="B13" t="e">
            <v>#DIV/0!</v>
          </cell>
          <cell r="C13" t="e">
            <v>#DIV/0!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  <cell r="H13" t="e">
            <v>#DIV/0!</v>
          </cell>
          <cell r="I13" t="e">
            <v>#DIV/0!</v>
          </cell>
          <cell r="J13" t="e">
            <v>#DIV/0!</v>
          </cell>
          <cell r="K13" t="e">
            <v>#DIV/0!</v>
          </cell>
          <cell r="L13" t="e">
            <v>#DIV/0!</v>
          </cell>
          <cell r="M13" t="e">
            <v>#DIV/0!</v>
          </cell>
          <cell r="N13" t="e">
            <v>#DIV/0!</v>
          </cell>
          <cell r="O13" t="e">
            <v>#DIV/0!</v>
          </cell>
          <cell r="P13" t="e">
            <v>#DIV/0!</v>
          </cell>
          <cell r="Q13" t="e">
            <v>#DIV/0!</v>
          </cell>
          <cell r="R13" t="e">
            <v>#DIV/0!</v>
          </cell>
          <cell r="S13" t="e">
            <v>#DIV/0!</v>
          </cell>
          <cell r="T13" t="e">
            <v>#DIV/0!</v>
          </cell>
          <cell r="U13" t="e">
            <v>#DIV/0!</v>
          </cell>
          <cell r="V13" t="e">
            <v>#DIV/0!</v>
          </cell>
          <cell r="W13" t="e">
            <v>#DIV/0!</v>
          </cell>
          <cell r="X13" t="e">
            <v>#DIV/0!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Prepaid expenses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 xml:space="preserve">     as % of total revenues</v>
          </cell>
          <cell r="B15" t="e">
            <v>#DIV/0!</v>
          </cell>
          <cell r="C15" t="e">
            <v>#DIV/0!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 t="e">
            <v>#DIV/0!</v>
          </cell>
          <cell r="N15" t="e">
            <v>#DIV/0!</v>
          </cell>
          <cell r="O15" t="e">
            <v>#DIV/0!</v>
          </cell>
          <cell r="P15" t="e">
            <v>#DIV/0!</v>
          </cell>
          <cell r="Q15" t="e">
            <v>#DIV/0!</v>
          </cell>
          <cell r="R15" t="e">
            <v>#DIV/0!</v>
          </cell>
          <cell r="S15" t="e">
            <v>#DIV/0!</v>
          </cell>
          <cell r="T15" t="e">
            <v>#DIV/0!</v>
          </cell>
          <cell r="U15" t="e">
            <v>#DIV/0!</v>
          </cell>
          <cell r="V15" t="e">
            <v>#DIV/0!</v>
          </cell>
          <cell r="W15" t="e">
            <v>#DIV/0!</v>
          </cell>
          <cell r="X15" t="e">
            <v>#DIV/0!</v>
          </cell>
          <cell r="Y15">
            <v>1.2E-2</v>
          </cell>
          <cell r="Z15">
            <v>1.2E-2</v>
          </cell>
          <cell r="AA15">
            <v>1.2E-2</v>
          </cell>
          <cell r="AB15">
            <v>1.2E-2</v>
          </cell>
          <cell r="AC15">
            <v>1.2E-2</v>
          </cell>
        </row>
        <row r="16">
          <cell r="A16" t="str">
            <v>Other non-cash current assets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 xml:space="preserve">     as % of total revenues</v>
          </cell>
          <cell r="B17" t="e">
            <v>#DIV/0!</v>
          </cell>
          <cell r="C17" t="e">
            <v>#DIV/0!</v>
          </cell>
          <cell r="D17" t="e">
            <v>#DIV/0!</v>
          </cell>
          <cell r="E17" t="e">
            <v>#DIV/0!</v>
          </cell>
          <cell r="F17" t="e">
            <v>#DIV/0!</v>
          </cell>
          <cell r="G17" t="e">
            <v>#DIV/0!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e">
            <v>#DIV/0!</v>
          </cell>
          <cell r="N17" t="e">
            <v>#DIV/0!</v>
          </cell>
          <cell r="O17" t="e">
            <v>#DIV/0!</v>
          </cell>
          <cell r="P17" t="e">
            <v>#DIV/0!</v>
          </cell>
          <cell r="Q17" t="e">
            <v>#DIV/0!</v>
          </cell>
          <cell r="R17" t="e">
            <v>#DIV/0!</v>
          </cell>
          <cell r="S17" t="e">
            <v>#DIV/0!</v>
          </cell>
          <cell r="T17" t="e">
            <v>#DIV/0!</v>
          </cell>
          <cell r="U17" t="e">
            <v>#DIV/0!</v>
          </cell>
          <cell r="V17" t="e">
            <v>#DIV/0!</v>
          </cell>
          <cell r="W17" t="e">
            <v>#DIV/0!</v>
          </cell>
          <cell r="X17" t="e">
            <v>#DIV/0!</v>
          </cell>
          <cell r="Y17">
            <v>1.4E-2</v>
          </cell>
          <cell r="Z17">
            <v>1.4E-2</v>
          </cell>
          <cell r="AA17">
            <v>1.4E-2</v>
          </cell>
          <cell r="AB17">
            <v>1.4E-2</v>
          </cell>
          <cell r="AC17">
            <v>1.4E-2</v>
          </cell>
        </row>
        <row r="19">
          <cell r="A19" t="str">
            <v>Fixed assets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>Property plant &amp; equipment, net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</row>
        <row r="21">
          <cell r="A21" t="str">
            <v xml:space="preserve">  Opening PPE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A22" t="str">
            <v xml:space="preserve">  New capex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A23" t="str">
            <v xml:space="preserve">  Depreciation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</row>
        <row r="24">
          <cell r="A24" t="str">
            <v xml:space="preserve">     as % of opening PPE</v>
          </cell>
          <cell r="B24" t="e">
            <v>#DIV/0!</v>
          </cell>
          <cell r="C24" t="e">
            <v>#DIV/0!</v>
          </cell>
          <cell r="D24" t="e">
            <v>#DIV/0!</v>
          </cell>
          <cell r="E24" t="e">
            <v>#DIV/0!</v>
          </cell>
          <cell r="F24" t="e">
            <v>#DIV/0!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  <cell r="L24" t="e">
            <v>#DIV/0!</v>
          </cell>
          <cell r="M24" t="e">
            <v>#DIV/0!</v>
          </cell>
          <cell r="N24" t="e">
            <v>#DIV/0!</v>
          </cell>
          <cell r="O24" t="e">
            <v>#DIV/0!</v>
          </cell>
          <cell r="P24" t="e">
            <v>#DIV/0!</v>
          </cell>
          <cell r="Q24" t="e">
            <v>#DIV/0!</v>
          </cell>
          <cell r="R24" t="e">
            <v>#DIV/0!</v>
          </cell>
          <cell r="S24" t="e">
            <v>#DIV/0!</v>
          </cell>
          <cell r="T24" t="e">
            <v>#DIV/0!</v>
          </cell>
          <cell r="U24" t="e">
            <v>#DIV/0!</v>
          </cell>
          <cell r="V24" t="e">
            <v>#DIV/0!</v>
          </cell>
          <cell r="W24" t="e">
            <v>#DIV/0!</v>
          </cell>
          <cell r="X24" t="e">
            <v>#DIV/0!</v>
          </cell>
          <cell r="Y24">
            <v>0.1</v>
          </cell>
          <cell r="Z24">
            <v>0.1</v>
          </cell>
          <cell r="AA24">
            <v>0.1</v>
          </cell>
          <cell r="AB24">
            <v>0.1</v>
          </cell>
          <cell r="AC24">
            <v>0.1</v>
          </cell>
        </row>
        <row r="25">
          <cell r="A25" t="str">
            <v xml:space="preserve">  Writedowns/charges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A26" t="str">
            <v xml:space="preserve">  Closing PPE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</row>
        <row r="27">
          <cell r="A27" t="str">
            <v xml:space="preserve">     Note: Asset turn (PPE/revenues) (x)</v>
          </cell>
          <cell r="X27" t="e">
            <v>#DIV/0!</v>
          </cell>
          <cell r="Y27" t="e">
            <v>#DIV/0!</v>
          </cell>
          <cell r="Z27" t="e">
            <v>#DIV/0!</v>
          </cell>
          <cell r="AA27" t="e">
            <v>#DIV/0!</v>
          </cell>
          <cell r="AB27" t="e">
            <v>#DIV/0!</v>
          </cell>
          <cell r="AC27" t="e">
            <v>#DIV/0!</v>
          </cell>
        </row>
        <row r="28">
          <cell r="A28" t="str">
            <v>Long term investments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 xml:space="preserve">  Opening long term investments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A30" t="str">
            <v xml:space="preserve">  New l/t investment spend</v>
          </cell>
        </row>
        <row r="31">
          <cell r="A31" t="str">
            <v xml:space="preserve">  Depreciation/writedowns</v>
          </cell>
        </row>
        <row r="32">
          <cell r="A32" t="str">
            <v xml:space="preserve">  Closing l/t investments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Pre-paid pension assets</v>
          </cell>
        </row>
        <row r="34">
          <cell r="A34" t="str">
            <v>Other long term assets</v>
          </cell>
        </row>
        <row r="35">
          <cell r="A35" t="str">
            <v>Intangible assets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 xml:space="preserve">  o/w: Goodwill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 xml:space="preserve">  Opening goodwill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</row>
        <row r="38">
          <cell r="A38" t="str">
            <v xml:space="preserve">  Amortisation of goodwill</v>
          </cell>
          <cell r="Y38">
            <v>0</v>
          </cell>
        </row>
        <row r="39">
          <cell r="A39" t="str">
            <v xml:space="preserve">  Writedowns of goodwill</v>
          </cell>
          <cell r="Y39">
            <v>0</v>
          </cell>
        </row>
        <row r="40">
          <cell r="A40" t="str">
            <v xml:space="preserve">  New goodwill</v>
          </cell>
          <cell r="Y40">
            <v>0</v>
          </cell>
        </row>
        <row r="41">
          <cell r="A41" t="str">
            <v xml:space="preserve">  Closing goodwill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</row>
        <row r="42">
          <cell r="A42" t="str">
            <v xml:space="preserve">  o/w: Other intangible assets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A43" t="str">
            <v xml:space="preserve">  Open intangible assets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4">
          <cell r="A44" t="str">
            <v xml:space="preserve">  New investment in intangibles</v>
          </cell>
        </row>
        <row r="45">
          <cell r="A45" t="str">
            <v xml:space="preserve">  Amortisation of intangibles</v>
          </cell>
        </row>
        <row r="46">
          <cell r="A46" t="str">
            <v xml:space="preserve">  Writedowns</v>
          </cell>
        </row>
        <row r="47">
          <cell r="A47" t="str">
            <v xml:space="preserve">  Closing intangibles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9">
          <cell r="A49" t="str">
            <v>Other assets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</row>
        <row r="50">
          <cell r="A50" t="str">
            <v>Deferred tax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A51" t="str">
            <v>Other assets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</row>
        <row r="52">
          <cell r="A52" t="str">
            <v>Total assets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</row>
        <row r="54">
          <cell r="A54" t="str">
            <v>Current liabilities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>Short term debt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</row>
        <row r="56">
          <cell r="A56" t="str">
            <v>Accounts payable (for NWI)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A57" t="str">
            <v xml:space="preserve">     as % of total revenues</v>
          </cell>
          <cell r="B57" t="e">
            <v>#DIV/0!</v>
          </cell>
          <cell r="C57" t="e">
            <v>#DIV/0!</v>
          </cell>
          <cell r="D57" t="e">
            <v>#DIV/0!</v>
          </cell>
          <cell r="E57" t="e">
            <v>#DIV/0!</v>
          </cell>
          <cell r="F57" t="e">
            <v>#DIV/0!</v>
          </cell>
          <cell r="G57" t="e">
            <v>#DIV/0!</v>
          </cell>
          <cell r="H57" t="e">
            <v>#DIV/0!</v>
          </cell>
          <cell r="I57" t="e">
            <v>#DIV/0!</v>
          </cell>
          <cell r="J57" t="e">
            <v>#DIV/0!</v>
          </cell>
          <cell r="K57" t="e">
            <v>#DIV/0!</v>
          </cell>
          <cell r="L57" t="e">
            <v>#DIV/0!</v>
          </cell>
          <cell r="M57" t="e">
            <v>#DIV/0!</v>
          </cell>
          <cell r="N57" t="e">
            <v>#DIV/0!</v>
          </cell>
          <cell r="O57" t="e">
            <v>#DIV/0!</v>
          </cell>
          <cell r="P57" t="e">
            <v>#DIV/0!</v>
          </cell>
          <cell r="Q57" t="e">
            <v>#DIV/0!</v>
          </cell>
          <cell r="R57" t="e">
            <v>#DIV/0!</v>
          </cell>
          <cell r="S57" t="e">
            <v>#DIV/0!</v>
          </cell>
          <cell r="T57" t="e">
            <v>#DIV/0!</v>
          </cell>
          <cell r="U57" t="e">
            <v>#DIV/0!</v>
          </cell>
          <cell r="V57" t="e">
            <v>#DIV/0!</v>
          </cell>
          <cell r="W57" t="e">
            <v>#DIV/0!</v>
          </cell>
          <cell r="X57" t="e">
            <v>#DIV/0!</v>
          </cell>
          <cell r="Y57">
            <v>0.1</v>
          </cell>
          <cell r="Z57">
            <v>0.1</v>
          </cell>
          <cell r="AA57">
            <v>0.1</v>
          </cell>
          <cell r="AB57">
            <v>0.1</v>
          </cell>
          <cell r="AC57">
            <v>0.1</v>
          </cell>
        </row>
        <row r="58">
          <cell r="A58" t="str">
            <v xml:space="preserve">     Note: Net working investment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</row>
        <row r="59">
          <cell r="A59" t="str">
            <v xml:space="preserve">     as % of revenues</v>
          </cell>
          <cell r="B59" t="e">
            <v>#DIV/0!</v>
          </cell>
          <cell r="C59" t="e">
            <v>#DIV/0!</v>
          </cell>
          <cell r="D59" t="e">
            <v>#DIV/0!</v>
          </cell>
          <cell r="E59" t="e">
            <v>#DIV/0!</v>
          </cell>
          <cell r="F59" t="e">
            <v>#DIV/0!</v>
          </cell>
          <cell r="G59" t="e">
            <v>#DIV/0!</v>
          </cell>
          <cell r="H59" t="e">
            <v>#DIV/0!</v>
          </cell>
          <cell r="I59" t="e">
            <v>#DIV/0!</v>
          </cell>
          <cell r="J59" t="e">
            <v>#DIV/0!</v>
          </cell>
          <cell r="K59" t="e">
            <v>#DIV/0!</v>
          </cell>
          <cell r="L59" t="e">
            <v>#DIV/0!</v>
          </cell>
          <cell r="M59" t="e">
            <v>#DIV/0!</v>
          </cell>
          <cell r="N59" t="e">
            <v>#DIV/0!</v>
          </cell>
          <cell r="O59" t="e">
            <v>#DIV/0!</v>
          </cell>
          <cell r="P59" t="e">
            <v>#DIV/0!</v>
          </cell>
          <cell r="Q59" t="e">
            <v>#DIV/0!</v>
          </cell>
          <cell r="R59" t="e">
            <v>#DIV/0!</v>
          </cell>
          <cell r="S59" t="e">
            <v>#DIV/0!</v>
          </cell>
          <cell r="T59" t="e">
            <v>#DIV/0!</v>
          </cell>
          <cell r="U59" t="e">
            <v>#DIV/0!</v>
          </cell>
          <cell r="V59" t="e">
            <v>#DIV/0!</v>
          </cell>
          <cell r="W59" t="e">
            <v>#DIV/0!</v>
          </cell>
          <cell r="X59" t="e">
            <v>#DIV/0!</v>
          </cell>
          <cell r="Y59" t="e">
            <v>#DIV/0!</v>
          </cell>
          <cell r="Z59" t="e">
            <v>#DIV/0!</v>
          </cell>
          <cell r="AA59" t="e">
            <v>#DIV/0!</v>
          </cell>
          <cell r="AB59" t="e">
            <v>#DIV/0!</v>
          </cell>
          <cell r="AC59" t="e">
            <v>#DIV/0!</v>
          </cell>
        </row>
        <row r="60">
          <cell r="A60" t="str">
            <v>Other current liabilities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</row>
        <row r="61">
          <cell r="A61" t="str">
            <v xml:space="preserve">     as % of revenues</v>
          </cell>
          <cell r="B61" t="e">
            <v>#DIV/0!</v>
          </cell>
          <cell r="C61" t="e">
            <v>#DIV/0!</v>
          </cell>
          <cell r="D61" t="e">
            <v>#DIV/0!</v>
          </cell>
          <cell r="E61" t="e">
            <v>#DIV/0!</v>
          </cell>
          <cell r="F61" t="e">
            <v>#DIV/0!</v>
          </cell>
          <cell r="G61" t="e">
            <v>#DIV/0!</v>
          </cell>
          <cell r="H61" t="e">
            <v>#DIV/0!</v>
          </cell>
          <cell r="I61" t="e">
            <v>#DIV/0!</v>
          </cell>
          <cell r="J61" t="e">
            <v>#DIV/0!</v>
          </cell>
          <cell r="K61" t="e">
            <v>#DIV/0!</v>
          </cell>
          <cell r="L61" t="e">
            <v>#DIV/0!</v>
          </cell>
          <cell r="M61" t="e">
            <v>#DIV/0!</v>
          </cell>
          <cell r="N61" t="e">
            <v>#DIV/0!</v>
          </cell>
          <cell r="O61" t="e">
            <v>#DIV/0!</v>
          </cell>
          <cell r="P61" t="e">
            <v>#DIV/0!</v>
          </cell>
          <cell r="Q61" t="e">
            <v>#DIV/0!</v>
          </cell>
          <cell r="R61" t="e">
            <v>#DIV/0!</v>
          </cell>
          <cell r="S61" t="e">
            <v>#DIV/0!</v>
          </cell>
          <cell r="T61" t="e">
            <v>#DIV/0!</v>
          </cell>
          <cell r="U61" t="e">
            <v>#DIV/0!</v>
          </cell>
          <cell r="V61" t="e">
            <v>#DIV/0!</v>
          </cell>
          <cell r="W61" t="e">
            <v>#DIV/0!</v>
          </cell>
          <cell r="X61" t="e">
            <v>#DIV/0!</v>
          </cell>
          <cell r="Y61">
            <v>0.15</v>
          </cell>
          <cell r="Z61">
            <v>0.15</v>
          </cell>
          <cell r="AA61">
            <v>0.15</v>
          </cell>
          <cell r="AB61">
            <v>0.15</v>
          </cell>
          <cell r="AC61">
            <v>0.15</v>
          </cell>
        </row>
        <row r="63">
          <cell r="A63" t="str">
            <v>Long term liabilities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</row>
        <row r="64">
          <cell r="A64" t="str">
            <v>Long term debt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</row>
        <row r="65">
          <cell r="A65" t="str">
            <v>Deferred tax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A66" t="str">
            <v>Deferred income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</row>
        <row r="67">
          <cell r="A67" t="str">
            <v>Pension &amp; post-retirement liabilities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</row>
        <row r="68">
          <cell r="A68" t="str">
            <v>Other liabilities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</row>
        <row r="69">
          <cell r="A69" t="str">
            <v>Provisions &amp; accruals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  <row r="71">
          <cell r="A71" t="str">
            <v>Shareholders' funds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A72" t="str">
            <v>Ordinary equity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</row>
        <row r="73">
          <cell r="A73" t="str">
            <v>Minority equity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</row>
        <row r="74">
          <cell r="A74" t="str">
            <v>Preferred equity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</row>
        <row r="75">
          <cell r="A75" t="str">
            <v>Total liabilities &amp; equity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</row>
        <row r="76">
          <cell r="A76" t="str">
            <v xml:space="preserve">  check: assets - liabilities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</row>
        <row r="78">
          <cell r="A78" t="str">
            <v>Summary of balance sheet</v>
          </cell>
          <cell r="B78" t="str">
            <v>01Q1</v>
          </cell>
          <cell r="C78" t="str">
            <v>01Q2</v>
          </cell>
          <cell r="D78" t="str">
            <v>01Q3</v>
          </cell>
          <cell r="E78" t="str">
            <v>01Q4</v>
          </cell>
          <cell r="F78" t="str">
            <v>01H1</v>
          </cell>
          <cell r="G78" t="str">
            <v>01 9M</v>
          </cell>
          <cell r="H78" t="str">
            <v>02Q1</v>
          </cell>
          <cell r="I78" t="str">
            <v>02Q2</v>
          </cell>
          <cell r="J78" t="str">
            <v>02Q3</v>
          </cell>
          <cell r="K78" t="str">
            <v>02Q4</v>
          </cell>
          <cell r="L78" t="str">
            <v>02H1</v>
          </cell>
          <cell r="M78" t="str">
            <v>02 9M</v>
          </cell>
          <cell r="N78" t="str">
            <v>03Q1E</v>
          </cell>
          <cell r="O78" t="str">
            <v>03Q2E</v>
          </cell>
          <cell r="P78" t="str">
            <v>03Q3E</v>
          </cell>
          <cell r="Q78" t="str">
            <v>03Q4E</v>
          </cell>
          <cell r="R78" t="str">
            <v>03H1E</v>
          </cell>
          <cell r="S78" t="str">
            <v>03 9ME</v>
          </cell>
          <cell r="T78">
            <v>1998</v>
          </cell>
          <cell r="U78">
            <v>1999</v>
          </cell>
          <cell r="V78">
            <v>2000</v>
          </cell>
          <cell r="W78">
            <v>2001</v>
          </cell>
          <cell r="X78">
            <v>2002</v>
          </cell>
          <cell r="Y78" t="str">
            <v>2003E</v>
          </cell>
          <cell r="Z78" t="str">
            <v>2004E</v>
          </cell>
          <cell r="AA78" t="str">
            <v>2005E</v>
          </cell>
          <cell r="AB78" t="str">
            <v>2006E</v>
          </cell>
          <cell r="AC78" t="str">
            <v>2007E</v>
          </cell>
        </row>
        <row r="79">
          <cell r="A79" t="str">
            <v>Working capital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</row>
        <row r="80">
          <cell r="A80" t="str">
            <v>Fixed assets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</row>
        <row r="81">
          <cell r="A81" t="str">
            <v>Other (net)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>Provisions &amp; accruals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</row>
        <row r="83">
          <cell r="A83" t="str">
            <v>Net debt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</row>
        <row r="84">
          <cell r="A84" t="str">
            <v>Equity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</row>
        <row r="85">
          <cell r="A85" t="str">
            <v xml:space="preserve">  check: sums to zero?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</row>
        <row r="88">
          <cell r="A88" t="str">
            <v>Summary of changes in balance sheet</v>
          </cell>
          <cell r="B88" t="str">
            <v>01Q1</v>
          </cell>
          <cell r="C88" t="str">
            <v>01Q2</v>
          </cell>
          <cell r="D88" t="str">
            <v>01Q3</v>
          </cell>
          <cell r="E88" t="str">
            <v>01Q4</v>
          </cell>
          <cell r="F88" t="str">
            <v>01H1</v>
          </cell>
          <cell r="G88" t="str">
            <v>01 9M</v>
          </cell>
          <cell r="H88" t="str">
            <v>02Q1</v>
          </cell>
          <cell r="I88" t="str">
            <v>02Q2</v>
          </cell>
          <cell r="J88" t="str">
            <v>02Q3</v>
          </cell>
          <cell r="K88" t="str">
            <v>02Q4</v>
          </cell>
          <cell r="L88" t="str">
            <v>02H1</v>
          </cell>
          <cell r="M88" t="str">
            <v>02 9M</v>
          </cell>
          <cell r="N88" t="str">
            <v>03Q1E</v>
          </cell>
          <cell r="O88" t="str">
            <v>03Q2E</v>
          </cell>
          <cell r="P88" t="str">
            <v>03Q3E</v>
          </cell>
          <cell r="Q88" t="str">
            <v>03Q4E</v>
          </cell>
          <cell r="R88" t="str">
            <v>03H1E</v>
          </cell>
          <cell r="S88" t="str">
            <v>03 9ME</v>
          </cell>
          <cell r="T88">
            <v>1998</v>
          </cell>
          <cell r="U88">
            <v>1999</v>
          </cell>
          <cell r="V88">
            <v>2000</v>
          </cell>
          <cell r="W88">
            <v>2001</v>
          </cell>
          <cell r="X88">
            <v>2002</v>
          </cell>
          <cell r="Y88" t="str">
            <v>2003E</v>
          </cell>
          <cell r="Z88" t="str">
            <v>2004E</v>
          </cell>
          <cell r="AA88" t="str">
            <v>2005E</v>
          </cell>
          <cell r="AB88" t="str">
            <v>2006E</v>
          </cell>
          <cell r="AC88" t="str">
            <v>2007E</v>
          </cell>
        </row>
        <row r="89">
          <cell r="A89" t="str">
            <v>Working capital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</row>
        <row r="90">
          <cell r="A90" t="str">
            <v>Fixed assets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</row>
        <row r="91">
          <cell r="A91" t="str">
            <v>Other (net)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</row>
        <row r="92">
          <cell r="A92" t="str">
            <v>Provisions &amp; accruals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</row>
        <row r="93">
          <cell r="A93" t="str">
            <v>Net debt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</row>
        <row r="94">
          <cell r="A94" t="str">
            <v>Equity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</row>
      </sheetData>
      <sheetData sheetId="4" refreshError="1">
        <row r="1">
          <cell r="A1" t="str">
            <v>Test Inc. Cashflow Statement</v>
          </cell>
        </row>
        <row r="2">
          <cell r="A2" t="str">
            <v>Fiscal year end Jun 31</v>
          </cell>
          <cell r="B2" t="str">
            <v>01Q1</v>
          </cell>
          <cell r="C2" t="str">
            <v>01Q2</v>
          </cell>
          <cell r="D2" t="str">
            <v>01Q3</v>
          </cell>
          <cell r="E2" t="str">
            <v>01Q4</v>
          </cell>
          <cell r="F2" t="str">
            <v>01H1</v>
          </cell>
          <cell r="G2" t="str">
            <v>01 9M</v>
          </cell>
          <cell r="H2" t="str">
            <v>02Q1</v>
          </cell>
          <cell r="I2" t="str">
            <v>02Q2</v>
          </cell>
          <cell r="J2" t="str">
            <v>02Q3</v>
          </cell>
          <cell r="K2" t="str">
            <v>02Q4</v>
          </cell>
          <cell r="L2" t="str">
            <v>02H1</v>
          </cell>
          <cell r="M2" t="str">
            <v>02 9M</v>
          </cell>
          <cell r="N2" t="str">
            <v>03Q1E</v>
          </cell>
          <cell r="O2" t="str">
            <v>03Q2E</v>
          </cell>
          <cell r="P2" t="str">
            <v>03Q3E</v>
          </cell>
          <cell r="Q2" t="str">
            <v>03Q4E</v>
          </cell>
          <cell r="R2" t="str">
            <v>03H1E</v>
          </cell>
          <cell r="S2" t="str">
            <v>03 9ME</v>
          </cell>
          <cell r="T2">
            <v>1998</v>
          </cell>
          <cell r="U2">
            <v>1999</v>
          </cell>
          <cell r="V2">
            <v>2000</v>
          </cell>
          <cell r="W2">
            <v>2001</v>
          </cell>
          <cell r="X2">
            <v>2002</v>
          </cell>
          <cell r="Y2" t="str">
            <v>2003E</v>
          </cell>
          <cell r="Z2" t="str">
            <v>2004E</v>
          </cell>
          <cell r="AA2" t="str">
            <v>2005E</v>
          </cell>
          <cell r="AB2" t="str">
            <v>2006E</v>
          </cell>
          <cell r="AC2" t="str">
            <v>2007E</v>
          </cell>
        </row>
        <row r="3">
          <cell r="A3" t="str">
            <v>Net income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>Adjustments to net income:</v>
          </cell>
        </row>
        <row r="5">
          <cell r="A5" t="str">
            <v xml:space="preserve">  Depreciation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</row>
        <row r="6">
          <cell r="A6" t="str">
            <v xml:space="preserve">  Amortization of goodwill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A7" t="str">
            <v xml:space="preserve">  Other amortisation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</row>
        <row r="8">
          <cell r="A8" t="str">
            <v xml:space="preserve">  Deferred income tax</v>
          </cell>
        </row>
        <row r="9">
          <cell r="A9" t="str">
            <v xml:space="preserve">  Other (net)</v>
          </cell>
        </row>
        <row r="10">
          <cell r="A10" t="str">
            <v>Changes in operating assets and liabilities</v>
          </cell>
        </row>
        <row r="11">
          <cell r="A11" t="str">
            <v xml:space="preserve">  Accounts receivable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 xml:space="preserve">  Inventories</v>
          </cell>
        </row>
        <row r="13">
          <cell r="A13" t="str">
            <v xml:space="preserve">  Accounts payable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Cash flow from continuing operations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6">
          <cell r="A16" t="str">
            <v>Capital expenditures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>Proceeds from sale of assets</v>
          </cell>
        </row>
        <row r="18">
          <cell r="A18" t="str">
            <v>Purchased intangibles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</row>
        <row r="19">
          <cell r="A19" t="str">
            <v>Net purchase/sale of marketable securities</v>
          </cell>
        </row>
        <row r="20">
          <cell r="A20" t="str">
            <v>Proceeds from (purchases of) restricted investments</v>
          </cell>
        </row>
        <row r="21">
          <cell r="A21" t="str">
            <v>Proceeds from sale of long-term investments</v>
          </cell>
        </row>
        <row r="22">
          <cell r="A22" t="str">
            <v>Other changes (net)</v>
          </cell>
        </row>
        <row r="23">
          <cell r="A23" t="str">
            <v>Acquisitions/divestments, net</v>
          </cell>
        </row>
        <row r="24">
          <cell r="A24" t="str">
            <v>Cash flow from investments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</row>
        <row r="26">
          <cell r="A26" t="str">
            <v>Proceeds from new debt</v>
          </cell>
        </row>
        <row r="27">
          <cell r="A27" t="str">
            <v>Repayments of debt</v>
          </cell>
        </row>
        <row r="28">
          <cell r="A28" t="str">
            <v>Transactions in common stock (net)</v>
          </cell>
        </row>
        <row r="29">
          <cell r="A29" t="str">
            <v>Transactions in preferred stock (net)</v>
          </cell>
        </row>
        <row r="30">
          <cell r="A30" t="str">
            <v>Dividends paid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A31" t="str">
            <v>Other financing items</v>
          </cell>
        </row>
        <row r="32">
          <cell r="A32" t="str">
            <v>Cash flow from financing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Effect of FX fluctuations</v>
          </cell>
        </row>
        <row r="34">
          <cell r="A34" t="str">
            <v>Cashflows from discontinued operations</v>
          </cell>
        </row>
        <row r="35">
          <cell r="A35" t="str">
            <v>Net Cash Flow - as reported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>Cash and cash equivalents at beginning of period</v>
          </cell>
        </row>
        <row r="37">
          <cell r="A37" t="str">
            <v>Cash and cash equivalents at end of period</v>
          </cell>
          <cell r="V37">
            <v>0</v>
          </cell>
          <cell r="W37">
            <v>0</v>
          </cell>
          <cell r="X37">
            <v>0</v>
          </cell>
        </row>
        <row r="70"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</sheetData>
      <sheetData sheetId="5" refreshError="1">
        <row r="32">
          <cell r="L32">
            <v>4.4999999999999998E-2</v>
          </cell>
        </row>
        <row r="47">
          <cell r="C47">
            <v>0.4696923483600724</v>
          </cell>
        </row>
      </sheetData>
      <sheetData sheetId="6" refreshError="1">
        <row r="1">
          <cell r="A1" t="str">
            <v>Test Inc.</v>
          </cell>
        </row>
        <row r="2">
          <cell r="A2" t="str">
            <v>Summary income statement and key ratios</v>
          </cell>
        </row>
        <row r="3">
          <cell r="A3" t="str">
            <v>Fiscal year end Jun 31</v>
          </cell>
          <cell r="B3">
            <v>2000</v>
          </cell>
          <cell r="C3">
            <v>2001</v>
          </cell>
          <cell r="D3">
            <v>2002</v>
          </cell>
          <cell r="E3" t="str">
            <v>2003E</v>
          </cell>
          <cell r="F3" t="str">
            <v>03Q1</v>
          </cell>
          <cell r="G3" t="str">
            <v>03Q2</v>
          </cell>
          <cell r="H3" t="str">
            <v>03Q3E</v>
          </cell>
          <cell r="I3" t="str">
            <v>03Q4E</v>
          </cell>
          <cell r="J3" t="str">
            <v>2004E</v>
          </cell>
          <cell r="K3" t="str">
            <v>2005E</v>
          </cell>
        </row>
        <row r="4">
          <cell r="A4" t="str">
            <v>Revenues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A5" t="str">
            <v xml:space="preserve">  % change yoy</v>
          </cell>
          <cell r="B5" t="e">
            <v>#DIV/0!</v>
          </cell>
          <cell r="C5" t="e">
            <v>#DIV/0!</v>
          </cell>
          <cell r="D5" t="e">
            <v>#DIV/0!</v>
          </cell>
          <cell r="E5" t="e">
            <v>#DIV/0!</v>
          </cell>
          <cell r="F5" t="e">
            <v>#DIV/0!</v>
          </cell>
          <cell r="G5" t="e">
            <v>#DIV/0!</v>
          </cell>
          <cell r="H5" t="e">
            <v>#DIV/0!</v>
          </cell>
          <cell r="I5" t="e">
            <v>#DIV/0!</v>
          </cell>
          <cell r="J5" t="e">
            <v>#DIV/0!</v>
          </cell>
          <cell r="K5" t="e">
            <v>#DIV/0!</v>
          </cell>
        </row>
        <row r="6">
          <cell r="A6" t="str">
            <v>Unit volume (m)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 t="str">
            <v>Unit price (000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 t="str">
            <v>Gross margin  %</v>
          </cell>
          <cell r="B8" t="e">
            <v>#DIV/0!</v>
          </cell>
          <cell r="C8" t="e">
            <v>#DIV/0!</v>
          </cell>
          <cell r="D8" t="e">
            <v>#DIV/0!</v>
          </cell>
          <cell r="E8" t="e">
            <v>#DIV/0!</v>
          </cell>
          <cell r="F8" t="e">
            <v>#DIV/0!</v>
          </cell>
          <cell r="G8" t="e">
            <v>#DIV/0!</v>
          </cell>
          <cell r="H8" t="e">
            <v>#DIV/0!</v>
          </cell>
          <cell r="I8" t="e">
            <v>#DIV/0!</v>
          </cell>
          <cell r="J8" t="e">
            <v>#DIV/0!</v>
          </cell>
          <cell r="K8" t="e">
            <v>#DIV/0!</v>
          </cell>
        </row>
        <row r="9">
          <cell r="A9" t="str">
            <v>EBITDA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A10" t="str">
            <v xml:space="preserve">  % change yoy</v>
          </cell>
          <cell r="B10" t="e">
            <v>#DIV/0!</v>
          </cell>
          <cell r="C10" t="e">
            <v>#DIV/0!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e">
            <v>#DIV/0!</v>
          </cell>
          <cell r="I10" t="e">
            <v>#DIV/0!</v>
          </cell>
          <cell r="J10" t="e">
            <v>#DIV/0!</v>
          </cell>
          <cell r="K10" t="e">
            <v>#DIV/0!</v>
          </cell>
        </row>
        <row r="11">
          <cell r="A11" t="str">
            <v xml:space="preserve">  EBITDA margin (%)</v>
          </cell>
          <cell r="B11" t="e">
            <v>#DIV/0!</v>
          </cell>
          <cell r="C11" t="e">
            <v>#DIV/0!</v>
          </cell>
          <cell r="D11" t="e">
            <v>#DIV/0!</v>
          </cell>
          <cell r="E11" t="e">
            <v>#DIV/0!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 t="e">
            <v>#DIV/0!</v>
          </cell>
          <cell r="K11" t="e">
            <v>#DIV/0!</v>
          </cell>
        </row>
        <row r="12">
          <cell r="A12" t="str">
            <v>EBIT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 xml:space="preserve">  % change yoy</v>
          </cell>
          <cell r="B13" t="e">
            <v>#DIV/0!</v>
          </cell>
          <cell r="C13" t="e">
            <v>#DIV/0!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  <cell r="H13" t="e">
            <v>#DIV/0!</v>
          </cell>
          <cell r="I13" t="e">
            <v>#DIV/0!</v>
          </cell>
          <cell r="J13" t="e">
            <v>#DIV/0!</v>
          </cell>
          <cell r="K13" t="e">
            <v>#DIV/0!</v>
          </cell>
        </row>
        <row r="14">
          <cell r="A14" t="str">
            <v xml:space="preserve">  EBIT margin (%)</v>
          </cell>
          <cell r="B14" t="e">
            <v>#DIV/0!</v>
          </cell>
          <cell r="C14" t="e">
            <v>#DIV/0!</v>
          </cell>
          <cell r="D14" t="e">
            <v>#DIV/0!</v>
          </cell>
          <cell r="E14" t="e">
            <v>#DIV/0!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e">
            <v>#DIV/0!</v>
          </cell>
          <cell r="K14" t="e">
            <v>#DIV/0!</v>
          </cell>
        </row>
        <row r="15">
          <cell r="A15" t="str">
            <v>Net interest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 t="str">
            <v>Equity &amp; other non-operating income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 t="e">
            <v>#DIV/0!</v>
          </cell>
          <cell r="G16" t="e">
            <v>#DIV/0!</v>
          </cell>
          <cell r="H16" t="e">
            <v>#DIV/0!</v>
          </cell>
          <cell r="I16" t="e">
            <v>#DIV/0!</v>
          </cell>
          <cell r="J16">
            <v>0</v>
          </cell>
          <cell r="K16">
            <v>0</v>
          </cell>
        </row>
        <row r="17">
          <cell r="A17" t="str">
            <v>Earnings before tax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A18" t="str">
            <v xml:space="preserve">  % change yoy</v>
          </cell>
          <cell r="B18" t="e">
            <v>#DIV/0!</v>
          </cell>
          <cell r="C18" t="e">
            <v>#DIV/0!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e">
            <v>#DIV/0!</v>
          </cell>
          <cell r="I18">
            <v>0</v>
          </cell>
          <cell r="J18" t="e">
            <v>#DIV/0!</v>
          </cell>
          <cell r="K18" t="e">
            <v>#DIV/0!</v>
          </cell>
        </row>
        <row r="19">
          <cell r="A19" t="str">
            <v>Tax rate</v>
          </cell>
          <cell r="B19" t="e">
            <v>#DIV/0!</v>
          </cell>
          <cell r="C19" t="e">
            <v>#DIV/0!</v>
          </cell>
          <cell r="D19" t="e">
            <v>#DIV/0!</v>
          </cell>
          <cell r="E19">
            <v>0.35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0.35</v>
          </cell>
          <cell r="K19">
            <v>0.35</v>
          </cell>
        </row>
        <row r="20">
          <cell r="A20" t="str">
            <v>Net income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 t="str">
            <v xml:space="preserve">  % change yoy</v>
          </cell>
          <cell r="F21" t="e">
            <v>#DIV/0!</v>
          </cell>
          <cell r="G21" t="e">
            <v>#DIV/0!</v>
          </cell>
          <cell r="H21" t="e">
            <v>#DIV/0!</v>
          </cell>
          <cell r="I21" t="e">
            <v>#DIV/0!</v>
          </cell>
        </row>
        <row r="22">
          <cell r="A22" t="str">
            <v>Minorities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 t="str">
            <v>Net income from continuing operations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 t="str">
            <v xml:space="preserve">  % change yoy</v>
          </cell>
          <cell r="B24" t="e">
            <v>#DIV/0!</v>
          </cell>
          <cell r="C24" t="e">
            <v>#DIV/0!</v>
          </cell>
          <cell r="D24" t="e">
            <v>#DIV/0!</v>
          </cell>
          <cell r="E24" t="e">
            <v>#DIV/0!</v>
          </cell>
          <cell r="F24" t="e">
            <v>#DIV/0!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</row>
        <row r="25">
          <cell r="A25" t="str">
            <v>EPS (reported)</v>
          </cell>
          <cell r="B25" t="e">
            <v>#DIV/0!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A26" t="str">
            <v>EPS (analyst)</v>
          </cell>
          <cell r="B26" t="e">
            <v>#DIV/0!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A27" t="str">
            <v xml:space="preserve">  % change yoy</v>
          </cell>
          <cell r="B27" t="e">
            <v>#DIV/0!</v>
          </cell>
          <cell r="C27" t="e">
            <v>#DIV/0!</v>
          </cell>
          <cell r="D27" t="e">
            <v>#DIV/0!</v>
          </cell>
          <cell r="E27" t="e">
            <v>#DIV/0!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e">
            <v>#DIV/0!</v>
          </cell>
          <cell r="K27" t="e">
            <v>#DIV/0!</v>
          </cell>
        </row>
        <row r="28">
          <cell r="A28" t="str">
            <v>DPS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 t="e">
            <v>#DIV/0!</v>
          </cell>
          <cell r="G28" t="e">
            <v>#DIV/0!</v>
          </cell>
          <cell r="H28" t="e">
            <v>#DIV/0!</v>
          </cell>
          <cell r="I28" t="e">
            <v>#DIV/0!</v>
          </cell>
          <cell r="J28">
            <v>0</v>
          </cell>
          <cell r="K28">
            <v>0</v>
          </cell>
        </row>
        <row r="29">
          <cell r="A29" t="str">
            <v xml:space="preserve">  % change yoy</v>
          </cell>
          <cell r="B29" t="e">
            <v>#DIV/0!</v>
          </cell>
          <cell r="C29" t="e">
            <v>#DIV/0!</v>
          </cell>
          <cell r="D29" t="e">
            <v>#DIV/0!</v>
          </cell>
          <cell r="E29">
            <v>0.02</v>
          </cell>
          <cell r="F29" t="e">
            <v>#DIV/0!</v>
          </cell>
          <cell r="G29" t="e">
            <v>#DIV/0!</v>
          </cell>
          <cell r="H29" t="e">
            <v>#DIV/0!</v>
          </cell>
          <cell r="I29" t="e">
            <v>#DIV/0!</v>
          </cell>
          <cell r="J29">
            <v>0.02</v>
          </cell>
          <cell r="K29">
            <v>0.02</v>
          </cell>
        </row>
        <row r="30">
          <cell r="A30" t="str">
            <v>Payout ratio</v>
          </cell>
          <cell r="B30" t="e">
            <v>#DIV/0!</v>
          </cell>
          <cell r="C30" t="e">
            <v>#DIV/0!</v>
          </cell>
          <cell r="D30" t="e">
            <v>#DIV/0!</v>
          </cell>
          <cell r="E30" t="e">
            <v>#DIV/0!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e">
            <v>#DIV/0!</v>
          </cell>
          <cell r="K30" t="e">
            <v>#DIV/0!</v>
          </cell>
        </row>
        <row r="31">
          <cell r="A31" t="str">
            <v>Dividend cover</v>
          </cell>
          <cell r="B31" t="e">
            <v>#DIV/0!</v>
          </cell>
          <cell r="C31" t="e">
            <v>#DIV/0!</v>
          </cell>
          <cell r="D31" t="e">
            <v>#DIV/0!</v>
          </cell>
          <cell r="E31" t="e">
            <v>#DIV/0!</v>
          </cell>
          <cell r="F31" t="e">
            <v>#DIV/0!</v>
          </cell>
          <cell r="G31" t="e">
            <v>#DIV/0!</v>
          </cell>
          <cell r="H31" t="e">
            <v>#DIV/0!</v>
          </cell>
          <cell r="I31" t="e">
            <v>#DIV/0!</v>
          </cell>
          <cell r="J31" t="e">
            <v>#DIV/0!</v>
          </cell>
          <cell r="K31" t="e">
            <v>#DIV/0!</v>
          </cell>
        </row>
        <row r="32">
          <cell r="A32" t="str">
            <v>Cash earnings per share</v>
          </cell>
          <cell r="B32" t="e">
            <v>#DIV/0!</v>
          </cell>
          <cell r="C32">
            <v>0</v>
          </cell>
          <cell r="D32">
            <v>0</v>
          </cell>
          <cell r="E32">
            <v>0</v>
          </cell>
          <cell r="F32" t="e">
            <v>#DIV/0!</v>
          </cell>
          <cell r="G32" t="e">
            <v>#DIV/0!</v>
          </cell>
          <cell r="H32" t="e">
            <v>#DIV/0!</v>
          </cell>
          <cell r="I32" t="e">
            <v>#DIV/0!</v>
          </cell>
          <cell r="J32">
            <v>0</v>
          </cell>
          <cell r="K32">
            <v>0</v>
          </cell>
        </row>
        <row r="33">
          <cell r="A33" t="str">
            <v>Cashflow per share</v>
          </cell>
          <cell r="B33" t="e">
            <v>#DIV/0!</v>
          </cell>
          <cell r="C33" t="e">
            <v>#DIV/0!</v>
          </cell>
          <cell r="D33" t="e">
            <v>#DIV/0!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A34" t="str">
            <v>Revenues per share</v>
          </cell>
          <cell r="B34" t="e">
            <v>#DIV/0!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A35" t="str">
            <v>Interest cover (x)</v>
          </cell>
          <cell r="B35" t="e">
            <v>#DIV/0!</v>
          </cell>
          <cell r="C35" t="e">
            <v>#DIV/0!</v>
          </cell>
          <cell r="D35" t="e">
            <v>#DIV/0!</v>
          </cell>
          <cell r="E35" t="e">
            <v>#DIV/0!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 t="e">
            <v>#DIV/0!</v>
          </cell>
          <cell r="K35" t="e">
            <v>#DIV/0!</v>
          </cell>
        </row>
        <row r="36">
          <cell r="A36" t="str">
            <v>Net debt/equity (%)</v>
          </cell>
          <cell r="B36" t="e">
            <v>#DIV/0!</v>
          </cell>
          <cell r="C36" t="e">
            <v>#DIV/0!</v>
          </cell>
          <cell r="D36" t="e">
            <v>#DIV/0!</v>
          </cell>
          <cell r="E36" t="e">
            <v>#DIV/0!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 t="e">
            <v>#DIV/0!</v>
          </cell>
          <cell r="K36" t="e">
            <v>#DIV/0!</v>
          </cell>
        </row>
        <row r="38">
          <cell r="A38" t="str">
            <v xml:space="preserve">Summary balance sheet </v>
          </cell>
        </row>
        <row r="39">
          <cell r="A39" t="str">
            <v>Fiscal year end Jun 31</v>
          </cell>
          <cell r="B39">
            <v>2000</v>
          </cell>
          <cell r="C39">
            <v>2001</v>
          </cell>
          <cell r="D39">
            <v>2002</v>
          </cell>
          <cell r="E39" t="str">
            <v>2003E</v>
          </cell>
          <cell r="F39" t="str">
            <v>2004E</v>
          </cell>
          <cell r="G39" t="str">
            <v>2005E</v>
          </cell>
          <cell r="H39" t="str">
            <v>2006E</v>
          </cell>
          <cell r="I39" t="str">
            <v>2007E</v>
          </cell>
        </row>
        <row r="40">
          <cell r="A40" t="str">
            <v>Assets</v>
          </cell>
        </row>
        <row r="41">
          <cell r="A41" t="str">
            <v>Working capital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Fixed assets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Other (net)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Liabilities</v>
          </cell>
        </row>
        <row r="45">
          <cell r="A45" t="str">
            <v>Provisions &amp; accruals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Net debt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Equity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 xml:space="preserve">  Net debt to equity (%)</v>
          </cell>
          <cell r="B48" t="e">
            <v>#DIV/0!</v>
          </cell>
          <cell r="C48" t="e">
            <v>#DIV/0!</v>
          </cell>
          <cell r="D48" t="e">
            <v>#DIV/0!</v>
          </cell>
          <cell r="E48" t="e">
            <v>#DIV/0!</v>
          </cell>
          <cell r="F48" t="e">
            <v>#DIV/0!</v>
          </cell>
          <cell r="G48" t="e">
            <v>#DIV/0!</v>
          </cell>
          <cell r="H48" t="e">
            <v>#DIV/0!</v>
          </cell>
          <cell r="I48" t="e">
            <v>#DIV/0!</v>
          </cell>
        </row>
        <row r="49">
          <cell r="A49" t="str">
            <v xml:space="preserve">  ROCE</v>
          </cell>
          <cell r="B49" t="e">
            <v>#DIV/0!</v>
          </cell>
          <cell r="C49" t="e">
            <v>#DIV/0!</v>
          </cell>
          <cell r="D49" t="e">
            <v>#DIV/0!</v>
          </cell>
          <cell r="E49" t="e">
            <v>#DIV/0!</v>
          </cell>
          <cell r="F49" t="e">
            <v>#DIV/0!</v>
          </cell>
          <cell r="G49" t="e">
            <v>#DIV/0!</v>
          </cell>
          <cell r="H49" t="e">
            <v>#DIV/0!</v>
          </cell>
          <cell r="I49" t="e">
            <v>#DIV/0!</v>
          </cell>
        </row>
        <row r="50">
          <cell r="A50" t="str">
            <v xml:space="preserve">  ROE</v>
          </cell>
          <cell r="B50" t="e">
            <v>#DIV/0!</v>
          </cell>
          <cell r="C50" t="e">
            <v>#DIV/0!</v>
          </cell>
          <cell r="D50" t="e">
            <v>#DIV/0!</v>
          </cell>
          <cell r="E50" t="e">
            <v>#DIV/0!</v>
          </cell>
          <cell r="F50" t="e">
            <v>#DIV/0!</v>
          </cell>
          <cell r="G50" t="e">
            <v>#DIV/0!</v>
          </cell>
          <cell r="H50" t="e">
            <v>#DIV/0!</v>
          </cell>
          <cell r="I50" t="e">
            <v>#DIV/0!</v>
          </cell>
        </row>
        <row r="51">
          <cell r="A51" t="str">
            <v xml:space="preserve">  Bk value per share</v>
          </cell>
          <cell r="B51" t="e">
            <v>#DIV/0!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3">
          <cell r="A53" t="str">
            <v>Summary cashflow statement</v>
          </cell>
        </row>
        <row r="54">
          <cell r="A54" t="str">
            <v>Fiscal year end Jun 31</v>
          </cell>
          <cell r="B54">
            <v>2000</v>
          </cell>
          <cell r="C54">
            <v>2001</v>
          </cell>
          <cell r="D54">
            <v>2002</v>
          </cell>
          <cell r="E54" t="str">
            <v>2003E</v>
          </cell>
          <cell r="F54" t="str">
            <v>2004E</v>
          </cell>
          <cell r="G54" t="str">
            <v>2005E</v>
          </cell>
          <cell r="H54" t="str">
            <v>2006E</v>
          </cell>
          <cell r="I54" t="str">
            <v>2007E</v>
          </cell>
        </row>
        <row r="55">
          <cell r="A55" t="str">
            <v>Reported EBIT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Depreciation and amortisation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Change in net working investment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Interest paid (net)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Other adjustments to EBIT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Pretax operating cashflow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 xml:space="preserve">  % change yoy</v>
          </cell>
          <cell r="B61" t="e">
            <v>#DIV/0!</v>
          </cell>
          <cell r="C61" t="e">
            <v>#DIV/0!</v>
          </cell>
          <cell r="D61" t="e">
            <v>#DIV/0!</v>
          </cell>
          <cell r="E61" t="e">
            <v>#DIV/0!</v>
          </cell>
          <cell r="F61" t="e">
            <v>#DIV/0!</v>
          </cell>
          <cell r="G61" t="e">
            <v>#DIV/0!</v>
          </cell>
          <cell r="H61" t="e">
            <v>#DIV/0!</v>
          </cell>
          <cell r="I61" t="e">
            <v>#DIV/0!</v>
          </cell>
        </row>
        <row r="62">
          <cell r="A62" t="str">
            <v>Taxes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Cashflow from continuing operations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 xml:space="preserve">  % change yoy</v>
          </cell>
          <cell r="B64" t="e">
            <v>#DIV/0!</v>
          </cell>
          <cell r="C64" t="e">
            <v>#DIV/0!</v>
          </cell>
          <cell r="D64" t="e">
            <v>#DIV/0!</v>
          </cell>
          <cell r="E64" t="e">
            <v>#DIV/0!</v>
          </cell>
          <cell r="F64" t="e">
            <v>#DIV/0!</v>
          </cell>
          <cell r="G64" t="e">
            <v>#DIV/0!</v>
          </cell>
          <cell r="H64" t="e">
            <v>#DIV/0!</v>
          </cell>
          <cell r="I64" t="e">
            <v>#DIV/0!</v>
          </cell>
        </row>
        <row r="65">
          <cell r="A65" t="str">
            <v>Total capital spending (net of asset sales)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Dividends payable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Acquisitions/divestments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Net cashflow before financing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70">
          <cell r="A70" t="str">
            <v>Summary valuation ratios</v>
          </cell>
        </row>
        <row r="71">
          <cell r="A71" t="str">
            <v>Fiscal year end Jun 31</v>
          </cell>
          <cell r="B71">
            <v>2001</v>
          </cell>
          <cell r="C71">
            <v>2002</v>
          </cell>
          <cell r="D71" t="str">
            <v>2003E</v>
          </cell>
          <cell r="E71" t="str">
            <v>2004E</v>
          </cell>
          <cell r="F71" t="str">
            <v>2005E</v>
          </cell>
        </row>
        <row r="72">
          <cell r="A72" t="str">
            <v>P/E (reported)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</row>
        <row r="73">
          <cell r="A73" t="str">
            <v>P/E (analyst)</v>
          </cell>
          <cell r="B73" t="e">
            <v>#DIV/0!</v>
          </cell>
          <cell r="C73" t="e">
            <v>#DIV/0!</v>
          </cell>
          <cell r="D73" t="e">
            <v>#DIV/0!</v>
          </cell>
          <cell r="E73" t="e">
            <v>#DIV/0!</v>
          </cell>
          <cell r="F73" t="e">
            <v>#DIV/0!</v>
          </cell>
        </row>
        <row r="74">
          <cell r="A74" t="str">
            <v>EV/EBITDA</v>
          </cell>
          <cell r="B74" t="e">
            <v>#DIV/0!</v>
          </cell>
          <cell r="C74" t="e">
            <v>#DIV/0!</v>
          </cell>
          <cell r="D74" t="e">
            <v>#DIV/0!</v>
          </cell>
          <cell r="E74" t="e">
            <v>#DIV/0!</v>
          </cell>
          <cell r="F74" t="e">
            <v>#DIV/0!</v>
          </cell>
        </row>
        <row r="75">
          <cell r="A75" t="str">
            <v>Gross yield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</row>
        <row r="76">
          <cell r="A76" t="str">
            <v>P/Bk</v>
          </cell>
          <cell r="B76" t="e">
            <v>#DIV/0!</v>
          </cell>
          <cell r="C76" t="e">
            <v>#DIV/0!</v>
          </cell>
          <cell r="D76" t="e">
            <v>#DIV/0!</v>
          </cell>
          <cell r="E76" t="e">
            <v>#DIV/0!</v>
          </cell>
          <cell r="F76" t="e">
            <v>#DIV/0!</v>
          </cell>
        </row>
        <row r="77">
          <cell r="A77" t="str">
            <v>P/Sales</v>
          </cell>
          <cell r="B77" t="e">
            <v>#DIV/0!</v>
          </cell>
          <cell r="C77" t="e">
            <v>#DIV/0!</v>
          </cell>
          <cell r="D77" t="e">
            <v>#DIV/0!</v>
          </cell>
          <cell r="E77" t="e">
            <v>#DIV/0!</v>
          </cell>
          <cell r="F77" t="e">
            <v>#DIV/0!</v>
          </cell>
        </row>
        <row r="78">
          <cell r="A78" t="str">
            <v>EV/Sales</v>
          </cell>
          <cell r="B78" t="e">
            <v>#DIV/0!</v>
          </cell>
          <cell r="C78" t="e">
            <v>#DIV/0!</v>
          </cell>
          <cell r="D78" t="e">
            <v>#DIV/0!</v>
          </cell>
          <cell r="E78" t="e">
            <v>#DIV/0!</v>
          </cell>
          <cell r="F78" t="e">
            <v>#DIV/0!</v>
          </cell>
        </row>
        <row r="79">
          <cell r="A79" t="str">
            <v>EV/Bk</v>
          </cell>
          <cell r="B79" t="e">
            <v>#DIV/0!</v>
          </cell>
          <cell r="C79" t="e">
            <v>#DIV/0!</v>
          </cell>
          <cell r="D79" t="e">
            <v>#DIV/0!</v>
          </cell>
          <cell r="E79" t="e">
            <v>#DIV/0!</v>
          </cell>
          <cell r="F79" t="e">
            <v>#DIV/0!</v>
          </cell>
        </row>
        <row r="82">
          <cell r="A82" t="str">
            <v>Summary DCF valuation: free cashflows</v>
          </cell>
        </row>
        <row r="83">
          <cell r="B83" t="str">
            <v>Actual</v>
          </cell>
          <cell r="C83" t="str">
            <v>Forecast</v>
          </cell>
          <cell r="H83" t="str">
            <v>Projection</v>
          </cell>
        </row>
        <row r="84">
          <cell r="B84">
            <v>0</v>
          </cell>
          <cell r="C84">
            <v>1</v>
          </cell>
          <cell r="D84">
            <v>2</v>
          </cell>
          <cell r="E84">
            <v>3</v>
          </cell>
          <cell r="F84">
            <v>4</v>
          </cell>
          <cell r="G84">
            <v>5</v>
          </cell>
          <cell r="H84">
            <v>6</v>
          </cell>
          <cell r="I84">
            <v>7</v>
          </cell>
          <cell r="J84">
            <v>8</v>
          </cell>
          <cell r="K84">
            <v>9</v>
          </cell>
        </row>
        <row r="85">
          <cell r="A85" t="str">
            <v>Year end</v>
          </cell>
          <cell r="B85" t="str">
            <v>2002A</v>
          </cell>
          <cell r="C85" t="str">
            <v>2003E</v>
          </cell>
          <cell r="D85" t="str">
            <v>2004E</v>
          </cell>
          <cell r="E85" t="str">
            <v>2005E</v>
          </cell>
          <cell r="F85" t="str">
            <v>2006E</v>
          </cell>
          <cell r="G85" t="str">
            <v>2007E</v>
          </cell>
          <cell r="H85" t="str">
            <v>2004E</v>
          </cell>
          <cell r="I85" t="str">
            <v>2003E</v>
          </cell>
          <cell r="J85" t="str">
            <v>2004E</v>
          </cell>
          <cell r="K85" t="str">
            <v>2003E</v>
          </cell>
        </row>
        <row r="86">
          <cell r="A86" t="str">
            <v>Sales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A87" t="str">
            <v xml:space="preserve">   % change yoy</v>
          </cell>
          <cell r="B87">
            <v>0</v>
          </cell>
          <cell r="C87" t="e">
            <v>#DIV/0!</v>
          </cell>
          <cell r="D87" t="e">
            <v>#DIV/0!</v>
          </cell>
          <cell r="E87" t="e">
            <v>#DIV/0!</v>
          </cell>
          <cell r="F87" t="e">
            <v>#DIV/0!</v>
          </cell>
          <cell r="G87" t="e">
            <v>#DIV/0!</v>
          </cell>
          <cell r="H87">
            <v>4.4999999999999998E-2</v>
          </cell>
          <cell r="I87">
            <v>4.4999999999999998E-2</v>
          </cell>
          <cell r="J87">
            <v>4.4999999999999998E-2</v>
          </cell>
          <cell r="K87">
            <v>4.4999999999999998E-2</v>
          </cell>
        </row>
        <row r="88">
          <cell r="A88" t="str">
            <v>Clean EBITDA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</row>
        <row r="89">
          <cell r="A89" t="str">
            <v xml:space="preserve">   % change yoy</v>
          </cell>
          <cell r="B89">
            <v>0</v>
          </cell>
          <cell r="C89" t="e">
            <v>#DIV/0!</v>
          </cell>
          <cell r="D89" t="e">
            <v>#DIV/0!</v>
          </cell>
          <cell r="E89" t="e">
            <v>#DIV/0!</v>
          </cell>
          <cell r="F89" t="e">
            <v>#DIV/0!</v>
          </cell>
          <cell r="G89" t="e">
            <v>#DIV/0!</v>
          </cell>
          <cell r="H89" t="e">
            <v>#DIV/0!</v>
          </cell>
          <cell r="I89" t="e">
            <v>#DIV/0!</v>
          </cell>
          <cell r="J89" t="e">
            <v>#DIV/0!</v>
          </cell>
          <cell r="K89" t="e">
            <v>#DIV/0!</v>
          </cell>
        </row>
        <row r="90">
          <cell r="A90" t="str">
            <v>Change in Net working investment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EBIT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Tax payable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 xml:space="preserve">   % of EBIT</v>
          </cell>
          <cell r="B93">
            <v>0.35</v>
          </cell>
          <cell r="C93">
            <v>0.35</v>
          </cell>
          <cell r="D93">
            <v>0.35</v>
          </cell>
          <cell r="E93">
            <v>0.35</v>
          </cell>
          <cell r="F93">
            <v>0.35</v>
          </cell>
          <cell r="G93">
            <v>0.35</v>
          </cell>
          <cell r="H93">
            <v>0.35</v>
          </cell>
          <cell r="I93">
            <v>0.35</v>
          </cell>
          <cell r="J93">
            <v>0.35</v>
          </cell>
          <cell r="K93">
            <v>0.35</v>
          </cell>
        </row>
        <row r="94">
          <cell r="A94" t="str">
            <v>Operating cashflow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 xml:space="preserve">   % change yoy</v>
          </cell>
          <cell r="B95">
            <v>0</v>
          </cell>
          <cell r="C95" t="e">
            <v>#DIV/0!</v>
          </cell>
          <cell r="D95" t="e">
            <v>#DIV/0!</v>
          </cell>
          <cell r="E95" t="e">
            <v>#DIV/0!</v>
          </cell>
          <cell r="F95" t="e">
            <v>#DIV/0!</v>
          </cell>
          <cell r="G95" t="e">
            <v>#DIV/0!</v>
          </cell>
          <cell r="H95" t="e">
            <v>#DIV/0!</v>
          </cell>
          <cell r="I95" t="e">
            <v>#DIV/0!</v>
          </cell>
          <cell r="J95" t="e">
            <v>#DIV/0!</v>
          </cell>
          <cell r="K95" t="e">
            <v>#DIV/0!</v>
          </cell>
        </row>
        <row r="96">
          <cell r="A96" t="str">
            <v>Ordinary capex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A97" t="str">
            <v>Other items (specify)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Net free cashflow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100">
          <cell r="A100" t="str">
            <v>DCF valuation output</v>
          </cell>
        </row>
        <row r="101">
          <cell r="A101" t="str">
            <v>DCF excluding terminal value</v>
          </cell>
          <cell r="B101">
            <v>0</v>
          </cell>
        </row>
        <row r="102">
          <cell r="A102" t="str">
            <v>PV of terminal value</v>
          </cell>
          <cell r="B102">
            <v>0</v>
          </cell>
        </row>
        <row r="103">
          <cell r="A103" t="str">
            <v>Total DCF enterprise value</v>
          </cell>
          <cell r="B103">
            <v>0</v>
          </cell>
        </row>
        <row r="104">
          <cell r="A104" t="str">
            <v>less: net debt</v>
          </cell>
          <cell r="B104">
            <v>-23099</v>
          </cell>
        </row>
        <row r="105">
          <cell r="A105" t="str">
            <v>less: preferred stock</v>
          </cell>
          <cell r="B105">
            <v>0</v>
          </cell>
        </row>
        <row r="106">
          <cell r="A106" t="str">
            <v>less: other liabilities</v>
          </cell>
          <cell r="B106">
            <v>0</v>
          </cell>
        </row>
        <row r="107">
          <cell r="A107" t="str">
            <v>less: value of minorities</v>
          </cell>
          <cell r="B107">
            <v>0</v>
          </cell>
        </row>
        <row r="108">
          <cell r="A108" t="str">
            <v>add: other assets</v>
          </cell>
          <cell r="B108">
            <v>0</v>
          </cell>
        </row>
        <row r="109">
          <cell r="A109" t="str">
            <v>Estimated value of ord equity</v>
          </cell>
          <cell r="B109">
            <v>-23099</v>
          </cell>
        </row>
        <row r="110">
          <cell r="A110" t="str">
            <v>No of shares</v>
          </cell>
          <cell r="B110">
            <v>652</v>
          </cell>
        </row>
        <row r="111">
          <cell r="A111" t="str">
            <v>Est equity value per share</v>
          </cell>
          <cell r="B111">
            <v>-35.427914110429448</v>
          </cell>
        </row>
        <row r="112">
          <cell r="A112" t="str">
            <v>Current shareprice</v>
          </cell>
          <cell r="B112">
            <v>40</v>
          </cell>
        </row>
        <row r="113">
          <cell r="A113" t="str">
            <v>Discount/premium to shareprice</v>
          </cell>
          <cell r="B113">
            <v>0</v>
          </cell>
        </row>
        <row r="115">
          <cell r="A115" t="str">
            <v>Cost of capital calculation</v>
          </cell>
        </row>
        <row r="116">
          <cell r="A116" t="str">
            <v>Risk-free rate (1)</v>
          </cell>
          <cell r="B116">
            <v>0.04</v>
          </cell>
        </row>
        <row r="117">
          <cell r="A117" t="str">
            <v>Company debt premium (2)</v>
          </cell>
          <cell r="B117">
            <v>7.0000000000000001E-3</v>
          </cell>
        </row>
        <row r="118">
          <cell r="A118" t="str">
            <v>Pretax cost of debt (1+2)</v>
          </cell>
          <cell r="B118">
            <v>4.7E-2</v>
          </cell>
        </row>
        <row r="119">
          <cell r="A119" t="str">
            <v>Marginal tax rate</v>
          </cell>
          <cell r="B119">
            <v>0.35</v>
          </cell>
        </row>
        <row r="120">
          <cell r="A120" t="str">
            <v>Post-tax cost of debt</v>
          </cell>
          <cell r="B120">
            <v>3.0550000000000001E-2</v>
          </cell>
        </row>
        <row r="121">
          <cell r="A121" t="str">
            <v>Equity risk premium</v>
          </cell>
          <cell r="B121">
            <v>5</v>
          </cell>
        </row>
        <row r="122">
          <cell r="A122" t="str">
            <v>Company beta</v>
          </cell>
          <cell r="B122">
            <v>1</v>
          </cell>
        </row>
        <row r="123">
          <cell r="A123" t="str">
            <v>Cost of equity</v>
          </cell>
          <cell r="B123">
            <v>0.05</v>
          </cell>
        </row>
        <row r="124">
          <cell r="A124" t="str">
            <v>Cost of preferred stock</v>
          </cell>
          <cell r="B124">
            <v>0.05</v>
          </cell>
        </row>
        <row r="125">
          <cell r="A125" t="str">
            <v>Market cap of equity</v>
          </cell>
          <cell r="B125">
            <v>26080</v>
          </cell>
        </row>
        <row r="126">
          <cell r="A126" t="str">
            <v>Market cap of preferred</v>
          </cell>
          <cell r="B126">
            <v>0</v>
          </cell>
        </row>
        <row r="127">
          <cell r="A127" t="str">
            <v>Net debt</v>
          </cell>
          <cell r="B127">
            <v>23099</v>
          </cell>
        </row>
        <row r="128">
          <cell r="A128" t="str">
            <v>Total capitalisation</v>
          </cell>
          <cell r="B128">
            <v>49179</v>
          </cell>
        </row>
        <row r="129">
          <cell r="A129" t="str">
            <v>Equity/total capitalisation</v>
          </cell>
          <cell r="B129">
            <v>0.53030765163992766</v>
          </cell>
        </row>
        <row r="130">
          <cell r="A130" t="str">
            <v>Preferred/total capitalisation</v>
          </cell>
          <cell r="B130">
            <v>0</v>
          </cell>
        </row>
        <row r="131">
          <cell r="A131" t="str">
            <v>Net debt/total capitalisation</v>
          </cell>
          <cell r="B131">
            <v>0.4696923483600724</v>
          </cell>
        </row>
        <row r="132">
          <cell r="A132" t="str">
            <v>WACC</v>
          </cell>
          <cell r="B132">
            <v>4.08644838243966E-2</v>
          </cell>
        </row>
        <row r="134">
          <cell r="A134" t="str">
            <v>Terminal value assumptions</v>
          </cell>
        </row>
        <row r="135">
          <cell r="A135" t="str">
            <v>Terminal cashflow</v>
          </cell>
          <cell r="B135">
            <v>0</v>
          </cell>
        </row>
        <row r="136">
          <cell r="A136" t="str">
            <v>WACC</v>
          </cell>
          <cell r="B136">
            <v>4.08644838243966E-2</v>
          </cell>
        </row>
        <row r="137">
          <cell r="A137" t="str">
            <v>Long term growth</v>
          </cell>
          <cell r="B137">
            <v>1.7500000000000002E-2</v>
          </cell>
        </row>
        <row r="138">
          <cell r="A138" t="str">
            <v>Terminal value</v>
          </cell>
          <cell r="B138">
            <v>0</v>
          </cell>
        </row>
        <row r="139">
          <cell r="A139" t="str">
            <v>No of yrs to TV</v>
          </cell>
          <cell r="B139">
            <v>11</v>
          </cell>
        </row>
        <row r="140">
          <cell r="A140" t="str">
            <v>PV of term value</v>
          </cell>
          <cell r="B140">
            <v>0</v>
          </cell>
        </row>
        <row r="141">
          <cell r="A141" t="str">
            <v>Terminal ROCE</v>
          </cell>
          <cell r="B141">
            <v>3.5000000000000003E-2</v>
          </cell>
        </row>
        <row r="142">
          <cell r="A142" t="str">
            <v>Reinvest rate</v>
          </cell>
          <cell r="B142">
            <v>0.5</v>
          </cell>
        </row>
        <row r="143">
          <cell r="A143" t="str">
            <v>TV as % of total</v>
          </cell>
          <cell r="B143" t="e">
            <v>#DIV/0!</v>
          </cell>
        </row>
        <row r="144">
          <cell r="A144" t="str">
            <v>Implied EV/EBITDA</v>
          </cell>
          <cell r="B144" t="e">
            <v>#DIV/0!</v>
          </cell>
        </row>
      </sheetData>
      <sheetData sheetId="7" refreshError="1"/>
      <sheetData sheetId="8" refreshError="1">
        <row r="41">
          <cell r="A41" t="str">
            <v>Model amendment audit trail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Model"/>
      <sheetName val="2003 Quarterly "/>
      <sheetName val="2002 Quarterly"/>
      <sheetName val="2001 Quarterly - Post Split"/>
      <sheetName val="2001 Quarterly"/>
      <sheetName val="2000 Quarterly"/>
      <sheetName val="1999 Quarterly"/>
      <sheetName val="1998 Quarterly"/>
      <sheetName val="Sales Breakdown"/>
      <sheetName val="GM Breakdown"/>
      <sheetName val="ROIC"/>
      <sheetName val="Marketing Template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SumSheet"/>
      <sheetName val="IncStat(PctofSales)"/>
      <sheetName val="ValuationInput"/>
      <sheetName val="Valuation"/>
      <sheetName val="ValuationSummary"/>
      <sheetName val="Storage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EPS Model"/>
      <sheetName val="Summary"/>
      <sheetName val="Base Data"/>
      <sheetName val="Quarterly GDP"/>
      <sheetName val="Semi 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C4" t="str">
            <v>$ millions</v>
          </cell>
        </row>
      </sheetData>
      <sheetData sheetId="13" refreshError="1">
        <row r="201">
          <cell r="E201">
            <v>0</v>
          </cell>
        </row>
      </sheetData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S Q"/>
      <sheetName val="CVS LT"/>
      <sheetName val="ARBR"/>
      <sheetName val="Monthly_Sales_RXR_Arbor_Rstated"/>
      <sheetName val="FE Comp"/>
      <sheetName val="CVS LT (2)"/>
      <sheetName val="CVS Q (3)"/>
      <sheetName val="CVS Q (2)"/>
      <sheetName val="Best2000"/>
      <sheetName val="Annual Results"/>
      <sheetName val="CO1"/>
      <sheetName val="Sheet1"/>
      <sheetName val="sss"/>
      <sheetName val="Capitalization"/>
      <sheetName val="PTCs 2027"/>
      <sheetName val="Map"/>
      <sheetName val="conf"/>
      <sheetName val="other"/>
      <sheetName val="Sale leaseback"/>
      <sheetName val="segment"/>
      <sheetName val="CVS + ABS"/>
    </sheetNames>
    <sheetDataSet>
      <sheetData sheetId="0" refreshError="1">
        <row r="93">
          <cell r="Y93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is"/>
      <sheetName val="bs"/>
      <sheetName val="cf"/>
      <sheetName val="workingcap"/>
      <sheetName val="dep"/>
      <sheetName val="amort"/>
      <sheetName val="other"/>
      <sheetName val="equity"/>
      <sheetName val="shares"/>
      <sheetName val="debt_interest"/>
      <sheetName val="ratios"/>
      <sheetName val="reconciliations"/>
      <sheetName val="DCF"/>
      <sheetName val="Input"/>
      <sheetName val="ISBS"/>
      <sheetName val="MERGER.XLS"/>
    </sheetNames>
    <sheetDataSet>
      <sheetData sheetId="0" refreshError="1">
        <row r="9">
          <cell r="C9">
            <v>365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share RAD and Eck"/>
      <sheetName val="market share (2002)"/>
      <sheetName val="RAD+Eckerd"/>
      <sheetName val="Quarterly Results"/>
      <sheetName val="Annual Results"/>
      <sheetName val="Eckerd"/>
      <sheetName val="Store Count by State"/>
      <sheetName val="Eckerd Store by State "/>
      <sheetName val="Store Dev History"/>
      <sheetName val="Macro1"/>
      <sheetName val="market share (2001)"/>
      <sheetName val="Eckerd Store by State for FC"/>
      <sheetName val="Macro2"/>
      <sheetName val="#REF"/>
      <sheetName val="CVS 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Data Sheet"/>
      <sheetName val="Main Data Sheet Charts"/>
      <sheetName val="Elasticity"/>
      <sheetName val="Occupancy"/>
      <sheetName val="Dist of WD DD"/>
      <sheetName val="Seg. of Rms-EBITDA"/>
      <sheetName val="Occ-Rate Contri"/>
      <sheetName val="Occ-RevPAR Mix &amp; SP"/>
      <sheetName val="Inter Travel"/>
      <sheetName val="Forecasts"/>
      <sheetName val="Supply"/>
      <sheetName val="Supply1"/>
      <sheetName val="Supply by Chain"/>
      <sheetName val="Supply by Brand"/>
      <sheetName val="Raw Econ Data"/>
      <sheetName val="Seg. of Rms-EBITDA - LI"/>
      <sheetName val="Owners vs. Op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>1967 *Y</v>
          </cell>
          <cell r="B3" t="str">
            <v>gdph</v>
          </cell>
          <cell r="C3" t="str">
            <v>ch</v>
          </cell>
          <cell r="D3" t="str">
            <v>fnh</v>
          </cell>
          <cell r="E3" t="str">
            <v>pcu</v>
          </cell>
          <cell r="F3" t="str">
            <v>ypdh</v>
          </cell>
          <cell r="G3" t="str">
            <v>ycat</v>
          </cell>
          <cell r="H3" t="str">
            <v>ycbt</v>
          </cell>
          <cell r="I3" t="str">
            <v>ycp</v>
          </cell>
        </row>
      </sheetData>
      <sheetData sheetId="15" refreshError="1"/>
      <sheetData sheetId="1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Acquisition"/>
      <sheetName val="Pro Forma Sales"/>
      <sheetName val="Sales Analysis"/>
      <sheetName val="2001 Quar GM"/>
      <sheetName val="2000 Quar GM"/>
      <sheetName val="Summary Model"/>
      <sheetName val="2004 Quarterly Model "/>
      <sheetName val="2003 Quarterly Model"/>
      <sheetName val="2002 Quarterly Model"/>
      <sheetName val="2001 Quarterly Model"/>
      <sheetName val="PF Quarterly Model "/>
      <sheetName val="Quarterly Model"/>
      <sheetName val="1999 Quar GM"/>
      <sheetName val="ROIC"/>
      <sheetName val="Marketing Template"/>
      <sheetName val="Rpt Tables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SumSheet"/>
      <sheetName val="IncStat(PctofSales)"/>
      <sheetName val="Storage"/>
      <sheetName val="ValuationSummary"/>
      <sheetName val="Valuation"/>
      <sheetName val="ValuationInput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F8">
            <v>12</v>
          </cell>
        </row>
        <row r="195">
          <cell r="A195" t="str">
            <v>n</v>
          </cell>
          <cell r="B195" t="str">
            <v>n</v>
          </cell>
          <cell r="C195" t="str">
            <v>Annualization factor DOUBLE</v>
          </cell>
          <cell r="E195">
            <v>1</v>
          </cell>
          <cell r="F195">
            <v>1</v>
          </cell>
          <cell r="G195">
            <v>1</v>
          </cell>
          <cell r="H195">
            <v>1</v>
          </cell>
          <cell r="I195">
            <v>1</v>
          </cell>
          <cell r="J195">
            <v>1</v>
          </cell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census"/>
      <sheetName val="Mkt Lookups"/>
      <sheetName val="brand lookup"/>
      <sheetName val="lookups"/>
      <sheetName val="CENSUS pivots"/>
      <sheetName val="top cos 5c pivots"/>
      <sheetName val="Pipeline pivots"/>
      <sheetName val="old open pivots"/>
      <sheetName val="Top Cos Ex 5B"/>
      <sheetName val="Top Cos Ex 5C"/>
    </sheetNames>
    <sheetDataSet>
      <sheetData sheetId="0" refreshError="1"/>
      <sheetData sheetId="1" refreshError="1"/>
      <sheetData sheetId="2" refreshError="1">
        <row r="33">
          <cell r="D33">
            <v>1383</v>
          </cell>
        </row>
        <row r="34">
          <cell r="D34">
            <v>2115</v>
          </cell>
        </row>
        <row r="35">
          <cell r="D35">
            <v>5023</v>
          </cell>
        </row>
        <row r="36">
          <cell r="D36">
            <v>6172</v>
          </cell>
        </row>
      </sheetData>
      <sheetData sheetId="3" refreshError="1"/>
      <sheetData sheetId="4" refreshError="1"/>
      <sheetData sheetId="5" refreshError="1">
        <row r="8">
          <cell r="AP8">
            <v>80</v>
          </cell>
          <cell r="AQ8">
            <v>45</v>
          </cell>
          <cell r="AR8">
            <v>24</v>
          </cell>
        </row>
        <row r="9">
          <cell r="AP9">
            <v>156</v>
          </cell>
          <cell r="AQ9">
            <v>201</v>
          </cell>
          <cell r="AR9">
            <v>123</v>
          </cell>
        </row>
        <row r="10">
          <cell r="AP10">
            <v>53</v>
          </cell>
          <cell r="AQ10">
            <v>49</v>
          </cell>
          <cell r="AR10">
            <v>49</v>
          </cell>
        </row>
        <row r="11">
          <cell r="AP11">
            <v>307</v>
          </cell>
          <cell r="AQ11">
            <v>445</v>
          </cell>
          <cell r="AR11">
            <v>200</v>
          </cell>
        </row>
        <row r="12">
          <cell r="AP12">
            <v>105</v>
          </cell>
          <cell r="AQ12">
            <v>194</v>
          </cell>
        </row>
        <row r="15">
          <cell r="AP15">
            <v>29811</v>
          </cell>
          <cell r="AQ15">
            <v>16066</v>
          </cell>
          <cell r="AR15">
            <v>8574</v>
          </cell>
        </row>
        <row r="16">
          <cell r="AP16">
            <v>22390</v>
          </cell>
          <cell r="AQ16">
            <v>28262</v>
          </cell>
          <cell r="AR16">
            <v>16464</v>
          </cell>
        </row>
        <row r="17">
          <cell r="AP17">
            <v>4538</v>
          </cell>
          <cell r="AQ17">
            <v>5794</v>
          </cell>
          <cell r="AR17">
            <v>5051</v>
          </cell>
        </row>
        <row r="18">
          <cell r="AP18">
            <v>27152</v>
          </cell>
          <cell r="AQ18">
            <v>39318</v>
          </cell>
          <cell r="AR18">
            <v>20491</v>
          </cell>
        </row>
        <row r="19">
          <cell r="AP19">
            <v>8524</v>
          </cell>
          <cell r="AQ19">
            <v>15556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ensus"/>
      <sheetName val="brand lookup"/>
      <sheetName val="companies lookup"/>
      <sheetName val="census pivot"/>
      <sheetName val="old open pivots"/>
      <sheetName val="companies pivots"/>
      <sheetName val="DKW Mkt Ranks"/>
      <sheetName val="CL Mkt Ranks"/>
      <sheetName val="BS Hilton Mkt Share"/>
      <sheetName val="BS Marr Mkt Share"/>
      <sheetName val="BS Starwood Mkt Share"/>
      <sheetName val="Choice Mkt Share"/>
      <sheetName val="ESA Mkt Share"/>
      <sheetName val="Hilton Mkt Share"/>
      <sheetName val="Marriott Mkt Share"/>
      <sheetName val="Prime Mkt Share"/>
      <sheetName val="Starwood Mkt Share"/>
      <sheetName val="Wyndham Mkt Share"/>
      <sheetName val="Top Cos-CL"/>
    </sheetNames>
    <sheetDataSet>
      <sheetData sheetId="0" refreshError="1"/>
      <sheetData sheetId="1"/>
      <sheetData sheetId="2"/>
      <sheetData sheetId="3">
        <row r="38">
          <cell r="C38" t="str">
            <v>Anaheim, CA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2</v>
          </cell>
          <cell r="M38">
            <v>160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</v>
          </cell>
          <cell r="S38">
            <v>85</v>
          </cell>
          <cell r="T38">
            <v>1</v>
          </cell>
          <cell r="U38">
            <v>75</v>
          </cell>
          <cell r="V38">
            <v>1</v>
          </cell>
          <cell r="W38">
            <v>75</v>
          </cell>
          <cell r="X38">
            <v>49</v>
          </cell>
          <cell r="Y38">
            <v>4789</v>
          </cell>
          <cell r="Z38">
            <v>0</v>
          </cell>
          <cell r="AA38">
            <v>0</v>
          </cell>
        </row>
        <row r="39">
          <cell r="C39" t="str">
            <v>Atlanta, GA</v>
          </cell>
          <cell r="D39">
            <v>18</v>
          </cell>
          <cell r="E39">
            <v>1235</v>
          </cell>
          <cell r="F39">
            <v>2</v>
          </cell>
          <cell r="G39">
            <v>131</v>
          </cell>
          <cell r="H39">
            <v>0</v>
          </cell>
          <cell r="I39">
            <v>0</v>
          </cell>
          <cell r="J39">
            <v>2</v>
          </cell>
          <cell r="K39">
            <v>131</v>
          </cell>
          <cell r="L39">
            <v>6</v>
          </cell>
          <cell r="M39">
            <v>590</v>
          </cell>
          <cell r="N39">
            <v>1</v>
          </cell>
          <cell r="O39">
            <v>51</v>
          </cell>
          <cell r="P39">
            <v>4</v>
          </cell>
          <cell r="Q39">
            <v>270</v>
          </cell>
          <cell r="R39">
            <v>1</v>
          </cell>
          <cell r="S39">
            <v>200</v>
          </cell>
          <cell r="T39">
            <v>2</v>
          </cell>
          <cell r="U39">
            <v>200</v>
          </cell>
          <cell r="V39">
            <v>2</v>
          </cell>
          <cell r="W39">
            <v>200</v>
          </cell>
          <cell r="X39">
            <v>104</v>
          </cell>
          <cell r="Y39">
            <v>9636</v>
          </cell>
          <cell r="Z39">
            <v>2</v>
          </cell>
          <cell r="AA39">
            <v>142</v>
          </cell>
        </row>
        <row r="40">
          <cell r="C40" t="str">
            <v>Boston, MA</v>
          </cell>
          <cell r="D40">
            <v>2</v>
          </cell>
          <cell r="E40">
            <v>169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25</v>
          </cell>
          <cell r="Y40">
            <v>3086</v>
          </cell>
          <cell r="Z40">
            <v>0</v>
          </cell>
          <cell r="AA40">
            <v>0</v>
          </cell>
        </row>
        <row r="41">
          <cell r="C41" t="str">
            <v>Chicago, IL</v>
          </cell>
          <cell r="D41">
            <v>6</v>
          </cell>
          <cell r="E41">
            <v>401</v>
          </cell>
          <cell r="F41">
            <v>2</v>
          </cell>
          <cell r="G41">
            <v>191</v>
          </cell>
          <cell r="H41">
            <v>4</v>
          </cell>
          <cell r="I41">
            <v>409</v>
          </cell>
          <cell r="J41">
            <v>6</v>
          </cell>
          <cell r="K41">
            <v>600</v>
          </cell>
          <cell r="L41">
            <v>8</v>
          </cell>
          <cell r="M41">
            <v>1358</v>
          </cell>
          <cell r="N41">
            <v>2</v>
          </cell>
          <cell r="O41">
            <v>191</v>
          </cell>
          <cell r="P41">
            <v>2</v>
          </cell>
          <cell r="Q41">
            <v>169</v>
          </cell>
          <cell r="R41">
            <v>5</v>
          </cell>
          <cell r="S41">
            <v>728</v>
          </cell>
          <cell r="T41">
            <v>5</v>
          </cell>
          <cell r="U41">
            <v>870</v>
          </cell>
          <cell r="V41">
            <v>5</v>
          </cell>
          <cell r="W41">
            <v>870</v>
          </cell>
          <cell r="X41">
            <v>44</v>
          </cell>
          <cell r="Y41">
            <v>4558</v>
          </cell>
          <cell r="Z41">
            <v>1</v>
          </cell>
          <cell r="AA41">
            <v>60</v>
          </cell>
        </row>
        <row r="42">
          <cell r="C42" t="str">
            <v>Dallas, TX</v>
          </cell>
          <cell r="D42">
            <v>18</v>
          </cell>
          <cell r="E42">
            <v>1139</v>
          </cell>
          <cell r="F42">
            <v>1</v>
          </cell>
          <cell r="G42">
            <v>65</v>
          </cell>
          <cell r="H42">
            <v>2</v>
          </cell>
          <cell r="I42">
            <v>210</v>
          </cell>
          <cell r="J42">
            <v>3</v>
          </cell>
          <cell r="K42">
            <v>275</v>
          </cell>
          <cell r="L42">
            <v>4</v>
          </cell>
          <cell r="M42">
            <v>300</v>
          </cell>
          <cell r="N42">
            <v>1</v>
          </cell>
          <cell r="O42">
            <v>65</v>
          </cell>
          <cell r="P42">
            <v>3</v>
          </cell>
          <cell r="Q42">
            <v>270</v>
          </cell>
          <cell r="R42">
            <v>1</v>
          </cell>
          <cell r="S42">
            <v>80</v>
          </cell>
          <cell r="T42">
            <v>2</v>
          </cell>
          <cell r="U42">
            <v>160</v>
          </cell>
          <cell r="V42">
            <v>2</v>
          </cell>
          <cell r="W42">
            <v>160</v>
          </cell>
          <cell r="X42">
            <v>60</v>
          </cell>
          <cell r="Y42">
            <v>5572</v>
          </cell>
          <cell r="Z42">
            <v>1</v>
          </cell>
          <cell r="AA42">
            <v>65</v>
          </cell>
        </row>
        <row r="43">
          <cell r="C43" t="str">
            <v>Denver, CO</v>
          </cell>
          <cell r="D43">
            <v>5</v>
          </cell>
          <cell r="E43">
            <v>480</v>
          </cell>
          <cell r="F43">
            <v>0</v>
          </cell>
          <cell r="G43">
            <v>0</v>
          </cell>
          <cell r="H43">
            <v>1</v>
          </cell>
          <cell r="I43">
            <v>120</v>
          </cell>
          <cell r="J43">
            <v>1</v>
          </cell>
          <cell r="K43">
            <v>120</v>
          </cell>
          <cell r="L43">
            <v>5</v>
          </cell>
          <cell r="M43">
            <v>572</v>
          </cell>
          <cell r="N43">
            <v>0</v>
          </cell>
          <cell r="O43">
            <v>0</v>
          </cell>
          <cell r="P43">
            <v>1</v>
          </cell>
          <cell r="Q43">
            <v>120</v>
          </cell>
          <cell r="R43">
            <v>1</v>
          </cell>
          <cell r="S43">
            <v>110</v>
          </cell>
          <cell r="T43">
            <v>4</v>
          </cell>
          <cell r="U43">
            <v>462</v>
          </cell>
          <cell r="V43">
            <v>4</v>
          </cell>
          <cell r="W43">
            <v>462</v>
          </cell>
          <cell r="X43">
            <v>26</v>
          </cell>
          <cell r="Y43">
            <v>2953</v>
          </cell>
          <cell r="Z43">
            <v>0</v>
          </cell>
          <cell r="AA43">
            <v>0</v>
          </cell>
        </row>
        <row r="44">
          <cell r="C44" t="str">
            <v>Detroit, MI</v>
          </cell>
          <cell r="D44">
            <v>8</v>
          </cell>
          <cell r="E44">
            <v>554</v>
          </cell>
          <cell r="F44">
            <v>1</v>
          </cell>
          <cell r="G44">
            <v>75</v>
          </cell>
          <cell r="H44">
            <v>1</v>
          </cell>
          <cell r="I44">
            <v>80</v>
          </cell>
          <cell r="J44">
            <v>2</v>
          </cell>
          <cell r="K44">
            <v>155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</v>
          </cell>
          <cell r="Q44">
            <v>155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47</v>
          </cell>
          <cell r="Y44">
            <v>4675</v>
          </cell>
          <cell r="Z44">
            <v>1</v>
          </cell>
          <cell r="AA44">
            <v>50</v>
          </cell>
        </row>
        <row r="45">
          <cell r="C45" t="str">
            <v>Houston, TX</v>
          </cell>
          <cell r="D45">
            <v>18</v>
          </cell>
          <cell r="E45">
            <v>980</v>
          </cell>
          <cell r="F45">
            <v>1</v>
          </cell>
          <cell r="G45">
            <v>45</v>
          </cell>
          <cell r="H45">
            <v>4</v>
          </cell>
          <cell r="I45">
            <v>217</v>
          </cell>
          <cell r="J45">
            <v>5</v>
          </cell>
          <cell r="K45">
            <v>262</v>
          </cell>
          <cell r="L45">
            <v>2</v>
          </cell>
          <cell r="M45">
            <v>225</v>
          </cell>
          <cell r="N45">
            <v>0</v>
          </cell>
          <cell r="O45">
            <v>0</v>
          </cell>
          <cell r="P45">
            <v>5</v>
          </cell>
          <cell r="Q45">
            <v>262</v>
          </cell>
          <cell r="R45">
            <v>2</v>
          </cell>
          <cell r="S45">
            <v>225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56</v>
          </cell>
          <cell r="Y45">
            <v>4740</v>
          </cell>
          <cell r="Z45">
            <v>3</v>
          </cell>
          <cell r="AA45">
            <v>140</v>
          </cell>
        </row>
        <row r="46">
          <cell r="C46" t="str">
            <v>Los Angeles, CA</v>
          </cell>
          <cell r="D46">
            <v>3</v>
          </cell>
          <cell r="E46">
            <v>220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</v>
          </cell>
          <cell r="M46">
            <v>200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1</v>
          </cell>
          <cell r="S46">
            <v>200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91</v>
          </cell>
          <cell r="Y46">
            <v>6840</v>
          </cell>
          <cell r="Z46">
            <v>1</v>
          </cell>
          <cell r="AA46">
            <v>105</v>
          </cell>
        </row>
        <row r="47">
          <cell r="C47" t="str">
            <v>Miami, FL</v>
          </cell>
          <cell r="D47">
            <v>1</v>
          </cell>
          <cell r="E47">
            <v>88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</v>
          </cell>
          <cell r="M47">
            <v>120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1</v>
          </cell>
          <cell r="U47">
            <v>120</v>
          </cell>
          <cell r="V47">
            <v>1</v>
          </cell>
          <cell r="W47">
            <v>120</v>
          </cell>
          <cell r="X47">
            <v>35</v>
          </cell>
          <cell r="Y47">
            <v>4417</v>
          </cell>
          <cell r="Z47">
            <v>0</v>
          </cell>
          <cell r="AA47">
            <v>0</v>
          </cell>
        </row>
        <row r="48">
          <cell r="C48" t="str">
            <v>Minneapolis, MN</v>
          </cell>
          <cell r="D48">
            <v>1</v>
          </cell>
          <cell r="E48">
            <v>84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2</v>
          </cell>
          <cell r="M48">
            <v>246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1</v>
          </cell>
          <cell r="S48">
            <v>100</v>
          </cell>
          <cell r="T48">
            <v>1</v>
          </cell>
          <cell r="U48">
            <v>146</v>
          </cell>
          <cell r="V48">
            <v>1</v>
          </cell>
          <cell r="W48">
            <v>146</v>
          </cell>
          <cell r="X48">
            <v>37</v>
          </cell>
          <cell r="Y48">
            <v>3818</v>
          </cell>
          <cell r="Z48">
            <v>0</v>
          </cell>
          <cell r="AA48">
            <v>0</v>
          </cell>
        </row>
        <row r="49">
          <cell r="C49" t="str">
            <v>Nashville, TN</v>
          </cell>
          <cell r="D49">
            <v>8</v>
          </cell>
          <cell r="E49">
            <v>515</v>
          </cell>
          <cell r="F49">
            <v>0</v>
          </cell>
          <cell r="G49">
            <v>0</v>
          </cell>
          <cell r="H49">
            <v>1</v>
          </cell>
          <cell r="I49">
            <v>70</v>
          </cell>
          <cell r="J49">
            <v>1</v>
          </cell>
          <cell r="K49">
            <v>70</v>
          </cell>
          <cell r="L49">
            <v>2</v>
          </cell>
          <cell r="M49">
            <v>186</v>
          </cell>
          <cell r="N49">
            <v>0</v>
          </cell>
          <cell r="O49">
            <v>0</v>
          </cell>
          <cell r="P49">
            <v>1</v>
          </cell>
          <cell r="Q49">
            <v>70</v>
          </cell>
          <cell r="R49">
            <v>1</v>
          </cell>
          <cell r="S49">
            <v>101</v>
          </cell>
          <cell r="T49">
            <v>1</v>
          </cell>
          <cell r="U49">
            <v>85</v>
          </cell>
          <cell r="V49">
            <v>1</v>
          </cell>
          <cell r="W49">
            <v>85</v>
          </cell>
          <cell r="X49">
            <v>49</v>
          </cell>
          <cell r="Y49">
            <v>5056</v>
          </cell>
          <cell r="Z49">
            <v>0</v>
          </cell>
          <cell r="AA49">
            <v>0</v>
          </cell>
        </row>
        <row r="50">
          <cell r="C50" t="str">
            <v>New Orleans, LA</v>
          </cell>
          <cell r="D50">
            <v>6</v>
          </cell>
          <cell r="E50">
            <v>536</v>
          </cell>
          <cell r="F50">
            <v>0</v>
          </cell>
          <cell r="G50">
            <v>0</v>
          </cell>
          <cell r="H50">
            <v>2</v>
          </cell>
          <cell r="I50">
            <v>275</v>
          </cell>
          <cell r="J50">
            <v>2</v>
          </cell>
          <cell r="K50">
            <v>275</v>
          </cell>
          <cell r="L50">
            <v>3</v>
          </cell>
          <cell r="M50">
            <v>296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4</v>
          </cell>
          <cell r="S50">
            <v>500</v>
          </cell>
          <cell r="T50">
            <v>1</v>
          </cell>
          <cell r="U50">
            <v>71</v>
          </cell>
          <cell r="V50">
            <v>1</v>
          </cell>
          <cell r="W50">
            <v>71</v>
          </cell>
          <cell r="X50">
            <v>24</v>
          </cell>
          <cell r="Y50">
            <v>2992</v>
          </cell>
          <cell r="Z50">
            <v>0</v>
          </cell>
          <cell r="AA50">
            <v>0</v>
          </cell>
        </row>
        <row r="51">
          <cell r="C51" t="str">
            <v>New York, NY</v>
          </cell>
          <cell r="D51">
            <v>1</v>
          </cell>
          <cell r="E51">
            <v>217</v>
          </cell>
          <cell r="F51">
            <v>2</v>
          </cell>
          <cell r="G51">
            <v>267</v>
          </cell>
          <cell r="H51">
            <v>0</v>
          </cell>
          <cell r="I51">
            <v>0</v>
          </cell>
          <cell r="J51">
            <v>2</v>
          </cell>
          <cell r="K51">
            <v>267</v>
          </cell>
          <cell r="L51">
            <v>1</v>
          </cell>
          <cell r="M51">
            <v>250</v>
          </cell>
          <cell r="N51">
            <v>1</v>
          </cell>
          <cell r="O51">
            <v>217</v>
          </cell>
          <cell r="P51">
            <v>1</v>
          </cell>
          <cell r="Q51">
            <v>50</v>
          </cell>
          <cell r="R51">
            <v>0</v>
          </cell>
          <cell r="S51">
            <v>0</v>
          </cell>
          <cell r="T51">
            <v>1</v>
          </cell>
          <cell r="U51">
            <v>250</v>
          </cell>
          <cell r="V51">
            <v>1</v>
          </cell>
          <cell r="W51">
            <v>250</v>
          </cell>
          <cell r="X51">
            <v>12</v>
          </cell>
          <cell r="Y51">
            <v>4262</v>
          </cell>
          <cell r="Z51">
            <v>0</v>
          </cell>
          <cell r="AA51">
            <v>0</v>
          </cell>
        </row>
        <row r="52">
          <cell r="C52" t="str">
            <v>Norfolk, VA</v>
          </cell>
          <cell r="D52">
            <v>3</v>
          </cell>
          <cell r="E52">
            <v>171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4</v>
          </cell>
          <cell r="M52">
            <v>470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3</v>
          </cell>
          <cell r="S52">
            <v>350</v>
          </cell>
          <cell r="T52">
            <v>1</v>
          </cell>
          <cell r="U52">
            <v>120</v>
          </cell>
          <cell r="V52">
            <v>1</v>
          </cell>
          <cell r="W52">
            <v>120</v>
          </cell>
          <cell r="X52">
            <v>56</v>
          </cell>
          <cell r="Y52">
            <v>5790</v>
          </cell>
          <cell r="Z52">
            <v>0</v>
          </cell>
          <cell r="AA52">
            <v>0</v>
          </cell>
        </row>
        <row r="53">
          <cell r="C53" t="str">
            <v>Oahu Island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</v>
          </cell>
          <cell r="Y53">
            <v>80</v>
          </cell>
          <cell r="Z53">
            <v>0</v>
          </cell>
          <cell r="AA53">
            <v>0</v>
          </cell>
        </row>
        <row r="54">
          <cell r="C54" t="str">
            <v>Orlando, FL</v>
          </cell>
          <cell r="D54">
            <v>1</v>
          </cell>
          <cell r="E54">
            <v>100</v>
          </cell>
          <cell r="F54">
            <v>0</v>
          </cell>
          <cell r="G54">
            <v>0</v>
          </cell>
          <cell r="H54">
            <v>1</v>
          </cell>
          <cell r="I54">
            <v>250</v>
          </cell>
          <cell r="J54">
            <v>1</v>
          </cell>
          <cell r="K54">
            <v>250</v>
          </cell>
          <cell r="L54">
            <v>6</v>
          </cell>
          <cell r="M54">
            <v>1600</v>
          </cell>
          <cell r="N54">
            <v>0</v>
          </cell>
          <cell r="O54">
            <v>0</v>
          </cell>
          <cell r="P54">
            <v>1</v>
          </cell>
          <cell r="Q54">
            <v>250</v>
          </cell>
          <cell r="R54">
            <v>1</v>
          </cell>
          <cell r="S54">
            <v>100</v>
          </cell>
          <cell r="T54">
            <v>5</v>
          </cell>
          <cell r="U54">
            <v>1500</v>
          </cell>
          <cell r="V54">
            <v>5</v>
          </cell>
          <cell r="W54">
            <v>1500</v>
          </cell>
          <cell r="X54">
            <v>79</v>
          </cell>
          <cell r="Y54">
            <v>16834</v>
          </cell>
          <cell r="Z54">
            <v>0</v>
          </cell>
          <cell r="AA54">
            <v>0</v>
          </cell>
        </row>
        <row r="55">
          <cell r="C55" t="str">
            <v>Philadelphia, PA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1</v>
          </cell>
          <cell r="I55">
            <v>80</v>
          </cell>
          <cell r="J55">
            <v>1</v>
          </cell>
          <cell r="K55">
            <v>80</v>
          </cell>
          <cell r="L55">
            <v>3</v>
          </cell>
          <cell r="M55">
            <v>678</v>
          </cell>
          <cell r="N55">
            <v>0</v>
          </cell>
          <cell r="O55">
            <v>0</v>
          </cell>
          <cell r="P55">
            <v>1</v>
          </cell>
          <cell r="Q55">
            <v>80</v>
          </cell>
          <cell r="R55">
            <v>0</v>
          </cell>
          <cell r="S55">
            <v>0</v>
          </cell>
          <cell r="T55">
            <v>3</v>
          </cell>
          <cell r="U55">
            <v>678</v>
          </cell>
          <cell r="V55">
            <v>3</v>
          </cell>
          <cell r="W55">
            <v>678</v>
          </cell>
          <cell r="X55">
            <v>24</v>
          </cell>
          <cell r="Y55">
            <v>2475</v>
          </cell>
          <cell r="Z55">
            <v>0</v>
          </cell>
          <cell r="AA55">
            <v>0</v>
          </cell>
        </row>
        <row r="56">
          <cell r="C56" t="str">
            <v>Phoenix, AZ</v>
          </cell>
          <cell r="D56">
            <v>7</v>
          </cell>
          <cell r="E56">
            <v>413</v>
          </cell>
          <cell r="F56">
            <v>0</v>
          </cell>
          <cell r="G56">
            <v>0</v>
          </cell>
          <cell r="H56">
            <v>1</v>
          </cell>
          <cell r="I56">
            <v>100</v>
          </cell>
          <cell r="J56">
            <v>1</v>
          </cell>
          <cell r="K56">
            <v>100</v>
          </cell>
          <cell r="L56">
            <v>3</v>
          </cell>
          <cell r="M56">
            <v>325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2</v>
          </cell>
          <cell r="S56">
            <v>200</v>
          </cell>
          <cell r="T56">
            <v>2</v>
          </cell>
          <cell r="U56">
            <v>225</v>
          </cell>
          <cell r="V56">
            <v>2</v>
          </cell>
          <cell r="W56">
            <v>225</v>
          </cell>
          <cell r="X56">
            <v>39</v>
          </cell>
          <cell r="Y56">
            <v>3947</v>
          </cell>
          <cell r="Z56">
            <v>0</v>
          </cell>
          <cell r="AA56">
            <v>0</v>
          </cell>
        </row>
        <row r="57">
          <cell r="C57" t="str">
            <v>Saint Louis, MO</v>
          </cell>
          <cell r="D57">
            <v>10</v>
          </cell>
          <cell r="E57">
            <v>644</v>
          </cell>
          <cell r="F57">
            <v>0</v>
          </cell>
          <cell r="G57">
            <v>0</v>
          </cell>
          <cell r="H57">
            <v>2</v>
          </cell>
          <cell r="I57">
            <v>195</v>
          </cell>
          <cell r="J57">
            <v>2</v>
          </cell>
          <cell r="K57">
            <v>195</v>
          </cell>
          <cell r="L57">
            <v>1</v>
          </cell>
          <cell r="M57">
            <v>144</v>
          </cell>
          <cell r="N57">
            <v>0</v>
          </cell>
          <cell r="O57">
            <v>0</v>
          </cell>
          <cell r="P57">
            <v>2</v>
          </cell>
          <cell r="Q57">
            <v>195</v>
          </cell>
          <cell r="R57">
            <v>0</v>
          </cell>
          <cell r="S57">
            <v>0</v>
          </cell>
          <cell r="T57">
            <v>1</v>
          </cell>
          <cell r="U57">
            <v>144</v>
          </cell>
          <cell r="V57">
            <v>1</v>
          </cell>
          <cell r="W57">
            <v>144</v>
          </cell>
          <cell r="X57">
            <v>49</v>
          </cell>
          <cell r="Y57">
            <v>4267</v>
          </cell>
          <cell r="Z57">
            <v>0</v>
          </cell>
          <cell r="AA57">
            <v>0</v>
          </cell>
        </row>
        <row r="58">
          <cell r="C58" t="str">
            <v>San Diego, CA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4</v>
          </cell>
          <cell r="M58">
            <v>391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4</v>
          </cell>
          <cell r="U58">
            <v>391</v>
          </cell>
          <cell r="V58">
            <v>4</v>
          </cell>
          <cell r="W58">
            <v>391</v>
          </cell>
          <cell r="X58">
            <v>64</v>
          </cell>
          <cell r="Y58">
            <v>5089</v>
          </cell>
          <cell r="Z58">
            <v>0</v>
          </cell>
          <cell r="AA58">
            <v>0</v>
          </cell>
        </row>
        <row r="59">
          <cell r="C59" t="str">
            <v>San Francisco, CA</v>
          </cell>
          <cell r="D59">
            <v>3</v>
          </cell>
          <cell r="E59">
            <v>131</v>
          </cell>
          <cell r="F59">
            <v>3</v>
          </cell>
          <cell r="G59">
            <v>233</v>
          </cell>
          <cell r="H59">
            <v>1</v>
          </cell>
          <cell r="I59">
            <v>63</v>
          </cell>
          <cell r="J59">
            <v>4</v>
          </cell>
          <cell r="K59">
            <v>296</v>
          </cell>
          <cell r="L59">
            <v>0</v>
          </cell>
          <cell r="M59">
            <v>0</v>
          </cell>
          <cell r="N59">
            <v>2</v>
          </cell>
          <cell r="O59">
            <v>188</v>
          </cell>
          <cell r="P59">
            <v>2</v>
          </cell>
          <cell r="Q59">
            <v>108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43</v>
          </cell>
          <cell r="Y59">
            <v>3326</v>
          </cell>
          <cell r="Z59">
            <v>0</v>
          </cell>
          <cell r="AA59">
            <v>0</v>
          </cell>
        </row>
        <row r="60">
          <cell r="C60" t="str">
            <v>Seattle, WA</v>
          </cell>
          <cell r="D60">
            <v>5</v>
          </cell>
          <cell r="E60">
            <v>344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36</v>
          </cell>
          <cell r="Y60">
            <v>2955</v>
          </cell>
          <cell r="Z60">
            <v>1</v>
          </cell>
          <cell r="AA60">
            <v>156</v>
          </cell>
        </row>
        <row r="61">
          <cell r="C61" t="str">
            <v>Tampa, FL</v>
          </cell>
          <cell r="D61">
            <v>3</v>
          </cell>
          <cell r="E61">
            <v>255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52</v>
          </cell>
          <cell r="Y61">
            <v>6605</v>
          </cell>
          <cell r="Z61">
            <v>0</v>
          </cell>
          <cell r="AA61">
            <v>0</v>
          </cell>
        </row>
        <row r="62">
          <cell r="C62" t="str">
            <v>Washington, DC</v>
          </cell>
          <cell r="D62">
            <v>2</v>
          </cell>
          <cell r="E62">
            <v>84</v>
          </cell>
          <cell r="F62">
            <v>0</v>
          </cell>
          <cell r="G62">
            <v>0</v>
          </cell>
          <cell r="H62">
            <v>2</v>
          </cell>
          <cell r="I62">
            <v>260</v>
          </cell>
          <cell r="J62">
            <v>2</v>
          </cell>
          <cell r="K62">
            <v>260</v>
          </cell>
          <cell r="L62">
            <v>1</v>
          </cell>
          <cell r="M62">
            <v>100</v>
          </cell>
          <cell r="N62">
            <v>0</v>
          </cell>
          <cell r="O62">
            <v>0</v>
          </cell>
          <cell r="P62">
            <v>1</v>
          </cell>
          <cell r="Q62">
            <v>60</v>
          </cell>
          <cell r="R62">
            <v>1</v>
          </cell>
          <cell r="S62">
            <v>200</v>
          </cell>
          <cell r="T62">
            <v>1</v>
          </cell>
          <cell r="U62">
            <v>100</v>
          </cell>
          <cell r="V62">
            <v>1</v>
          </cell>
          <cell r="W62">
            <v>100</v>
          </cell>
          <cell r="X62">
            <v>48</v>
          </cell>
          <cell r="Y62">
            <v>5584</v>
          </cell>
          <cell r="Z62">
            <v>0</v>
          </cell>
          <cell r="AA62">
            <v>0</v>
          </cell>
        </row>
        <row r="307">
          <cell r="C307" t="str">
            <v>Anaheim, CA</v>
          </cell>
          <cell r="D307">
            <v>2</v>
          </cell>
          <cell r="E307">
            <v>527</v>
          </cell>
          <cell r="F307">
            <v>3</v>
          </cell>
          <cell r="G307">
            <v>512</v>
          </cell>
          <cell r="H307">
            <v>1</v>
          </cell>
          <cell r="I307">
            <v>125</v>
          </cell>
          <cell r="J307">
            <v>4</v>
          </cell>
          <cell r="K307">
            <v>637</v>
          </cell>
          <cell r="L307">
            <v>0</v>
          </cell>
          <cell r="M307">
            <v>0</v>
          </cell>
          <cell r="N307">
            <v>2</v>
          </cell>
          <cell r="O307">
            <v>409</v>
          </cell>
          <cell r="P307">
            <v>2</v>
          </cell>
          <cell r="Q307">
            <v>228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17</v>
          </cell>
          <cell r="Y307">
            <v>3032</v>
          </cell>
          <cell r="Z307">
            <v>0</v>
          </cell>
          <cell r="AA307">
            <v>0</v>
          </cell>
        </row>
        <row r="308">
          <cell r="C308" t="str">
            <v>Atlanta, GA</v>
          </cell>
          <cell r="D308">
            <v>12</v>
          </cell>
          <cell r="E308">
            <v>1081</v>
          </cell>
          <cell r="F308">
            <v>2</v>
          </cell>
          <cell r="G308">
            <v>155</v>
          </cell>
          <cell r="H308">
            <v>5</v>
          </cell>
          <cell r="I308">
            <v>766</v>
          </cell>
          <cell r="J308">
            <v>7</v>
          </cell>
          <cell r="K308">
            <v>921</v>
          </cell>
          <cell r="L308">
            <v>1</v>
          </cell>
          <cell r="M308">
            <v>49</v>
          </cell>
          <cell r="N308">
            <v>1</v>
          </cell>
          <cell r="O308">
            <v>80</v>
          </cell>
          <cell r="P308">
            <v>3</v>
          </cell>
          <cell r="Q308">
            <v>230</v>
          </cell>
          <cell r="R308">
            <v>4</v>
          </cell>
          <cell r="S308">
            <v>660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46</v>
          </cell>
          <cell r="Y308">
            <v>6851</v>
          </cell>
          <cell r="Z308">
            <v>2</v>
          </cell>
          <cell r="AA308">
            <v>122</v>
          </cell>
        </row>
        <row r="309">
          <cell r="C309" t="str">
            <v>Boston, MA</v>
          </cell>
          <cell r="D309">
            <v>2</v>
          </cell>
          <cell r="E309">
            <v>274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22</v>
          </cell>
          <cell r="Y309">
            <v>4086</v>
          </cell>
          <cell r="Z309">
            <v>0</v>
          </cell>
          <cell r="AA309">
            <v>0</v>
          </cell>
        </row>
        <row r="310">
          <cell r="C310" t="str">
            <v>Chicago, IL</v>
          </cell>
          <cell r="D310">
            <v>8</v>
          </cell>
          <cell r="E310">
            <v>842</v>
          </cell>
          <cell r="F310">
            <v>2</v>
          </cell>
          <cell r="G310">
            <v>312</v>
          </cell>
          <cell r="H310">
            <v>3</v>
          </cell>
          <cell r="I310">
            <v>315</v>
          </cell>
          <cell r="J310">
            <v>5</v>
          </cell>
          <cell r="K310">
            <v>627</v>
          </cell>
          <cell r="L310">
            <v>0</v>
          </cell>
          <cell r="M310">
            <v>0</v>
          </cell>
          <cell r="N310">
            <v>1</v>
          </cell>
          <cell r="O310">
            <v>112</v>
          </cell>
          <cell r="P310">
            <v>3</v>
          </cell>
          <cell r="Q310">
            <v>340</v>
          </cell>
          <cell r="R310">
            <v>1</v>
          </cell>
          <cell r="S310">
            <v>175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37</v>
          </cell>
          <cell r="Y310">
            <v>8570</v>
          </cell>
          <cell r="Z310">
            <v>1</v>
          </cell>
          <cell r="AA310">
            <v>86</v>
          </cell>
        </row>
        <row r="311">
          <cell r="C311" t="str">
            <v>Dallas, TX</v>
          </cell>
          <cell r="D311">
            <v>7</v>
          </cell>
          <cell r="E311">
            <v>551</v>
          </cell>
          <cell r="F311">
            <v>0</v>
          </cell>
          <cell r="G311">
            <v>0</v>
          </cell>
          <cell r="H311">
            <v>2</v>
          </cell>
          <cell r="I311">
            <v>149</v>
          </cell>
          <cell r="J311">
            <v>2</v>
          </cell>
          <cell r="K311">
            <v>149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2</v>
          </cell>
          <cell r="Q311">
            <v>149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27</v>
          </cell>
          <cell r="Y311">
            <v>5433</v>
          </cell>
          <cell r="Z311">
            <v>0</v>
          </cell>
          <cell r="AA311">
            <v>0</v>
          </cell>
        </row>
        <row r="312">
          <cell r="C312" t="str">
            <v>Denver, CO</v>
          </cell>
          <cell r="D312">
            <v>6</v>
          </cell>
          <cell r="E312">
            <v>517</v>
          </cell>
          <cell r="F312">
            <v>1</v>
          </cell>
          <cell r="G312">
            <v>121</v>
          </cell>
          <cell r="H312">
            <v>0</v>
          </cell>
          <cell r="I312">
            <v>0</v>
          </cell>
          <cell r="J312">
            <v>1</v>
          </cell>
          <cell r="K312">
            <v>121</v>
          </cell>
          <cell r="L312">
            <v>2</v>
          </cell>
          <cell r="M312">
            <v>367</v>
          </cell>
          <cell r="N312">
            <v>1</v>
          </cell>
          <cell r="O312">
            <v>121</v>
          </cell>
          <cell r="P312">
            <v>0</v>
          </cell>
          <cell r="Q312">
            <v>0</v>
          </cell>
          <cell r="R312">
            <v>1</v>
          </cell>
          <cell r="S312">
            <v>64</v>
          </cell>
          <cell r="T312">
            <v>1</v>
          </cell>
          <cell r="U312">
            <v>303</v>
          </cell>
          <cell r="V312">
            <v>1</v>
          </cell>
          <cell r="W312">
            <v>303</v>
          </cell>
          <cell r="X312">
            <v>16</v>
          </cell>
          <cell r="Y312">
            <v>2656</v>
          </cell>
          <cell r="Z312">
            <v>0</v>
          </cell>
          <cell r="AA312">
            <v>0</v>
          </cell>
        </row>
        <row r="313">
          <cell r="C313" t="str">
            <v>Detroit, MI</v>
          </cell>
          <cell r="D313">
            <v>8</v>
          </cell>
          <cell r="E313">
            <v>828</v>
          </cell>
          <cell r="F313">
            <v>3</v>
          </cell>
          <cell r="G313">
            <v>219</v>
          </cell>
          <cell r="H313">
            <v>2</v>
          </cell>
          <cell r="I313">
            <v>178</v>
          </cell>
          <cell r="J313">
            <v>5</v>
          </cell>
          <cell r="K313">
            <v>397</v>
          </cell>
          <cell r="L313">
            <v>1</v>
          </cell>
          <cell r="M313">
            <v>90</v>
          </cell>
          <cell r="N313">
            <v>2</v>
          </cell>
          <cell r="O313">
            <v>159</v>
          </cell>
          <cell r="P313">
            <v>3</v>
          </cell>
          <cell r="Q313">
            <v>238</v>
          </cell>
          <cell r="R313">
            <v>1</v>
          </cell>
          <cell r="S313">
            <v>90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21</v>
          </cell>
          <cell r="Y313">
            <v>3982</v>
          </cell>
          <cell r="Z313">
            <v>2</v>
          </cell>
          <cell r="AA313">
            <v>172</v>
          </cell>
        </row>
        <row r="314">
          <cell r="C314" t="str">
            <v>Houston, TX</v>
          </cell>
          <cell r="D314">
            <v>17</v>
          </cell>
          <cell r="E314">
            <v>1686</v>
          </cell>
          <cell r="F314">
            <v>3</v>
          </cell>
          <cell r="G314">
            <v>209</v>
          </cell>
          <cell r="H314">
            <v>2</v>
          </cell>
          <cell r="I314">
            <v>145</v>
          </cell>
          <cell r="J314">
            <v>5</v>
          </cell>
          <cell r="K314">
            <v>354</v>
          </cell>
          <cell r="L314">
            <v>0</v>
          </cell>
          <cell r="M314">
            <v>0</v>
          </cell>
          <cell r="N314">
            <v>3</v>
          </cell>
          <cell r="O314">
            <v>209</v>
          </cell>
          <cell r="P314">
            <v>0</v>
          </cell>
          <cell r="Q314">
            <v>0</v>
          </cell>
          <cell r="R314">
            <v>2</v>
          </cell>
          <cell r="S314">
            <v>145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34</v>
          </cell>
          <cell r="Y314">
            <v>5864</v>
          </cell>
          <cell r="Z314">
            <v>3</v>
          </cell>
          <cell r="AA314">
            <v>433</v>
          </cell>
        </row>
        <row r="315">
          <cell r="C315" t="str">
            <v>Los Angeles, CA</v>
          </cell>
          <cell r="D315">
            <v>1</v>
          </cell>
          <cell r="E315">
            <v>80</v>
          </cell>
          <cell r="F315">
            <v>2</v>
          </cell>
          <cell r="G315">
            <v>252</v>
          </cell>
          <cell r="H315">
            <v>1</v>
          </cell>
          <cell r="I315">
            <v>95</v>
          </cell>
          <cell r="J315">
            <v>3</v>
          </cell>
          <cell r="K315">
            <v>347</v>
          </cell>
          <cell r="L315">
            <v>1</v>
          </cell>
          <cell r="M315">
            <v>100</v>
          </cell>
          <cell r="N315">
            <v>2</v>
          </cell>
          <cell r="O315">
            <v>252</v>
          </cell>
          <cell r="P315">
            <v>1</v>
          </cell>
          <cell r="Q315">
            <v>95</v>
          </cell>
          <cell r="R315">
            <v>1</v>
          </cell>
          <cell r="S315">
            <v>100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31</v>
          </cell>
          <cell r="Y315">
            <v>5726</v>
          </cell>
          <cell r="Z315">
            <v>1</v>
          </cell>
          <cell r="AA315">
            <v>80</v>
          </cell>
        </row>
        <row r="316">
          <cell r="C316" t="str">
            <v>Miami, FL</v>
          </cell>
          <cell r="D316">
            <v>4</v>
          </cell>
          <cell r="E316">
            <v>448</v>
          </cell>
          <cell r="F316">
            <v>1</v>
          </cell>
          <cell r="G316">
            <v>422</v>
          </cell>
          <cell r="H316">
            <v>1</v>
          </cell>
          <cell r="I316">
            <v>100</v>
          </cell>
          <cell r="J316">
            <v>2</v>
          </cell>
          <cell r="K316">
            <v>522</v>
          </cell>
          <cell r="L316">
            <v>0</v>
          </cell>
          <cell r="M316">
            <v>0</v>
          </cell>
          <cell r="N316">
            <v>1</v>
          </cell>
          <cell r="O316">
            <v>422</v>
          </cell>
          <cell r="P316">
            <v>1</v>
          </cell>
          <cell r="Q316">
            <v>100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17</v>
          </cell>
          <cell r="Y316">
            <v>3633</v>
          </cell>
          <cell r="Z316">
            <v>0</v>
          </cell>
          <cell r="AA316">
            <v>0</v>
          </cell>
        </row>
        <row r="317">
          <cell r="C317" t="str">
            <v>Minneapolis, MN</v>
          </cell>
          <cell r="D317">
            <v>9</v>
          </cell>
          <cell r="E317">
            <v>840</v>
          </cell>
          <cell r="F317">
            <v>0</v>
          </cell>
          <cell r="G317">
            <v>0</v>
          </cell>
          <cell r="H317">
            <v>1</v>
          </cell>
          <cell r="I317">
            <v>140</v>
          </cell>
          <cell r="J317">
            <v>1</v>
          </cell>
          <cell r="K317">
            <v>140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1</v>
          </cell>
          <cell r="Q317">
            <v>140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25</v>
          </cell>
          <cell r="Y317">
            <v>3790</v>
          </cell>
          <cell r="Z317">
            <v>1</v>
          </cell>
          <cell r="AA317">
            <v>127</v>
          </cell>
        </row>
        <row r="318">
          <cell r="C318" t="str">
            <v>Nashville, TN</v>
          </cell>
          <cell r="D318">
            <v>2</v>
          </cell>
          <cell r="E318">
            <v>130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15</v>
          </cell>
          <cell r="Y318">
            <v>2298</v>
          </cell>
          <cell r="Z318">
            <v>0</v>
          </cell>
          <cell r="AA318">
            <v>0</v>
          </cell>
        </row>
        <row r="319">
          <cell r="C319" t="str">
            <v>New Orleans, LA</v>
          </cell>
          <cell r="D319">
            <v>1</v>
          </cell>
          <cell r="E319">
            <v>98</v>
          </cell>
          <cell r="F319">
            <v>2</v>
          </cell>
          <cell r="G319">
            <v>643</v>
          </cell>
          <cell r="H319">
            <v>3</v>
          </cell>
          <cell r="I319">
            <v>847</v>
          </cell>
          <cell r="J319">
            <v>5</v>
          </cell>
          <cell r="K319">
            <v>1490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</v>
          </cell>
          <cell r="Q319">
            <v>733</v>
          </cell>
          <cell r="R319">
            <v>1</v>
          </cell>
          <cell r="S319">
            <v>62</v>
          </cell>
          <cell r="T319">
            <v>1</v>
          </cell>
          <cell r="U319">
            <v>695</v>
          </cell>
          <cell r="V319">
            <v>1</v>
          </cell>
          <cell r="W319">
            <v>695</v>
          </cell>
          <cell r="X319">
            <v>13</v>
          </cell>
          <cell r="Y319">
            <v>2840</v>
          </cell>
          <cell r="Z319">
            <v>0</v>
          </cell>
          <cell r="AA319">
            <v>0</v>
          </cell>
        </row>
        <row r="320">
          <cell r="C320" t="str">
            <v>New York, NY</v>
          </cell>
          <cell r="D320">
            <v>3</v>
          </cell>
          <cell r="E320">
            <v>749</v>
          </cell>
          <cell r="F320">
            <v>0</v>
          </cell>
          <cell r="G320">
            <v>0</v>
          </cell>
          <cell r="H320">
            <v>1</v>
          </cell>
          <cell r="I320">
            <v>90</v>
          </cell>
          <cell r="J320">
            <v>1</v>
          </cell>
          <cell r="K320">
            <v>90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1</v>
          </cell>
          <cell r="Q320">
            <v>90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16</v>
          </cell>
          <cell r="Y320">
            <v>5299</v>
          </cell>
          <cell r="Z320">
            <v>1</v>
          </cell>
          <cell r="AA320">
            <v>79</v>
          </cell>
        </row>
        <row r="321">
          <cell r="C321" t="str">
            <v>Norfolk, VA</v>
          </cell>
          <cell r="D321">
            <v>1</v>
          </cell>
          <cell r="E321">
            <v>147</v>
          </cell>
          <cell r="F321">
            <v>0</v>
          </cell>
          <cell r="G321">
            <v>0</v>
          </cell>
          <cell r="H321">
            <v>1</v>
          </cell>
          <cell r="I321">
            <v>120</v>
          </cell>
          <cell r="J321">
            <v>1</v>
          </cell>
          <cell r="K321">
            <v>120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1</v>
          </cell>
          <cell r="S321">
            <v>120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14</v>
          </cell>
          <cell r="Y321">
            <v>2593</v>
          </cell>
          <cell r="Z321">
            <v>0</v>
          </cell>
          <cell r="AA321">
            <v>0</v>
          </cell>
        </row>
        <row r="322">
          <cell r="C322" t="str">
            <v>Oahu Island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1</v>
          </cell>
          <cell r="Y322">
            <v>199</v>
          </cell>
          <cell r="Z322">
            <v>0</v>
          </cell>
          <cell r="AA322">
            <v>0</v>
          </cell>
        </row>
        <row r="323">
          <cell r="C323" t="str">
            <v>Orlando, FL</v>
          </cell>
          <cell r="D323">
            <v>4</v>
          </cell>
          <cell r="E323">
            <v>1162</v>
          </cell>
          <cell r="F323">
            <v>1</v>
          </cell>
          <cell r="G323">
            <v>400</v>
          </cell>
          <cell r="H323">
            <v>1</v>
          </cell>
          <cell r="I323">
            <v>94</v>
          </cell>
          <cell r="J323">
            <v>2</v>
          </cell>
          <cell r="K323">
            <v>494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1</v>
          </cell>
          <cell r="Q323">
            <v>400</v>
          </cell>
          <cell r="R323">
            <v>1</v>
          </cell>
          <cell r="S323">
            <v>94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22</v>
          </cell>
          <cell r="Y323">
            <v>6464</v>
          </cell>
          <cell r="Z323">
            <v>1</v>
          </cell>
          <cell r="AA323">
            <v>150</v>
          </cell>
        </row>
        <row r="324">
          <cell r="C324" t="str">
            <v>Philadelphia, PA</v>
          </cell>
          <cell r="D324">
            <v>4</v>
          </cell>
          <cell r="E324">
            <v>314</v>
          </cell>
          <cell r="F324">
            <v>1</v>
          </cell>
          <cell r="G324">
            <v>78</v>
          </cell>
          <cell r="H324">
            <v>0</v>
          </cell>
          <cell r="I324">
            <v>0</v>
          </cell>
          <cell r="J324">
            <v>1</v>
          </cell>
          <cell r="K324">
            <v>78</v>
          </cell>
          <cell r="L324">
            <v>0</v>
          </cell>
          <cell r="M324">
            <v>0</v>
          </cell>
          <cell r="N324">
            <v>1</v>
          </cell>
          <cell r="O324">
            <v>78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21</v>
          </cell>
          <cell r="Y324">
            <v>3999</v>
          </cell>
          <cell r="Z324">
            <v>0</v>
          </cell>
          <cell r="AA324">
            <v>0</v>
          </cell>
        </row>
        <row r="325">
          <cell r="C325" t="str">
            <v>Phoenix, AZ</v>
          </cell>
          <cell r="D325">
            <v>3</v>
          </cell>
          <cell r="E325">
            <v>329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15</v>
          </cell>
          <cell r="Y325">
            <v>2777</v>
          </cell>
          <cell r="Z325">
            <v>0</v>
          </cell>
          <cell r="AA325">
            <v>0</v>
          </cell>
        </row>
        <row r="326">
          <cell r="C326" t="str">
            <v>Saint Louis, MO</v>
          </cell>
          <cell r="D326">
            <v>5</v>
          </cell>
          <cell r="E326">
            <v>337</v>
          </cell>
          <cell r="F326">
            <v>0</v>
          </cell>
          <cell r="G326">
            <v>0</v>
          </cell>
          <cell r="H326">
            <v>1</v>
          </cell>
          <cell r="I326">
            <v>120</v>
          </cell>
          <cell r="J326">
            <v>1</v>
          </cell>
          <cell r="K326">
            <v>120</v>
          </cell>
          <cell r="L326">
            <v>1</v>
          </cell>
          <cell r="M326">
            <v>100</v>
          </cell>
          <cell r="N326">
            <v>0</v>
          </cell>
          <cell r="O326">
            <v>0</v>
          </cell>
          <cell r="P326">
            <v>1</v>
          </cell>
          <cell r="Q326">
            <v>120</v>
          </cell>
          <cell r="R326">
            <v>1</v>
          </cell>
          <cell r="S326">
            <v>100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23</v>
          </cell>
          <cell r="Y326">
            <v>4265</v>
          </cell>
          <cell r="Z326">
            <v>0</v>
          </cell>
          <cell r="AA326">
            <v>0</v>
          </cell>
        </row>
        <row r="327">
          <cell r="C327" t="str">
            <v>San Diego, CA</v>
          </cell>
          <cell r="D327">
            <v>1</v>
          </cell>
          <cell r="E327">
            <v>80</v>
          </cell>
          <cell r="F327">
            <v>3</v>
          </cell>
          <cell r="G327">
            <v>351</v>
          </cell>
          <cell r="H327">
            <v>0</v>
          </cell>
          <cell r="I327">
            <v>0</v>
          </cell>
          <cell r="J327">
            <v>3</v>
          </cell>
          <cell r="K327">
            <v>351</v>
          </cell>
          <cell r="L327">
            <v>1</v>
          </cell>
          <cell r="M327">
            <v>132</v>
          </cell>
          <cell r="N327">
            <v>3</v>
          </cell>
          <cell r="O327">
            <v>351</v>
          </cell>
          <cell r="P327">
            <v>0</v>
          </cell>
          <cell r="Q327">
            <v>0</v>
          </cell>
          <cell r="R327">
            <v>1</v>
          </cell>
          <cell r="S327">
            <v>132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20</v>
          </cell>
          <cell r="Y327">
            <v>3380</v>
          </cell>
          <cell r="Z327">
            <v>0</v>
          </cell>
          <cell r="AA327">
            <v>0</v>
          </cell>
        </row>
        <row r="328">
          <cell r="C328" t="str">
            <v>San Francisco, CA</v>
          </cell>
          <cell r="D328">
            <v>2</v>
          </cell>
          <cell r="E328">
            <v>334</v>
          </cell>
          <cell r="F328">
            <v>1</v>
          </cell>
          <cell r="G328">
            <v>145</v>
          </cell>
          <cell r="H328">
            <v>0</v>
          </cell>
          <cell r="I328">
            <v>0</v>
          </cell>
          <cell r="J328">
            <v>1</v>
          </cell>
          <cell r="K328">
            <v>145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1</v>
          </cell>
          <cell r="Q328">
            <v>145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16</v>
          </cell>
          <cell r="Y328">
            <v>4195</v>
          </cell>
          <cell r="Z328">
            <v>1</v>
          </cell>
          <cell r="AA328">
            <v>252</v>
          </cell>
        </row>
        <row r="329">
          <cell r="C329" t="str">
            <v>Seattle, WA</v>
          </cell>
          <cell r="D329">
            <v>4</v>
          </cell>
          <cell r="E329">
            <v>515</v>
          </cell>
          <cell r="F329">
            <v>3</v>
          </cell>
          <cell r="G329">
            <v>365</v>
          </cell>
          <cell r="H329">
            <v>0</v>
          </cell>
          <cell r="I329">
            <v>0</v>
          </cell>
          <cell r="J329">
            <v>3</v>
          </cell>
          <cell r="K329">
            <v>365</v>
          </cell>
          <cell r="L329">
            <v>0</v>
          </cell>
          <cell r="M329">
            <v>0</v>
          </cell>
          <cell r="N329">
            <v>3</v>
          </cell>
          <cell r="O329">
            <v>365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13</v>
          </cell>
          <cell r="Y329">
            <v>2126</v>
          </cell>
          <cell r="Z329">
            <v>0</v>
          </cell>
          <cell r="AA329">
            <v>0</v>
          </cell>
        </row>
        <row r="330">
          <cell r="C330" t="str">
            <v>Tampa, FL</v>
          </cell>
          <cell r="D330">
            <v>6</v>
          </cell>
          <cell r="E330">
            <v>496</v>
          </cell>
          <cell r="F330">
            <v>1</v>
          </cell>
          <cell r="G330">
            <v>76</v>
          </cell>
          <cell r="H330">
            <v>4</v>
          </cell>
          <cell r="I330">
            <v>365</v>
          </cell>
          <cell r="J330">
            <v>5</v>
          </cell>
          <cell r="K330">
            <v>441</v>
          </cell>
          <cell r="L330">
            <v>0</v>
          </cell>
          <cell r="M330">
            <v>0</v>
          </cell>
          <cell r="N330">
            <v>1</v>
          </cell>
          <cell r="O330">
            <v>76</v>
          </cell>
          <cell r="P330">
            <v>2</v>
          </cell>
          <cell r="Q330">
            <v>185</v>
          </cell>
          <cell r="R330">
            <v>2</v>
          </cell>
          <cell r="S330">
            <v>180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23</v>
          </cell>
          <cell r="Y330">
            <v>3808</v>
          </cell>
          <cell r="Z330">
            <v>1</v>
          </cell>
          <cell r="AA330">
            <v>82</v>
          </cell>
        </row>
        <row r="331">
          <cell r="C331" t="str">
            <v>Washington, DC</v>
          </cell>
          <cell r="D331">
            <v>2</v>
          </cell>
          <cell r="E331">
            <v>130</v>
          </cell>
          <cell r="F331">
            <v>2</v>
          </cell>
          <cell r="G331">
            <v>376</v>
          </cell>
          <cell r="H331">
            <v>4</v>
          </cell>
          <cell r="I331">
            <v>422</v>
          </cell>
          <cell r="J331">
            <v>6</v>
          </cell>
          <cell r="K331">
            <v>798</v>
          </cell>
          <cell r="L331">
            <v>2</v>
          </cell>
          <cell r="M331">
            <v>176</v>
          </cell>
          <cell r="N331">
            <v>1</v>
          </cell>
          <cell r="O331">
            <v>143</v>
          </cell>
          <cell r="P331">
            <v>4</v>
          </cell>
          <cell r="Q331">
            <v>536</v>
          </cell>
          <cell r="R331">
            <v>3</v>
          </cell>
          <cell r="S331">
            <v>295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34</v>
          </cell>
          <cell r="Y331">
            <v>7746</v>
          </cell>
          <cell r="Z331">
            <v>0</v>
          </cell>
          <cell r="AA331">
            <v>0</v>
          </cell>
        </row>
        <row r="382">
          <cell r="C382" t="str">
            <v>Anaheim, CA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6</v>
          </cell>
          <cell r="Y382">
            <v>429</v>
          </cell>
          <cell r="Z382">
            <v>0</v>
          </cell>
          <cell r="AA382">
            <v>0</v>
          </cell>
        </row>
        <row r="383">
          <cell r="C383" t="str">
            <v>Atlanta, GA</v>
          </cell>
          <cell r="D383">
            <v>11</v>
          </cell>
          <cell r="E383">
            <v>830</v>
          </cell>
          <cell r="F383">
            <v>3</v>
          </cell>
          <cell r="G383">
            <v>217</v>
          </cell>
          <cell r="H383">
            <v>3</v>
          </cell>
          <cell r="I383">
            <v>283</v>
          </cell>
          <cell r="J383">
            <v>6</v>
          </cell>
          <cell r="K383">
            <v>500</v>
          </cell>
          <cell r="L383">
            <v>0</v>
          </cell>
          <cell r="M383">
            <v>0</v>
          </cell>
          <cell r="N383">
            <v>3</v>
          </cell>
          <cell r="O383">
            <v>217</v>
          </cell>
          <cell r="P383">
            <v>1</v>
          </cell>
          <cell r="Q383">
            <v>100</v>
          </cell>
          <cell r="R383">
            <v>2</v>
          </cell>
          <cell r="S383">
            <v>183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15</v>
          </cell>
          <cell r="Y383">
            <v>1519</v>
          </cell>
          <cell r="Z383">
            <v>1</v>
          </cell>
          <cell r="AA383">
            <v>46</v>
          </cell>
        </row>
        <row r="384">
          <cell r="C384" t="str">
            <v>Boston, MA</v>
          </cell>
          <cell r="D384">
            <v>3</v>
          </cell>
          <cell r="E384">
            <v>289</v>
          </cell>
          <cell r="F384">
            <v>1</v>
          </cell>
          <cell r="G384">
            <v>50</v>
          </cell>
          <cell r="H384">
            <v>1</v>
          </cell>
          <cell r="I384">
            <v>100</v>
          </cell>
          <cell r="J384">
            <v>2</v>
          </cell>
          <cell r="K384">
            <v>150</v>
          </cell>
          <cell r="L384">
            <v>1</v>
          </cell>
          <cell r="M384">
            <v>85</v>
          </cell>
          <cell r="N384">
            <v>1</v>
          </cell>
          <cell r="O384">
            <v>50</v>
          </cell>
          <cell r="P384">
            <v>0</v>
          </cell>
          <cell r="Q384">
            <v>0</v>
          </cell>
          <cell r="R384">
            <v>2</v>
          </cell>
          <cell r="S384">
            <v>185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3</v>
          </cell>
          <cell r="Y384">
            <v>289</v>
          </cell>
          <cell r="Z384">
            <v>0</v>
          </cell>
          <cell r="AA384">
            <v>0</v>
          </cell>
        </row>
        <row r="385">
          <cell r="C385" t="str">
            <v>Chicago, IL</v>
          </cell>
          <cell r="D385">
            <v>4</v>
          </cell>
          <cell r="E385">
            <v>549</v>
          </cell>
          <cell r="F385">
            <v>0</v>
          </cell>
          <cell r="G385">
            <v>0</v>
          </cell>
          <cell r="H385">
            <v>2</v>
          </cell>
          <cell r="I385">
            <v>123</v>
          </cell>
          <cell r="J385">
            <v>2</v>
          </cell>
          <cell r="K385">
            <v>123</v>
          </cell>
          <cell r="L385">
            <v>3</v>
          </cell>
          <cell r="M385">
            <v>234</v>
          </cell>
          <cell r="N385">
            <v>0</v>
          </cell>
          <cell r="O385">
            <v>0</v>
          </cell>
          <cell r="P385">
            <v>2</v>
          </cell>
          <cell r="Q385">
            <v>123</v>
          </cell>
          <cell r="R385">
            <v>1</v>
          </cell>
          <cell r="S385">
            <v>82</v>
          </cell>
          <cell r="T385">
            <v>2</v>
          </cell>
          <cell r="U385">
            <v>152</v>
          </cell>
          <cell r="V385">
            <v>2</v>
          </cell>
          <cell r="W385">
            <v>152</v>
          </cell>
          <cell r="X385">
            <v>3</v>
          </cell>
          <cell r="Y385">
            <v>249</v>
          </cell>
          <cell r="Z385">
            <v>1</v>
          </cell>
          <cell r="AA385">
            <v>50</v>
          </cell>
        </row>
        <row r="386">
          <cell r="C386" t="str">
            <v>Dallas, TX</v>
          </cell>
          <cell r="D386">
            <v>12</v>
          </cell>
          <cell r="E386">
            <v>744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14</v>
          </cell>
          <cell r="Y386">
            <v>936</v>
          </cell>
          <cell r="Z386">
            <v>2</v>
          </cell>
          <cell r="AA386">
            <v>139</v>
          </cell>
        </row>
        <row r="387">
          <cell r="C387" t="str">
            <v>Denver, CO</v>
          </cell>
          <cell r="D387">
            <v>2</v>
          </cell>
          <cell r="E387">
            <v>193</v>
          </cell>
          <cell r="F387">
            <v>1</v>
          </cell>
          <cell r="G387">
            <v>88</v>
          </cell>
          <cell r="H387">
            <v>0</v>
          </cell>
          <cell r="I387">
            <v>0</v>
          </cell>
          <cell r="J387">
            <v>1</v>
          </cell>
          <cell r="K387">
            <v>88</v>
          </cell>
          <cell r="L387">
            <v>1</v>
          </cell>
          <cell r="M387">
            <v>82</v>
          </cell>
          <cell r="N387">
            <v>0</v>
          </cell>
          <cell r="O387">
            <v>0</v>
          </cell>
          <cell r="P387">
            <v>1</v>
          </cell>
          <cell r="Q387">
            <v>88</v>
          </cell>
          <cell r="R387">
            <v>1</v>
          </cell>
          <cell r="S387">
            <v>82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3</v>
          </cell>
          <cell r="Y387">
            <v>252</v>
          </cell>
          <cell r="Z387">
            <v>0</v>
          </cell>
          <cell r="AA387">
            <v>0</v>
          </cell>
        </row>
        <row r="388">
          <cell r="C388" t="str">
            <v>Detroit, MI</v>
          </cell>
          <cell r="D388">
            <v>1</v>
          </cell>
          <cell r="E388">
            <v>98</v>
          </cell>
          <cell r="F388">
            <v>1</v>
          </cell>
          <cell r="G388">
            <v>90</v>
          </cell>
          <cell r="H388">
            <v>2</v>
          </cell>
          <cell r="I388">
            <v>168</v>
          </cell>
          <cell r="J388">
            <v>3</v>
          </cell>
          <cell r="K388">
            <v>258</v>
          </cell>
          <cell r="L388">
            <v>6</v>
          </cell>
          <cell r="M388">
            <v>532</v>
          </cell>
          <cell r="N388">
            <v>0</v>
          </cell>
          <cell r="O388">
            <v>0</v>
          </cell>
          <cell r="P388">
            <v>3</v>
          </cell>
          <cell r="Q388">
            <v>258</v>
          </cell>
          <cell r="R388">
            <v>3</v>
          </cell>
          <cell r="S388">
            <v>232</v>
          </cell>
          <cell r="T388">
            <v>3</v>
          </cell>
          <cell r="U388">
            <v>300</v>
          </cell>
          <cell r="V388">
            <v>3</v>
          </cell>
          <cell r="W388">
            <v>300</v>
          </cell>
          <cell r="X388">
            <v>1</v>
          </cell>
          <cell r="Y388">
            <v>98</v>
          </cell>
          <cell r="Z388">
            <v>0</v>
          </cell>
          <cell r="AA388">
            <v>0</v>
          </cell>
        </row>
        <row r="389">
          <cell r="C389" t="str">
            <v>Houston, TX</v>
          </cell>
          <cell r="D389">
            <v>5</v>
          </cell>
          <cell r="E389">
            <v>377</v>
          </cell>
          <cell r="F389">
            <v>1</v>
          </cell>
          <cell r="G389">
            <v>50</v>
          </cell>
          <cell r="H389">
            <v>1</v>
          </cell>
          <cell r="I389">
            <v>60</v>
          </cell>
          <cell r="J389">
            <v>2</v>
          </cell>
          <cell r="K389">
            <v>110</v>
          </cell>
          <cell r="L389">
            <v>0</v>
          </cell>
          <cell r="M389">
            <v>0</v>
          </cell>
          <cell r="N389">
            <v>1</v>
          </cell>
          <cell r="O389">
            <v>50</v>
          </cell>
          <cell r="P389">
            <v>1</v>
          </cell>
          <cell r="Q389">
            <v>60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10</v>
          </cell>
          <cell r="Y389">
            <v>914</v>
          </cell>
          <cell r="Z389">
            <v>0</v>
          </cell>
          <cell r="AA389">
            <v>0</v>
          </cell>
        </row>
        <row r="390">
          <cell r="C390" t="str">
            <v>Los Angeles, CA</v>
          </cell>
          <cell r="D390">
            <v>0</v>
          </cell>
          <cell r="E390">
            <v>0</v>
          </cell>
          <cell r="F390">
            <v>1</v>
          </cell>
          <cell r="G390">
            <v>53</v>
          </cell>
          <cell r="H390">
            <v>1</v>
          </cell>
          <cell r="I390">
            <v>129</v>
          </cell>
          <cell r="J390">
            <v>2</v>
          </cell>
          <cell r="K390">
            <v>182</v>
          </cell>
          <cell r="L390">
            <v>0</v>
          </cell>
          <cell r="M390">
            <v>0</v>
          </cell>
          <cell r="N390">
            <v>1</v>
          </cell>
          <cell r="O390">
            <v>53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1</v>
          </cell>
          <cell r="U390">
            <v>129</v>
          </cell>
          <cell r="V390">
            <v>1</v>
          </cell>
          <cell r="W390">
            <v>129</v>
          </cell>
          <cell r="X390">
            <v>1</v>
          </cell>
          <cell r="Y390">
            <v>59</v>
          </cell>
          <cell r="Z390">
            <v>0</v>
          </cell>
          <cell r="AA390">
            <v>0</v>
          </cell>
        </row>
        <row r="391">
          <cell r="C391" t="str">
            <v>Miami, FL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</v>
          </cell>
          <cell r="M391">
            <v>162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1</v>
          </cell>
          <cell r="U391">
            <v>162</v>
          </cell>
          <cell r="V391">
            <v>1</v>
          </cell>
          <cell r="W391">
            <v>162</v>
          </cell>
          <cell r="X391">
            <v>1</v>
          </cell>
          <cell r="Y391">
            <v>84</v>
          </cell>
          <cell r="Z391">
            <v>0</v>
          </cell>
          <cell r="AA391">
            <v>0</v>
          </cell>
        </row>
        <row r="392">
          <cell r="C392" t="str">
            <v>Minneapolis, MN</v>
          </cell>
          <cell r="D392">
            <v>3</v>
          </cell>
          <cell r="E392">
            <v>219</v>
          </cell>
          <cell r="F392">
            <v>0</v>
          </cell>
          <cell r="G392">
            <v>0</v>
          </cell>
          <cell r="H392">
            <v>1</v>
          </cell>
          <cell r="I392">
            <v>59</v>
          </cell>
          <cell r="J392">
            <v>1</v>
          </cell>
          <cell r="K392">
            <v>59</v>
          </cell>
          <cell r="L392">
            <v>4</v>
          </cell>
          <cell r="M392">
            <v>279</v>
          </cell>
          <cell r="N392">
            <v>0</v>
          </cell>
          <cell r="O392">
            <v>0</v>
          </cell>
          <cell r="P392">
            <v>1</v>
          </cell>
          <cell r="Q392">
            <v>59</v>
          </cell>
          <cell r="R392">
            <v>3</v>
          </cell>
          <cell r="S392">
            <v>196</v>
          </cell>
          <cell r="T392">
            <v>1</v>
          </cell>
          <cell r="U392">
            <v>83</v>
          </cell>
          <cell r="V392">
            <v>1</v>
          </cell>
          <cell r="W392">
            <v>83</v>
          </cell>
          <cell r="X392">
            <v>4</v>
          </cell>
          <cell r="Y392">
            <v>360</v>
          </cell>
          <cell r="Z392">
            <v>1</v>
          </cell>
          <cell r="AA392">
            <v>62</v>
          </cell>
        </row>
        <row r="393">
          <cell r="C393" t="str">
            <v>Nashville, TN</v>
          </cell>
          <cell r="D393">
            <v>3</v>
          </cell>
          <cell r="E393">
            <v>200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1</v>
          </cell>
          <cell r="M393">
            <v>59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1</v>
          </cell>
          <cell r="S393">
            <v>59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4</v>
          </cell>
          <cell r="Y393">
            <v>295</v>
          </cell>
          <cell r="Z393">
            <v>0</v>
          </cell>
          <cell r="AA393">
            <v>0</v>
          </cell>
        </row>
        <row r="394">
          <cell r="C394" t="str">
            <v>New Orleans, LA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1</v>
          </cell>
          <cell r="M394">
            <v>120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1</v>
          </cell>
          <cell r="U394">
            <v>120</v>
          </cell>
          <cell r="V394">
            <v>1</v>
          </cell>
          <cell r="W394">
            <v>120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</row>
        <row r="395">
          <cell r="C395" t="str">
            <v>New York, NY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</v>
          </cell>
          <cell r="M395">
            <v>300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1</v>
          </cell>
          <cell r="U395">
            <v>300</v>
          </cell>
          <cell r="V395">
            <v>1</v>
          </cell>
          <cell r="W395">
            <v>300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</row>
        <row r="396">
          <cell r="C396" t="str">
            <v>Norfolk, VA</v>
          </cell>
          <cell r="D396">
            <v>1</v>
          </cell>
          <cell r="E396">
            <v>70</v>
          </cell>
          <cell r="F396">
            <v>1</v>
          </cell>
          <cell r="G396">
            <v>65</v>
          </cell>
          <cell r="H396">
            <v>0</v>
          </cell>
          <cell r="I396">
            <v>0</v>
          </cell>
          <cell r="J396">
            <v>1</v>
          </cell>
          <cell r="K396">
            <v>65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1</v>
          </cell>
          <cell r="Q396">
            <v>65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3</v>
          </cell>
          <cell r="Y396">
            <v>292</v>
          </cell>
          <cell r="Z396">
            <v>0</v>
          </cell>
          <cell r="AA396">
            <v>0</v>
          </cell>
        </row>
        <row r="397">
          <cell r="C397" t="str">
            <v>Oahu Island</v>
          </cell>
          <cell r="D397">
            <v>1</v>
          </cell>
          <cell r="E397">
            <v>48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1</v>
          </cell>
          <cell r="Y397">
            <v>48</v>
          </cell>
          <cell r="Z397">
            <v>0</v>
          </cell>
          <cell r="AA397">
            <v>0</v>
          </cell>
        </row>
        <row r="398">
          <cell r="C398" t="str">
            <v>Orlando, FL</v>
          </cell>
          <cell r="D398">
            <v>4</v>
          </cell>
          <cell r="E398">
            <v>498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4</v>
          </cell>
          <cell r="M398">
            <v>492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4</v>
          </cell>
          <cell r="U398">
            <v>492</v>
          </cell>
          <cell r="V398">
            <v>4</v>
          </cell>
          <cell r="W398">
            <v>492</v>
          </cell>
          <cell r="X398">
            <v>7</v>
          </cell>
          <cell r="Y398">
            <v>1080</v>
          </cell>
          <cell r="Z398">
            <v>0</v>
          </cell>
          <cell r="AA398">
            <v>0</v>
          </cell>
        </row>
        <row r="399">
          <cell r="C399" t="str">
            <v>Philadelphia, PA</v>
          </cell>
          <cell r="D399">
            <v>3</v>
          </cell>
          <cell r="E399">
            <v>528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4</v>
          </cell>
          <cell r="Y399">
            <v>678</v>
          </cell>
          <cell r="Z399">
            <v>0</v>
          </cell>
          <cell r="AA399">
            <v>0</v>
          </cell>
        </row>
        <row r="400">
          <cell r="C400" t="str">
            <v>Phoenix, AZ</v>
          </cell>
          <cell r="D400">
            <v>4</v>
          </cell>
          <cell r="E400">
            <v>414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1</v>
          </cell>
          <cell r="M400">
            <v>75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1</v>
          </cell>
          <cell r="S400">
            <v>75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6</v>
          </cell>
          <cell r="Y400">
            <v>562</v>
          </cell>
          <cell r="Z400">
            <v>0</v>
          </cell>
          <cell r="AA400">
            <v>0</v>
          </cell>
        </row>
        <row r="401">
          <cell r="C401" t="str">
            <v>Saint Louis, MO</v>
          </cell>
          <cell r="D401">
            <v>2</v>
          </cell>
          <cell r="E401">
            <v>135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3</v>
          </cell>
          <cell r="Y401">
            <v>219</v>
          </cell>
          <cell r="Z401">
            <v>1</v>
          </cell>
          <cell r="AA401">
            <v>65</v>
          </cell>
        </row>
        <row r="402">
          <cell r="C402" t="str">
            <v>San Diego, CA</v>
          </cell>
          <cell r="D402">
            <v>1</v>
          </cell>
          <cell r="E402">
            <v>50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1</v>
          </cell>
          <cell r="M402">
            <v>70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1</v>
          </cell>
          <cell r="S402">
            <v>70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3</v>
          </cell>
          <cell r="Y402">
            <v>358</v>
          </cell>
          <cell r="Z402">
            <v>0</v>
          </cell>
          <cell r="AA402">
            <v>0</v>
          </cell>
        </row>
        <row r="403">
          <cell r="C403" t="str">
            <v>San Francisco, CA</v>
          </cell>
          <cell r="D403">
            <v>0</v>
          </cell>
          <cell r="E403">
            <v>0</v>
          </cell>
          <cell r="F403">
            <v>1</v>
          </cell>
          <cell r="G403">
            <v>29</v>
          </cell>
          <cell r="H403">
            <v>0</v>
          </cell>
          <cell r="I403">
            <v>0</v>
          </cell>
          <cell r="J403">
            <v>1</v>
          </cell>
          <cell r="K403">
            <v>29</v>
          </cell>
          <cell r="L403">
            <v>1</v>
          </cell>
          <cell r="M403">
            <v>40</v>
          </cell>
          <cell r="N403">
            <v>1</v>
          </cell>
          <cell r="O403">
            <v>29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1</v>
          </cell>
          <cell r="U403">
            <v>40</v>
          </cell>
          <cell r="V403">
            <v>1</v>
          </cell>
          <cell r="W403">
            <v>40</v>
          </cell>
          <cell r="X403">
            <v>1</v>
          </cell>
          <cell r="Y403">
            <v>38</v>
          </cell>
          <cell r="Z403">
            <v>0</v>
          </cell>
          <cell r="AA403">
            <v>0</v>
          </cell>
        </row>
        <row r="404">
          <cell r="C404" t="str">
            <v>Seattle, WA</v>
          </cell>
          <cell r="D404">
            <v>3</v>
          </cell>
          <cell r="E404">
            <v>364</v>
          </cell>
          <cell r="F404">
            <v>1</v>
          </cell>
          <cell r="G404">
            <v>68</v>
          </cell>
          <cell r="H404">
            <v>0</v>
          </cell>
          <cell r="I404">
            <v>0</v>
          </cell>
          <cell r="J404">
            <v>1</v>
          </cell>
          <cell r="K404">
            <v>68</v>
          </cell>
          <cell r="L404">
            <v>1</v>
          </cell>
          <cell r="M404">
            <v>72</v>
          </cell>
          <cell r="N404">
            <v>0</v>
          </cell>
          <cell r="O404">
            <v>0</v>
          </cell>
          <cell r="P404">
            <v>1</v>
          </cell>
          <cell r="Q404">
            <v>68</v>
          </cell>
          <cell r="R404">
            <v>0</v>
          </cell>
          <cell r="S404">
            <v>0</v>
          </cell>
          <cell r="T404">
            <v>1</v>
          </cell>
          <cell r="U404">
            <v>72</v>
          </cell>
          <cell r="V404">
            <v>1</v>
          </cell>
          <cell r="W404">
            <v>72</v>
          </cell>
          <cell r="X404">
            <v>5</v>
          </cell>
          <cell r="Y404">
            <v>588</v>
          </cell>
          <cell r="Z404">
            <v>0</v>
          </cell>
          <cell r="AA404">
            <v>0</v>
          </cell>
        </row>
        <row r="405">
          <cell r="C405" t="str">
            <v>Tampa, FL</v>
          </cell>
          <cell r="D405">
            <v>1</v>
          </cell>
          <cell r="E405">
            <v>63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4</v>
          </cell>
          <cell r="M405">
            <v>331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1</v>
          </cell>
          <cell r="S405">
            <v>65</v>
          </cell>
          <cell r="T405">
            <v>3</v>
          </cell>
          <cell r="U405">
            <v>266</v>
          </cell>
          <cell r="V405">
            <v>3</v>
          </cell>
          <cell r="W405">
            <v>266</v>
          </cell>
          <cell r="X405">
            <v>1</v>
          </cell>
          <cell r="Y405">
            <v>63</v>
          </cell>
          <cell r="Z405">
            <v>1</v>
          </cell>
          <cell r="AA405">
            <v>63</v>
          </cell>
        </row>
        <row r="406">
          <cell r="C406" t="str">
            <v>Washington, DC</v>
          </cell>
          <cell r="D406">
            <v>2</v>
          </cell>
          <cell r="E406">
            <v>203</v>
          </cell>
          <cell r="F406">
            <v>0</v>
          </cell>
          <cell r="G406">
            <v>0</v>
          </cell>
          <cell r="H406">
            <v>1</v>
          </cell>
          <cell r="I406">
            <v>110</v>
          </cell>
          <cell r="J406">
            <v>1</v>
          </cell>
          <cell r="K406">
            <v>110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</v>
          </cell>
          <cell r="Q406">
            <v>110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3</v>
          </cell>
          <cell r="Y406">
            <v>388</v>
          </cell>
          <cell r="Z406">
            <v>1</v>
          </cell>
          <cell r="AA406">
            <v>99</v>
          </cell>
        </row>
      </sheetData>
      <sheetData sheetId="4" refreshError="1"/>
      <sheetData sheetId="5" refreshError="1"/>
      <sheetData sheetId="6">
        <row r="12">
          <cell r="AV12">
            <v>115696</v>
          </cell>
          <cell r="AY12">
            <v>821</v>
          </cell>
        </row>
        <row r="15">
          <cell r="AV15">
            <v>137170</v>
          </cell>
          <cell r="AY15">
            <v>1080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ttons"/>
      <sheetName val="Comps - Monthly"/>
      <sheetName val="(e)Summary"/>
      <sheetName val="Summary"/>
      <sheetName val="Sheet2"/>
      <sheetName val="Sheet3"/>
      <sheetName val="NKEBS"/>
      <sheetName val="qorfa"/>
      <sheetName val="statement of earnings"/>
      <sheetName val="Val"/>
      <sheetName val="OFFVALU"/>
      <sheetName val="Annual Resul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D"/>
      <sheetName val="Model "/>
      <sheetName val="New Openings "/>
      <sheetName val="Model - Most recent"/>
      <sheetName val="Earnings Model 4-26-00"/>
      <sheetName val="Property Portfolio"/>
      <sheetName val="RevPAR Results"/>
      <sheetName val="Revs Oper Y Mix"/>
      <sheetName val="Asia"/>
      <sheetName val="TimeShare"/>
      <sheetName val="CAGR Units"/>
      <sheetName val="Margins"/>
      <sheetName val="Luxury Segment"/>
      <sheetName val="RETURNS"/>
      <sheetName val="Multiples"/>
      <sheetName val="Multiples of Luxury Cos."/>
    </sheetNames>
    <sheetDataSet>
      <sheetData sheetId="0"/>
      <sheetData sheetId="1"/>
      <sheetData sheetId="2"/>
      <sheetData sheetId="3"/>
      <sheetData sheetId="4" refreshError="1">
        <row r="26">
          <cell r="K26">
            <v>76.172138794520521</v>
          </cell>
          <cell r="P26">
            <v>113.41041616425697</v>
          </cell>
          <cell r="U26">
            <v>136.46835309812022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Projects export"/>
      <sheetName val="Sheet1"/>
      <sheetName val="Devp Q3"/>
    </sheetNames>
    <sheetDataSet>
      <sheetData sheetId="0" refreshError="1">
        <row r="4">
          <cell r="AF4" t="str">
            <v>Cancelled</v>
          </cell>
          <cell r="AG4" t="str">
            <v>6Cancelled</v>
          </cell>
          <cell r="BP4" t="str">
            <v>ABILENE, TX</v>
          </cell>
          <cell r="BQ4">
            <v>0</v>
          </cell>
        </row>
        <row r="5">
          <cell r="AF5" t="str">
            <v>Early Planning</v>
          </cell>
          <cell r="AG5" t="str">
            <v>4Early Planning</v>
          </cell>
          <cell r="BP5" t="str">
            <v>AIKEN, SC</v>
          </cell>
          <cell r="BQ5">
            <v>0</v>
          </cell>
        </row>
        <row r="6">
          <cell r="AF6" t="str">
            <v>In Permitting</v>
          </cell>
          <cell r="AG6" t="str">
            <v>3In Permitting</v>
          </cell>
          <cell r="BP6" t="str">
            <v>AKRON, OH</v>
          </cell>
          <cell r="BQ6">
            <v>0</v>
          </cell>
        </row>
        <row r="7">
          <cell r="AF7" t="str">
            <v>On Hold</v>
          </cell>
          <cell r="AG7" t="str">
            <v>5On Hold</v>
          </cell>
          <cell r="BP7" t="str">
            <v>ALABAMA NORTH AREA</v>
          </cell>
          <cell r="BQ7">
            <v>0</v>
          </cell>
        </row>
        <row r="8">
          <cell r="AF8" t="str">
            <v>Open</v>
          </cell>
          <cell r="AG8" t="str">
            <v>1Open</v>
          </cell>
          <cell r="BP8" t="str">
            <v>ALABAMA SOUTH AREA</v>
          </cell>
          <cell r="BQ8">
            <v>0</v>
          </cell>
        </row>
        <row r="9">
          <cell r="AF9" t="str">
            <v>Under Construction</v>
          </cell>
          <cell r="AG9" t="str">
            <v>2Under Construction</v>
          </cell>
          <cell r="BP9" t="str">
            <v>ALASKA</v>
          </cell>
          <cell r="BQ9">
            <v>0</v>
          </cell>
        </row>
        <row r="10">
          <cell r="BP10" t="str">
            <v>ALBANY NY</v>
          </cell>
          <cell r="BQ10">
            <v>0</v>
          </cell>
        </row>
        <row r="11">
          <cell r="BP11" t="str">
            <v>ALBUQUERQUE</v>
          </cell>
          <cell r="BQ11">
            <v>0</v>
          </cell>
        </row>
        <row r="12">
          <cell r="BP12" t="str">
            <v>ALBUQUERQUE AREA</v>
          </cell>
          <cell r="BQ12">
            <v>0</v>
          </cell>
        </row>
        <row r="13">
          <cell r="BP13" t="str">
            <v>ALEXANDRIA</v>
          </cell>
          <cell r="BQ13">
            <v>2</v>
          </cell>
        </row>
        <row r="14">
          <cell r="BP14" t="str">
            <v>ALLENTOWN</v>
          </cell>
          <cell r="BQ14">
            <v>0</v>
          </cell>
        </row>
        <row r="15">
          <cell r="BP15" t="str">
            <v>ALPHARETTA</v>
          </cell>
          <cell r="BQ15" t="str">
            <v>9b</v>
          </cell>
        </row>
        <row r="16">
          <cell r="AF16" t="str">
            <v>Budget</v>
          </cell>
          <cell r="AG16" t="str">
            <v>f</v>
          </cell>
          <cell r="BP16" t="str">
            <v>ALTOONA/JOHNSTOWN PA</v>
          </cell>
          <cell r="BQ16">
            <v>0</v>
          </cell>
        </row>
        <row r="17">
          <cell r="AF17" t="str">
            <v>Casino</v>
          </cell>
          <cell r="AG17" t="str">
            <v>k</v>
          </cell>
          <cell r="BP17" t="str">
            <v>AMARILLO, TX</v>
          </cell>
          <cell r="BQ17">
            <v>0</v>
          </cell>
        </row>
        <row r="18">
          <cell r="AF18" t="str">
            <v>Deluxe</v>
          </cell>
          <cell r="AG18" t="str">
            <v>a</v>
          </cell>
          <cell r="BP18" t="str">
            <v>ANAHEIM CBD</v>
          </cell>
          <cell r="BQ18">
            <v>1</v>
          </cell>
        </row>
        <row r="19">
          <cell r="AF19" t="str">
            <v>Economy</v>
          </cell>
          <cell r="AG19" t="str">
            <v>e</v>
          </cell>
          <cell r="BP19" t="str">
            <v>ANN ARBOR-JACKSON</v>
          </cell>
          <cell r="BQ19">
            <v>1</v>
          </cell>
        </row>
        <row r="20">
          <cell r="AF20" t="str">
            <v>Independent</v>
          </cell>
          <cell r="AG20" t="str">
            <v>g</v>
          </cell>
          <cell r="BP20" t="str">
            <v>ANNE ARUNDEL</v>
          </cell>
          <cell r="BQ20">
            <v>0</v>
          </cell>
        </row>
        <row r="21">
          <cell r="AF21" t="str">
            <v>Midscale</v>
          </cell>
          <cell r="AG21" t="str">
            <v>d</v>
          </cell>
          <cell r="AI21" t="str">
            <v>Casino</v>
          </cell>
          <cell r="AJ21" t="str">
            <v>k</v>
          </cell>
          <cell r="BP21" t="str">
            <v>APPLETON/OSHKOSH/NEENAH</v>
          </cell>
          <cell r="BQ21">
            <v>0</v>
          </cell>
        </row>
        <row r="22">
          <cell r="AF22" t="str">
            <v>Upper Upscale</v>
          </cell>
          <cell r="AG22" t="str">
            <v>b</v>
          </cell>
          <cell r="AI22" t="str">
            <v>Economy</v>
          </cell>
          <cell r="AJ22" t="str">
            <v>e</v>
          </cell>
          <cell r="BP22" t="str">
            <v>ARIZONA CENTRAL AREA</v>
          </cell>
          <cell r="BQ22">
            <v>2</v>
          </cell>
        </row>
        <row r="23">
          <cell r="AF23" t="str">
            <v>Upscale</v>
          </cell>
          <cell r="AG23" t="str">
            <v>c</v>
          </cell>
          <cell r="AI23" t="str">
            <v>Independent</v>
          </cell>
          <cell r="AJ23" t="str">
            <v>f</v>
          </cell>
          <cell r="BP23" t="str">
            <v>ARIZONA NORTH</v>
          </cell>
          <cell r="BQ23">
            <v>1</v>
          </cell>
        </row>
        <row r="24">
          <cell r="AI24" t="str">
            <v>Midscale w/F&amp;B</v>
          </cell>
          <cell r="AJ24" t="str">
            <v>c</v>
          </cell>
          <cell r="BP24" t="str">
            <v>ARIZONA SOUTHEAST AREA</v>
          </cell>
          <cell r="BQ24">
            <v>3</v>
          </cell>
        </row>
        <row r="25">
          <cell r="AI25" t="str">
            <v>Midscale w/o F&amp;B</v>
          </cell>
          <cell r="AJ25" t="str">
            <v>d</v>
          </cell>
          <cell r="BP25" t="str">
            <v>ARIZONA WEST AREA</v>
          </cell>
          <cell r="BQ25">
            <v>4</v>
          </cell>
        </row>
        <row r="26">
          <cell r="AI26" t="str">
            <v>Upper Upscale</v>
          </cell>
          <cell r="AJ26" t="str">
            <v>a</v>
          </cell>
          <cell r="BP26" t="str">
            <v>ARKANSAS NORTH AREA</v>
          </cell>
          <cell r="BQ26">
            <v>0</v>
          </cell>
        </row>
        <row r="27">
          <cell r="AI27" t="str">
            <v>Upscale</v>
          </cell>
          <cell r="AJ27" t="str">
            <v>b</v>
          </cell>
          <cell r="BP27" t="str">
            <v>ARKANSAS SOUTH AREA</v>
          </cell>
          <cell r="BQ27">
            <v>0</v>
          </cell>
        </row>
        <row r="28">
          <cell r="BP28" t="str">
            <v>ARLINGTON</v>
          </cell>
          <cell r="BQ28">
            <v>3</v>
          </cell>
        </row>
        <row r="29">
          <cell r="BP29" t="str">
            <v>ARLINGTON-EULESS</v>
          </cell>
          <cell r="BQ29">
            <v>0</v>
          </cell>
        </row>
        <row r="30">
          <cell r="BP30" t="str">
            <v>ASHEVILLE, NC</v>
          </cell>
          <cell r="BQ30">
            <v>0</v>
          </cell>
        </row>
        <row r="31">
          <cell r="BP31" t="str">
            <v>ATLANTA AIRPORT</v>
          </cell>
          <cell r="BQ31">
            <v>2</v>
          </cell>
        </row>
        <row r="32">
          <cell r="AI32" t="str">
            <v>Extended-Stay (Upper Tier)</v>
          </cell>
          <cell r="AJ32" t="str">
            <v>3Extended-Stay (Upper Tier)</v>
          </cell>
          <cell r="BP32" t="str">
            <v>ATLANTA DOWNTOWN</v>
          </cell>
          <cell r="BQ32">
            <v>1</v>
          </cell>
        </row>
        <row r="33">
          <cell r="AI33" t="str">
            <v>Independent</v>
          </cell>
          <cell r="AJ33" t="str">
            <v>4Independent</v>
          </cell>
          <cell r="BP33" t="str">
            <v>ATLANTA EAST</v>
          </cell>
          <cell r="BQ33">
            <v>3</v>
          </cell>
        </row>
        <row r="34">
          <cell r="AI34" t="str">
            <v>Upper Upscale</v>
          </cell>
          <cell r="AJ34" t="str">
            <v>1Upper Upscale</v>
          </cell>
          <cell r="BP34" t="str">
            <v>ATLANTA GALLERIA AREA</v>
          </cell>
          <cell r="BQ34">
            <v>4</v>
          </cell>
        </row>
        <row r="35">
          <cell r="AI35" t="str">
            <v>Upscale</v>
          </cell>
          <cell r="AJ35" t="str">
            <v>2Upscale</v>
          </cell>
          <cell r="BP35" t="str">
            <v>ATLANTA NORTH</v>
          </cell>
          <cell r="BQ35">
            <v>5</v>
          </cell>
        </row>
        <row r="36">
          <cell r="BP36" t="str">
            <v>ATLANTA NORTH CENTRAL</v>
          </cell>
          <cell r="BQ36">
            <v>6</v>
          </cell>
        </row>
        <row r="37">
          <cell r="BP37" t="str">
            <v>ATLANTA NORTHEAST</v>
          </cell>
          <cell r="BQ37">
            <v>7</v>
          </cell>
        </row>
        <row r="38">
          <cell r="BP38" t="str">
            <v>ATLANTA NORTHWEST</v>
          </cell>
          <cell r="BQ38">
            <v>8</v>
          </cell>
        </row>
        <row r="39">
          <cell r="BP39" t="str">
            <v>ATLANTA SOUTH</v>
          </cell>
          <cell r="BQ39" t="str">
            <v>9a</v>
          </cell>
        </row>
        <row r="40">
          <cell r="AI40" t="str">
            <v>Affiliation Undetermined</v>
          </cell>
          <cell r="AJ40" t="str">
            <v/>
          </cell>
          <cell r="BP40" t="str">
            <v>ATLANTIC CITY</v>
          </cell>
          <cell r="BQ40">
            <v>0</v>
          </cell>
        </row>
        <row r="41">
          <cell r="AI41" t="str">
            <v>Budget</v>
          </cell>
          <cell r="AJ41" t="str">
            <v>L</v>
          </cell>
          <cell r="BP41" t="str">
            <v>ATLANTIC CITY AREA</v>
          </cell>
          <cell r="BQ41">
            <v>0</v>
          </cell>
        </row>
        <row r="42">
          <cell r="AI42" t="str">
            <v>Casino</v>
          </cell>
          <cell r="AJ42" t="str">
            <v>F</v>
          </cell>
          <cell r="BP42" t="str">
            <v>AUGUSTA &amp; SOUTH</v>
          </cell>
          <cell r="BQ42">
            <v>0</v>
          </cell>
        </row>
        <row r="43">
          <cell r="AI43" t="str">
            <v>Extended-Stay (Lower Tier)</v>
          </cell>
          <cell r="AJ43" t="str">
            <v>X</v>
          </cell>
          <cell r="BP43" t="str">
            <v>AUGUSTA NORTH &amp; WEST</v>
          </cell>
          <cell r="BQ43">
            <v>0</v>
          </cell>
        </row>
        <row r="44">
          <cell r="AI44" t="str">
            <v>Extended-Stay (Middle Tier)</v>
          </cell>
          <cell r="AJ44" t="str">
            <v>X</v>
          </cell>
          <cell r="BP44" t="str">
            <v>AUSTIN</v>
          </cell>
          <cell r="BQ44">
            <v>0</v>
          </cell>
        </row>
        <row r="45">
          <cell r="AI45" t="str">
            <v>Extended-Stay (Upper Tier)</v>
          </cell>
          <cell r="AJ45" t="str">
            <v>X</v>
          </cell>
          <cell r="BP45" t="str">
            <v>AUSTIN NORTH</v>
          </cell>
          <cell r="BQ45">
            <v>0</v>
          </cell>
        </row>
        <row r="46">
          <cell r="AI46" t="str">
            <v>First Class (Upscale)</v>
          </cell>
          <cell r="AJ46" t="str">
            <v>F</v>
          </cell>
          <cell r="BP46" t="str">
            <v>AUSTIN SOUTH</v>
          </cell>
          <cell r="BQ46">
            <v>0</v>
          </cell>
        </row>
        <row r="47">
          <cell r="AI47" t="str">
            <v>Full-Service (Economy)</v>
          </cell>
          <cell r="AJ47" t="str">
            <v>F</v>
          </cell>
          <cell r="BP47" t="str">
            <v>BAKERSFIELD, CA</v>
          </cell>
          <cell r="BQ47">
            <v>0</v>
          </cell>
        </row>
        <row r="48">
          <cell r="AI48" t="str">
            <v>Full-Service (Mid-Market)</v>
          </cell>
          <cell r="AJ48" t="str">
            <v>F</v>
          </cell>
          <cell r="BP48" t="str">
            <v>BALTIMORE</v>
          </cell>
          <cell r="BQ48">
            <v>0</v>
          </cell>
        </row>
        <row r="49">
          <cell r="AI49" t="str">
            <v>Limited-Service (Economy)</v>
          </cell>
          <cell r="AJ49" t="str">
            <v>L</v>
          </cell>
          <cell r="BP49" t="str">
            <v>BALTIMORE CBD</v>
          </cell>
          <cell r="BQ49">
            <v>0</v>
          </cell>
        </row>
        <row r="50">
          <cell r="AI50" t="str">
            <v>Limited-Service (Mid-Market)</v>
          </cell>
          <cell r="AJ50" t="str">
            <v>L</v>
          </cell>
          <cell r="BP50" t="str">
            <v>BALTIMORE, MD AREA</v>
          </cell>
          <cell r="BQ50">
            <v>0</v>
          </cell>
        </row>
        <row r="51">
          <cell r="AI51" t="str">
            <v>Luxury</v>
          </cell>
          <cell r="AJ51" t="str">
            <v>F</v>
          </cell>
          <cell r="BP51" t="str">
            <v>BATON ROUGE, LA</v>
          </cell>
          <cell r="BQ51">
            <v>0</v>
          </cell>
        </row>
        <row r="52">
          <cell r="BP52" t="str">
            <v>BEAUMONT-PORT ARTHUR, TX</v>
          </cell>
          <cell r="BQ52">
            <v>0</v>
          </cell>
        </row>
        <row r="53">
          <cell r="BP53" t="str">
            <v>BETHESDA-SILVER SPRING</v>
          </cell>
          <cell r="BQ53">
            <v>5</v>
          </cell>
        </row>
        <row r="54">
          <cell r="BP54" t="str">
            <v>BILLINGS, MT</v>
          </cell>
          <cell r="BQ54">
            <v>0</v>
          </cell>
        </row>
        <row r="55">
          <cell r="BP55" t="str">
            <v>BILOXI-GULFPORT, MS</v>
          </cell>
          <cell r="BQ55">
            <v>0</v>
          </cell>
        </row>
        <row r="56">
          <cell r="BP56" t="str">
            <v>BIRMINGHAM AREA</v>
          </cell>
          <cell r="BQ56">
            <v>0</v>
          </cell>
        </row>
        <row r="57">
          <cell r="BP57" t="str">
            <v>BIRMINGHAM DOWNTOWN-AIRPORT</v>
          </cell>
          <cell r="BQ57">
            <v>0</v>
          </cell>
        </row>
        <row r="58">
          <cell r="BP58" t="str">
            <v>BLOOMINGTON</v>
          </cell>
          <cell r="BQ58">
            <v>5</v>
          </cell>
        </row>
        <row r="59">
          <cell r="BP59" t="str">
            <v>BLOOMINGTON/NORMAL, IL</v>
          </cell>
          <cell r="BQ59">
            <v>0</v>
          </cell>
        </row>
        <row r="60">
          <cell r="BP60" t="str">
            <v>BOCA RATON, FL</v>
          </cell>
          <cell r="BQ60">
            <v>0</v>
          </cell>
        </row>
        <row r="61">
          <cell r="BP61" t="str">
            <v>BOSTON CBD</v>
          </cell>
          <cell r="BQ61">
            <v>1</v>
          </cell>
        </row>
        <row r="62">
          <cell r="BP62" t="str">
            <v>BOSTON NORTH</v>
          </cell>
          <cell r="BQ62">
            <v>2</v>
          </cell>
        </row>
        <row r="63">
          <cell r="Q63" t="str">
            <v>Casino</v>
          </cell>
          <cell r="R63" t="str">
            <v>9Casino</v>
          </cell>
          <cell r="BP63" t="str">
            <v>BOSTON SOUTH/SOUTHWEST</v>
          </cell>
          <cell r="BQ63">
            <v>3</v>
          </cell>
        </row>
        <row r="64">
          <cell r="Q64" t="str">
            <v>Economy</v>
          </cell>
          <cell r="R64" t="str">
            <v>6Economy</v>
          </cell>
          <cell r="BP64" t="str">
            <v>BOSTON SOUTHSHORE</v>
          </cell>
          <cell r="BQ64">
            <v>4</v>
          </cell>
        </row>
        <row r="65">
          <cell r="Q65" t="str">
            <v>Independent</v>
          </cell>
          <cell r="R65" t="str">
            <v>8Independent</v>
          </cell>
          <cell r="BP65" t="str">
            <v>BOULDER, CO</v>
          </cell>
          <cell r="BQ65">
            <v>0</v>
          </cell>
        </row>
        <row r="66">
          <cell r="Q66" t="str">
            <v>Midscale w/F&amp;B</v>
          </cell>
          <cell r="R66" t="str">
            <v>4Midscale w/F&amp;B</v>
          </cell>
          <cell r="BP66" t="str">
            <v>BOWLING GREEN</v>
          </cell>
          <cell r="BQ66">
            <v>0</v>
          </cell>
        </row>
        <row r="67">
          <cell r="Q67" t="str">
            <v>Midscale w/o F&amp;B</v>
          </cell>
          <cell r="R67" t="str">
            <v>5Midscale w/o F&amp;B</v>
          </cell>
          <cell r="BP67" t="str">
            <v>BOZEMAN/YELLOWSTONE</v>
          </cell>
          <cell r="BQ67">
            <v>0</v>
          </cell>
        </row>
        <row r="68">
          <cell r="Q68" t="str">
            <v>Upper Upscale</v>
          </cell>
          <cell r="R68" t="str">
            <v>2Upper Upscale</v>
          </cell>
          <cell r="BP68" t="str">
            <v>BRADENTON-LONG BOAT KEY</v>
          </cell>
          <cell r="BQ68">
            <v>3</v>
          </cell>
        </row>
        <row r="69">
          <cell r="Q69" t="str">
            <v>Upscale</v>
          </cell>
          <cell r="R69" t="str">
            <v>3Upscale</v>
          </cell>
          <cell r="BP69" t="str">
            <v>BRANSON</v>
          </cell>
          <cell r="BQ69">
            <v>0</v>
          </cell>
        </row>
        <row r="70">
          <cell r="BP70" t="str">
            <v>BRIDGEPORT/DANBURY/STAMFORD</v>
          </cell>
          <cell r="BQ70">
            <v>0</v>
          </cell>
        </row>
        <row r="71">
          <cell r="BP71" t="str">
            <v>BROWNSVILLE-HARLINGEN, TX</v>
          </cell>
          <cell r="BQ71">
            <v>0</v>
          </cell>
        </row>
        <row r="72">
          <cell r="BP72" t="str">
            <v>BRYAN COLLEGE STATION, TX</v>
          </cell>
          <cell r="BQ72">
            <v>0</v>
          </cell>
        </row>
        <row r="73">
          <cell r="BP73" t="str">
            <v>BUFFALO NORTH</v>
          </cell>
          <cell r="BQ73">
            <v>0</v>
          </cell>
        </row>
        <row r="74">
          <cell r="BP74" t="str">
            <v>BUFFALO SOUTH</v>
          </cell>
          <cell r="BQ74">
            <v>0</v>
          </cell>
        </row>
        <row r="75">
          <cell r="BP75" t="str">
            <v>CALIFORNIA CENTRAL AREA</v>
          </cell>
          <cell r="BQ75">
            <v>0</v>
          </cell>
        </row>
        <row r="76">
          <cell r="BP76" t="str">
            <v>CALIFORNIA NORTH AREA</v>
          </cell>
          <cell r="BQ76">
            <v>0</v>
          </cell>
        </row>
        <row r="77">
          <cell r="BP77" t="str">
            <v>CAMBRIDGE-LEXINGTON</v>
          </cell>
          <cell r="BQ77">
            <v>5</v>
          </cell>
        </row>
        <row r="78">
          <cell r="BP78" t="str">
            <v>CAPE CORAL-SANIBEL, FL</v>
          </cell>
          <cell r="BQ78">
            <v>0</v>
          </cell>
        </row>
        <row r="79">
          <cell r="BP79" t="str">
            <v>CARLISLE/MECHANICSBURG PA</v>
          </cell>
          <cell r="BQ79">
            <v>0</v>
          </cell>
        </row>
        <row r="80">
          <cell r="BP80" t="str">
            <v>CARLSBAD-OCEANSIDE</v>
          </cell>
          <cell r="BQ80">
            <v>4</v>
          </cell>
        </row>
        <row r="81">
          <cell r="BP81" t="str">
            <v>CHAMPAIGN-URBANA, IL</v>
          </cell>
          <cell r="BQ81">
            <v>0</v>
          </cell>
        </row>
        <row r="82">
          <cell r="BP82" t="str">
            <v>CHARLESTON</v>
          </cell>
          <cell r="BQ82">
            <v>0</v>
          </cell>
        </row>
        <row r="83">
          <cell r="BP83" t="str">
            <v>CHARLESTON AIRPORT-NORTH</v>
          </cell>
          <cell r="BQ83">
            <v>0</v>
          </cell>
        </row>
        <row r="84">
          <cell r="BP84" t="str">
            <v>CHARLESTON SOUTH</v>
          </cell>
          <cell r="BQ84">
            <v>0</v>
          </cell>
        </row>
        <row r="85">
          <cell r="BP85" t="str">
            <v>CHARLOTTE AIRPORT/WEST</v>
          </cell>
          <cell r="BQ85">
            <v>0</v>
          </cell>
        </row>
        <row r="86">
          <cell r="BP86" t="str">
            <v>CHARLOTTE DOWNTOWN / SOUTHPARK</v>
          </cell>
          <cell r="BQ86">
            <v>0</v>
          </cell>
        </row>
        <row r="87">
          <cell r="BP87" t="str">
            <v>CHARLOTTE EAST</v>
          </cell>
          <cell r="BQ87">
            <v>0</v>
          </cell>
        </row>
        <row r="88">
          <cell r="BP88" t="str">
            <v>CHARLOTTE NORTH</v>
          </cell>
          <cell r="BQ88">
            <v>0</v>
          </cell>
        </row>
        <row r="89">
          <cell r="BP89" t="str">
            <v>CHARLOTTE SOUTHWEST</v>
          </cell>
          <cell r="BQ89">
            <v>0</v>
          </cell>
        </row>
        <row r="90">
          <cell r="BP90" t="str">
            <v>CHARLOTTESVILLE, VA</v>
          </cell>
          <cell r="BQ90">
            <v>0</v>
          </cell>
        </row>
        <row r="91">
          <cell r="BP91" t="str">
            <v>CHATTANOOGA</v>
          </cell>
          <cell r="BQ91">
            <v>0</v>
          </cell>
        </row>
        <row r="92">
          <cell r="BP92" t="str">
            <v>CHATTANOOGA AREA</v>
          </cell>
          <cell r="BQ92">
            <v>0</v>
          </cell>
        </row>
        <row r="93">
          <cell r="BP93" t="str">
            <v>CHESAPEAKE</v>
          </cell>
          <cell r="BQ93">
            <v>0</v>
          </cell>
        </row>
        <row r="94">
          <cell r="BP94" t="str">
            <v>CHESAPEAKE/PORTSMOUTH</v>
          </cell>
          <cell r="BQ94">
            <v>2</v>
          </cell>
        </row>
        <row r="95">
          <cell r="BP95" t="str">
            <v>CHICAGO AIRPORT</v>
          </cell>
          <cell r="BQ95">
            <v>2</v>
          </cell>
        </row>
        <row r="96">
          <cell r="BP96" t="str">
            <v>CHICAGO CBD</v>
          </cell>
          <cell r="BQ96">
            <v>1</v>
          </cell>
        </row>
        <row r="97">
          <cell r="BP97" t="str">
            <v>CHICAGO DUPAGE CO.</v>
          </cell>
          <cell r="BQ97">
            <v>7</v>
          </cell>
        </row>
        <row r="98">
          <cell r="BP98" t="str">
            <v>CHICAGO NORTH</v>
          </cell>
          <cell r="BQ98">
            <v>3</v>
          </cell>
        </row>
        <row r="99">
          <cell r="BP99" t="str">
            <v>CHICAGO NORTHWEST</v>
          </cell>
          <cell r="BQ99">
            <v>4</v>
          </cell>
        </row>
        <row r="100">
          <cell r="BP100" t="str">
            <v>CHICAGO SOUTH</v>
          </cell>
          <cell r="BQ100">
            <v>5</v>
          </cell>
        </row>
        <row r="101">
          <cell r="BP101" t="str">
            <v>CHICAGO-MIDWAY</v>
          </cell>
          <cell r="BQ101">
            <v>6</v>
          </cell>
        </row>
        <row r="102">
          <cell r="BP102" t="str">
            <v>CINCINNATI CBD</v>
          </cell>
          <cell r="BQ102">
            <v>0</v>
          </cell>
        </row>
        <row r="103">
          <cell r="BP103" t="str">
            <v>CINCINNATI NORTH/EAST</v>
          </cell>
          <cell r="BQ103">
            <v>0</v>
          </cell>
        </row>
        <row r="104">
          <cell r="BP104" t="str">
            <v>CINCINNATI SOUTH</v>
          </cell>
          <cell r="BQ104">
            <v>0</v>
          </cell>
        </row>
        <row r="105">
          <cell r="BP105" t="str">
            <v>CLEARWATER</v>
          </cell>
          <cell r="BQ105">
            <v>4</v>
          </cell>
        </row>
        <row r="106">
          <cell r="BP106" t="str">
            <v>CLEVELAND AIRPORT</v>
          </cell>
          <cell r="BQ106">
            <v>0</v>
          </cell>
        </row>
        <row r="107">
          <cell r="BP107" t="str">
            <v>CLEVELAND CBD &amp; NORTH-EAST</v>
          </cell>
          <cell r="BQ107">
            <v>0</v>
          </cell>
        </row>
        <row r="108">
          <cell r="BP108" t="str">
            <v>CLEVELAND SOUTH-WEST</v>
          </cell>
          <cell r="BQ108">
            <v>0</v>
          </cell>
        </row>
        <row r="109">
          <cell r="BP109" t="str">
            <v>COLORADO CENTRAL-WEST</v>
          </cell>
          <cell r="BQ109">
            <v>0</v>
          </cell>
        </row>
        <row r="110">
          <cell r="BP110" t="str">
            <v>COLORADO EAST AREA</v>
          </cell>
          <cell r="BQ110">
            <v>0</v>
          </cell>
        </row>
        <row r="111">
          <cell r="BP111" t="str">
            <v>COLORADO NORTH-WEST</v>
          </cell>
          <cell r="BQ111">
            <v>0</v>
          </cell>
        </row>
        <row r="112">
          <cell r="BP112" t="str">
            <v>COLORADO SOUTH-WEST</v>
          </cell>
          <cell r="BQ112">
            <v>0</v>
          </cell>
        </row>
        <row r="113">
          <cell r="BP113" t="str">
            <v>COLORADO SPRINGS NORTH</v>
          </cell>
          <cell r="BQ113">
            <v>1</v>
          </cell>
        </row>
        <row r="114">
          <cell r="BP114" t="str">
            <v>COLORADO SPRINGS SO./AIRPORT</v>
          </cell>
          <cell r="BQ114">
            <v>2</v>
          </cell>
        </row>
        <row r="115">
          <cell r="BP115" t="str">
            <v>COLUMBIA EAST</v>
          </cell>
          <cell r="BQ115">
            <v>0</v>
          </cell>
        </row>
        <row r="116">
          <cell r="BP116" t="str">
            <v>COLUMBIA WEST</v>
          </cell>
          <cell r="BQ116">
            <v>0</v>
          </cell>
        </row>
        <row r="117">
          <cell r="BP117" t="str">
            <v>COLUMBIA-JEFFERSON</v>
          </cell>
          <cell r="BQ117">
            <v>0</v>
          </cell>
        </row>
        <row r="118">
          <cell r="BP118" t="str">
            <v>COLUMBUS &amp; WEST</v>
          </cell>
          <cell r="BQ118">
            <v>0</v>
          </cell>
        </row>
        <row r="119">
          <cell r="BP119" t="str">
            <v>COLUMBUS SOUTH-EAST</v>
          </cell>
          <cell r="BQ119">
            <v>0</v>
          </cell>
        </row>
        <row r="120">
          <cell r="BP120" t="str">
            <v>COLUMBUS-WORTHINGTON</v>
          </cell>
          <cell r="BQ120">
            <v>0</v>
          </cell>
        </row>
        <row r="121">
          <cell r="BP121" t="str">
            <v>CONCORD/WALNUT CREEK, CA</v>
          </cell>
          <cell r="BQ121">
            <v>0</v>
          </cell>
        </row>
        <row r="122">
          <cell r="BP122" t="str">
            <v>CONNECTICUT EAST-WEST</v>
          </cell>
          <cell r="BQ122">
            <v>0</v>
          </cell>
        </row>
        <row r="123">
          <cell r="BP123" t="str">
            <v>CORPUS CHRISTI, TX</v>
          </cell>
          <cell r="BQ123">
            <v>0</v>
          </cell>
        </row>
        <row r="124">
          <cell r="BP124" t="str">
            <v>COUNCIL BLUFFS, IA</v>
          </cell>
          <cell r="BQ124">
            <v>0</v>
          </cell>
        </row>
        <row r="125">
          <cell r="BP125" t="str">
            <v>DALLAS NORTH</v>
          </cell>
          <cell r="BQ125">
            <v>2</v>
          </cell>
        </row>
        <row r="126">
          <cell r="BP126" t="str">
            <v>DALLAS NORTH AREA</v>
          </cell>
          <cell r="BQ126">
            <v>5</v>
          </cell>
        </row>
        <row r="127">
          <cell r="BP127" t="str">
            <v>DALLAS NORTHWEST</v>
          </cell>
          <cell r="BQ127">
            <v>4</v>
          </cell>
        </row>
        <row r="128">
          <cell r="BP128" t="str">
            <v>DALLAS SOUTH-EAST</v>
          </cell>
          <cell r="BQ128">
            <v>3</v>
          </cell>
        </row>
        <row r="129">
          <cell r="BP129" t="str">
            <v>DALLAS/MARKET CENTER</v>
          </cell>
          <cell r="BQ129">
            <v>1</v>
          </cell>
        </row>
        <row r="130">
          <cell r="BP130" t="str">
            <v>DAVENPORT</v>
          </cell>
          <cell r="BQ130">
            <v>0</v>
          </cell>
        </row>
        <row r="131">
          <cell r="BP131" t="str">
            <v>DAYTON, OH</v>
          </cell>
          <cell r="BQ131">
            <v>0</v>
          </cell>
        </row>
        <row r="132">
          <cell r="BP132" t="str">
            <v>DAYTONA BEACH NORTH</v>
          </cell>
          <cell r="BQ132">
            <v>0</v>
          </cell>
        </row>
        <row r="133">
          <cell r="BP133" t="str">
            <v>DAYTONA BEACH SOUTH</v>
          </cell>
          <cell r="BQ133">
            <v>0</v>
          </cell>
        </row>
        <row r="134">
          <cell r="BP134" t="str">
            <v>DELAWARE AREA</v>
          </cell>
          <cell r="BQ134">
            <v>0</v>
          </cell>
        </row>
        <row r="135">
          <cell r="BP135" t="str">
            <v>DENVER AIRPORT/EAST</v>
          </cell>
          <cell r="BQ135">
            <v>2</v>
          </cell>
        </row>
        <row r="136">
          <cell r="BP136" t="str">
            <v>DENVER CBD</v>
          </cell>
          <cell r="BQ136">
            <v>1</v>
          </cell>
        </row>
        <row r="137">
          <cell r="BP137" t="str">
            <v>DENVER NORTH</v>
          </cell>
          <cell r="BQ137">
            <v>3</v>
          </cell>
        </row>
        <row r="138">
          <cell r="BP138" t="str">
            <v>DENVER SOUTH</v>
          </cell>
          <cell r="BQ138">
            <v>4</v>
          </cell>
        </row>
        <row r="139">
          <cell r="BP139" t="str">
            <v>DENVER WEST</v>
          </cell>
          <cell r="BQ139">
            <v>5</v>
          </cell>
        </row>
        <row r="140">
          <cell r="BP140" t="str">
            <v>DES MOINES AIRPORT/WEST</v>
          </cell>
          <cell r="BQ140">
            <v>0</v>
          </cell>
        </row>
        <row r="141">
          <cell r="BP141" t="str">
            <v>DES MOINES DOWNTOWN/NORTH</v>
          </cell>
          <cell r="BQ141">
            <v>0</v>
          </cell>
        </row>
        <row r="142">
          <cell r="BP142" t="str">
            <v>DES MOINES, IA</v>
          </cell>
          <cell r="BQ142">
            <v>0</v>
          </cell>
        </row>
        <row r="143">
          <cell r="BP143" t="str">
            <v>DETROIT NORTH</v>
          </cell>
          <cell r="BQ143">
            <v>3</v>
          </cell>
        </row>
        <row r="144">
          <cell r="BP144" t="str">
            <v>DETROIT NORTHEAST</v>
          </cell>
          <cell r="BQ144">
            <v>4</v>
          </cell>
        </row>
        <row r="145">
          <cell r="BP145" t="str">
            <v>DETROIT NORTHWEST</v>
          </cell>
          <cell r="BQ145">
            <v>5</v>
          </cell>
        </row>
        <row r="146">
          <cell r="BP146" t="str">
            <v>DETROIT SOUTHWEST-AIRPORT</v>
          </cell>
          <cell r="BQ146">
            <v>2</v>
          </cell>
        </row>
        <row r="147">
          <cell r="BP147" t="str">
            <v>DETROIT/DEARBORN</v>
          </cell>
          <cell r="BQ147">
            <v>1</v>
          </cell>
        </row>
        <row r="148">
          <cell r="BP148" t="str">
            <v>DOTHAN, AL</v>
          </cell>
          <cell r="BQ148">
            <v>0</v>
          </cell>
        </row>
        <row r="149">
          <cell r="BP149" t="str">
            <v>DURHAM</v>
          </cell>
          <cell r="BQ149">
            <v>0</v>
          </cell>
        </row>
        <row r="150">
          <cell r="BP150" t="str">
            <v>DURHAM SOUTH</v>
          </cell>
          <cell r="BQ150">
            <v>0</v>
          </cell>
        </row>
        <row r="151">
          <cell r="BP151" t="str">
            <v>EAST IOWA AREA</v>
          </cell>
          <cell r="BQ151">
            <v>0</v>
          </cell>
        </row>
        <row r="152">
          <cell r="BP152" t="str">
            <v>EASTERN ARIZONA</v>
          </cell>
          <cell r="BQ152">
            <v>6</v>
          </cell>
        </row>
        <row r="153">
          <cell r="BP153" t="str">
            <v>EL PASO, TX</v>
          </cell>
          <cell r="BQ153">
            <v>0</v>
          </cell>
        </row>
        <row r="154">
          <cell r="BP154" t="str">
            <v>ENGLEWOOD</v>
          </cell>
          <cell r="BQ154">
            <v>6</v>
          </cell>
        </row>
        <row r="155">
          <cell r="BP155" t="str">
            <v>ESSEX COUNTY</v>
          </cell>
          <cell r="BQ155">
            <v>6</v>
          </cell>
        </row>
        <row r="156">
          <cell r="BP156" t="str">
            <v>EUGENE</v>
          </cell>
          <cell r="BQ156">
            <v>0</v>
          </cell>
        </row>
        <row r="157">
          <cell r="BP157" t="str">
            <v>EVANSVILLE</v>
          </cell>
          <cell r="BQ157">
            <v>0</v>
          </cell>
        </row>
        <row r="158">
          <cell r="BP158" t="str">
            <v>FAIRFAX</v>
          </cell>
          <cell r="BQ158">
            <v>4</v>
          </cell>
        </row>
        <row r="159">
          <cell r="BP159" t="str">
            <v>FARGO, ND</v>
          </cell>
          <cell r="BQ159">
            <v>0</v>
          </cell>
        </row>
        <row r="160">
          <cell r="BP160" t="str">
            <v>FAYETTEVILLE-FORT SMITH</v>
          </cell>
          <cell r="BQ160">
            <v>0</v>
          </cell>
        </row>
        <row r="161">
          <cell r="BP161" t="str">
            <v>FAYETTEVILLE-LUMBERTON</v>
          </cell>
          <cell r="BQ161">
            <v>0</v>
          </cell>
        </row>
        <row r="162">
          <cell r="BP162" t="str">
            <v>FLAGSTAFF</v>
          </cell>
          <cell r="BQ162">
            <v>5</v>
          </cell>
        </row>
        <row r="163">
          <cell r="BP163" t="str">
            <v>FLORENCE/DILLON</v>
          </cell>
          <cell r="BQ163">
            <v>0</v>
          </cell>
        </row>
        <row r="164">
          <cell r="BP164" t="str">
            <v>FLORIDA CENTRAL AREA</v>
          </cell>
          <cell r="BQ164">
            <v>0</v>
          </cell>
        </row>
        <row r="165">
          <cell r="BP165" t="str">
            <v>FLORIDA NORTH AREA</v>
          </cell>
          <cell r="BQ165">
            <v>1</v>
          </cell>
        </row>
        <row r="166">
          <cell r="BP166" t="str">
            <v>FORT COLLINS-LOVELAND, CO</v>
          </cell>
          <cell r="BQ166">
            <v>0</v>
          </cell>
        </row>
        <row r="167">
          <cell r="BP167" t="str">
            <v>FORT DODGE-AMES</v>
          </cell>
          <cell r="BQ167">
            <v>0</v>
          </cell>
        </row>
        <row r="168">
          <cell r="BP168" t="str">
            <v>FORT LAUDERDALE EAST</v>
          </cell>
          <cell r="BQ168">
            <v>0</v>
          </cell>
        </row>
        <row r="169">
          <cell r="BP169" t="str">
            <v>FORT LAUDERDALE NORTH</v>
          </cell>
          <cell r="BQ169">
            <v>0</v>
          </cell>
        </row>
        <row r="170">
          <cell r="BP170" t="str">
            <v>FORT LAUDERDALE SOUTH</v>
          </cell>
          <cell r="BQ170">
            <v>0</v>
          </cell>
        </row>
        <row r="171">
          <cell r="BP171" t="str">
            <v>FORT LAUDERDALE WEST</v>
          </cell>
          <cell r="BQ171">
            <v>0</v>
          </cell>
        </row>
        <row r="172">
          <cell r="BP172" t="str">
            <v>FORT MYERS-BONITA SPRINGS</v>
          </cell>
          <cell r="BQ172">
            <v>0</v>
          </cell>
        </row>
        <row r="173">
          <cell r="BP173" t="str">
            <v>FORT PIERCE, FL</v>
          </cell>
          <cell r="BQ173">
            <v>4</v>
          </cell>
        </row>
        <row r="174">
          <cell r="BP174" t="str">
            <v>FORT WALTON BEACH, FL</v>
          </cell>
          <cell r="BQ174">
            <v>3</v>
          </cell>
        </row>
        <row r="175">
          <cell r="BP175" t="str">
            <v>FORT WAYNE, IN</v>
          </cell>
          <cell r="BQ175">
            <v>0</v>
          </cell>
        </row>
        <row r="176">
          <cell r="BP176" t="str">
            <v>FORT WORTH CBD</v>
          </cell>
          <cell r="BQ176">
            <v>0</v>
          </cell>
        </row>
        <row r="177">
          <cell r="BP177" t="str">
            <v>FREDERICK-ROCKVILLE</v>
          </cell>
          <cell r="BQ177">
            <v>6</v>
          </cell>
        </row>
        <row r="178">
          <cell r="BP178" t="str">
            <v>FRESNO, CA</v>
          </cell>
          <cell r="BQ178">
            <v>0</v>
          </cell>
        </row>
        <row r="179">
          <cell r="BP179" t="str">
            <v>GAINESVILLE, FL</v>
          </cell>
          <cell r="BQ179">
            <v>2</v>
          </cell>
        </row>
        <row r="180">
          <cell r="BP180" t="str">
            <v>GALVESTON-TEXAS CITY, TX</v>
          </cell>
          <cell r="BQ180">
            <v>0</v>
          </cell>
        </row>
        <row r="181">
          <cell r="BP181" t="str">
            <v>GARY-HAMMOND, IN</v>
          </cell>
          <cell r="BQ181">
            <v>0</v>
          </cell>
        </row>
        <row r="182">
          <cell r="BP182" t="str">
            <v>GATLINBURG</v>
          </cell>
          <cell r="BQ182">
            <v>0</v>
          </cell>
        </row>
        <row r="183">
          <cell r="BP183" t="str">
            <v>GEORGIA NORTH AREA</v>
          </cell>
          <cell r="BQ183">
            <v>0</v>
          </cell>
        </row>
        <row r="184">
          <cell r="BP184" t="str">
            <v>GEORGIA SOUTH AREA</v>
          </cell>
          <cell r="BQ184">
            <v>0</v>
          </cell>
        </row>
        <row r="185">
          <cell r="BP185" t="str">
            <v>GRAND RAPIDS, MI</v>
          </cell>
          <cell r="BQ185">
            <v>0</v>
          </cell>
        </row>
        <row r="186">
          <cell r="BP186" t="str">
            <v>GREEN BAY, WI</v>
          </cell>
          <cell r="BQ186">
            <v>0</v>
          </cell>
        </row>
        <row r="187">
          <cell r="BP187" t="str">
            <v>GREENSBORO</v>
          </cell>
          <cell r="BQ187">
            <v>0</v>
          </cell>
        </row>
        <row r="188">
          <cell r="BP188" t="str">
            <v>GREENSBORO-WINSTON-SALEM AREA</v>
          </cell>
          <cell r="BQ188">
            <v>0</v>
          </cell>
        </row>
        <row r="189">
          <cell r="BP189" t="str">
            <v>GREENVILLE</v>
          </cell>
          <cell r="BQ189">
            <v>0</v>
          </cell>
        </row>
        <row r="190">
          <cell r="BP190" t="str">
            <v>HACKENSACK SOUTH</v>
          </cell>
          <cell r="BQ190">
            <v>2</v>
          </cell>
        </row>
        <row r="191">
          <cell r="BP191" t="str">
            <v>HARRISBURG/HERSHEY PA</v>
          </cell>
          <cell r="BQ191">
            <v>0</v>
          </cell>
        </row>
        <row r="192">
          <cell r="BP192" t="str">
            <v>HARTFORD NORTH</v>
          </cell>
          <cell r="BQ192">
            <v>0</v>
          </cell>
        </row>
        <row r="193">
          <cell r="BP193" t="str">
            <v>HARTFORD SOUTH</v>
          </cell>
          <cell r="BQ193">
            <v>0</v>
          </cell>
        </row>
        <row r="194">
          <cell r="BP194" t="str">
            <v>HAWAII</v>
          </cell>
          <cell r="BQ194">
            <v>1</v>
          </cell>
        </row>
        <row r="195">
          <cell r="BP195" t="str">
            <v>HENRICO</v>
          </cell>
          <cell r="BQ195">
            <v>3</v>
          </cell>
        </row>
        <row r="196">
          <cell r="BP196" t="str">
            <v>HILTON HEAD</v>
          </cell>
          <cell r="BQ196">
            <v>0</v>
          </cell>
        </row>
        <row r="197">
          <cell r="BP197" t="str">
            <v>HOLLYWOOD-BEVERLY HILLS</v>
          </cell>
          <cell r="BQ197">
            <v>7</v>
          </cell>
        </row>
        <row r="198">
          <cell r="BP198" t="str">
            <v>HOT SPRINGS</v>
          </cell>
          <cell r="BQ198">
            <v>0</v>
          </cell>
        </row>
        <row r="199">
          <cell r="BP199" t="str">
            <v>HOUSTON EAST/NASA/BAYTOWN</v>
          </cell>
          <cell r="BQ199">
            <v>2</v>
          </cell>
        </row>
        <row r="200">
          <cell r="BP200" t="str">
            <v>HOUSTON NORTH</v>
          </cell>
          <cell r="BQ200">
            <v>3</v>
          </cell>
        </row>
        <row r="201">
          <cell r="BP201" t="str">
            <v>HOUSTON NORTHWEST</v>
          </cell>
          <cell r="BQ201">
            <v>4</v>
          </cell>
        </row>
        <row r="202">
          <cell r="BP202" t="str">
            <v>HOUSTON SOUTHWEST</v>
          </cell>
          <cell r="BQ202">
            <v>5</v>
          </cell>
        </row>
        <row r="203">
          <cell r="BP203" t="str">
            <v>HOUSTON WEST</v>
          </cell>
          <cell r="BQ203">
            <v>6</v>
          </cell>
        </row>
        <row r="204">
          <cell r="BP204" t="str">
            <v>HOUSTON/SOUTH</v>
          </cell>
          <cell r="BQ204">
            <v>1</v>
          </cell>
        </row>
        <row r="205">
          <cell r="BP205" t="str">
            <v>HUNTSVILLE, AL</v>
          </cell>
          <cell r="BQ205">
            <v>0</v>
          </cell>
        </row>
        <row r="206">
          <cell r="B206" t="str">
            <v>Deutsche Bank Independent Look Up</v>
          </cell>
          <cell r="BP206" t="str">
            <v>I - 25 CORRIDOR</v>
          </cell>
          <cell r="BQ206">
            <v>0</v>
          </cell>
        </row>
        <row r="207">
          <cell r="B207" t="str">
            <v>Affiliation Undetermined</v>
          </cell>
          <cell r="C207" t="str">
            <v>j</v>
          </cell>
          <cell r="BP207" t="str">
            <v>I - 80 CORRIDOR</v>
          </cell>
          <cell r="BQ207">
            <v>0</v>
          </cell>
        </row>
        <row r="208">
          <cell r="B208" t="str">
            <v>Casino</v>
          </cell>
          <cell r="C208" t="str">
            <v>k</v>
          </cell>
          <cell r="BP208" t="str">
            <v>I - 81/I - 77 CROSSROADS</v>
          </cell>
          <cell r="BQ208">
            <v>0</v>
          </cell>
        </row>
        <row r="209">
          <cell r="B209" t="str">
            <v>Economy/Budget</v>
          </cell>
          <cell r="C209" t="str">
            <v>ff</v>
          </cell>
          <cell r="BP209" t="str">
            <v>I-15 CORRIDOR</v>
          </cell>
          <cell r="BQ209">
            <v>0</v>
          </cell>
        </row>
        <row r="210">
          <cell r="B210" t="str">
            <v>Luxury/First Class</v>
          </cell>
          <cell r="C210" t="str">
            <v>aa</v>
          </cell>
          <cell r="BP210" t="str">
            <v>I-70 CORRIDOR</v>
          </cell>
          <cell r="BQ210">
            <v>0</v>
          </cell>
        </row>
        <row r="211">
          <cell r="B211" t="str">
            <v>Mid-Market (Full-Service)</v>
          </cell>
          <cell r="C211" t="str">
            <v>dd</v>
          </cell>
          <cell r="BP211" t="str">
            <v>I-75 CORRIDOR</v>
          </cell>
          <cell r="BQ211">
            <v>0</v>
          </cell>
        </row>
        <row r="212">
          <cell r="B212" t="str">
            <v>Mid-Market (Limited-Service)</v>
          </cell>
          <cell r="C212" t="str">
            <v>ee</v>
          </cell>
          <cell r="BP212" t="str">
            <v>I-80 CORRIDOR</v>
          </cell>
          <cell r="BQ212">
            <v>0</v>
          </cell>
        </row>
        <row r="213">
          <cell r="B213" t="str">
            <v>Upscale</v>
          </cell>
          <cell r="C213" t="str">
            <v>bb</v>
          </cell>
          <cell r="BP213" t="str">
            <v>I-94 CORRIDOR</v>
          </cell>
          <cell r="BQ213">
            <v>0</v>
          </cell>
        </row>
        <row r="214">
          <cell r="BP214" t="str">
            <v>I-95 CORRIDOR</v>
          </cell>
          <cell r="BQ214">
            <v>0</v>
          </cell>
        </row>
        <row r="215">
          <cell r="BP215" t="str">
            <v>IDAHO NORTH</v>
          </cell>
          <cell r="BQ215">
            <v>0</v>
          </cell>
        </row>
        <row r="216">
          <cell r="BP216" t="str">
            <v>IDAHO SOUTHEAST</v>
          </cell>
          <cell r="BQ216">
            <v>0</v>
          </cell>
        </row>
        <row r="217">
          <cell r="BP217" t="str">
            <v>IDAHO SOUTHWEST</v>
          </cell>
          <cell r="BQ217">
            <v>0</v>
          </cell>
        </row>
        <row r="218">
          <cell r="BP218" t="str">
            <v>ILLINOIS NORTH AREA</v>
          </cell>
          <cell r="BQ218">
            <v>0</v>
          </cell>
        </row>
        <row r="219">
          <cell r="BP219" t="str">
            <v>ILLINOIS SOUTH AREA</v>
          </cell>
          <cell r="BQ219">
            <v>0</v>
          </cell>
        </row>
        <row r="220">
          <cell r="BP220" t="str">
            <v>INDIANA NORTH AREA</v>
          </cell>
          <cell r="BQ220">
            <v>0</v>
          </cell>
        </row>
        <row r="221">
          <cell r="BP221" t="str">
            <v>INDIANA SOUTH AREA</v>
          </cell>
          <cell r="BQ221">
            <v>0</v>
          </cell>
        </row>
        <row r="222">
          <cell r="BP222" t="str">
            <v>INDIANAPOLIS AIRPORT-WEST</v>
          </cell>
          <cell r="BQ222">
            <v>2</v>
          </cell>
        </row>
        <row r="223">
          <cell r="BP223" t="str">
            <v>INDIANAPOLIS DOWNTOWN/EAST</v>
          </cell>
          <cell r="BQ223">
            <v>1</v>
          </cell>
        </row>
        <row r="224">
          <cell r="BP224" t="str">
            <v>INDIANAPOLIS SOUTH</v>
          </cell>
          <cell r="BQ224">
            <v>4</v>
          </cell>
        </row>
        <row r="225">
          <cell r="BP225" t="str">
            <v>INDIANAPOLIS-NORTH</v>
          </cell>
          <cell r="BQ225">
            <v>3</v>
          </cell>
        </row>
        <row r="226">
          <cell r="BP226" t="str">
            <v>INYO/KINGS/TULARE, CA</v>
          </cell>
          <cell r="BQ226">
            <v>0</v>
          </cell>
        </row>
        <row r="227">
          <cell r="BP227" t="str">
            <v>IOWA CITY-WATERLOO</v>
          </cell>
          <cell r="BQ227">
            <v>0</v>
          </cell>
        </row>
        <row r="228">
          <cell r="BP228" t="str">
            <v>IRVING NORTH</v>
          </cell>
          <cell r="BQ228">
            <v>6</v>
          </cell>
        </row>
        <row r="229">
          <cell r="BP229" t="str">
            <v>IRVING SOUTH/GRAND PRAIRIE</v>
          </cell>
          <cell r="BQ229">
            <v>7</v>
          </cell>
        </row>
        <row r="230">
          <cell r="BP230" t="str">
            <v>ITHACA/ELMIRA</v>
          </cell>
          <cell r="BQ230">
            <v>0</v>
          </cell>
        </row>
        <row r="231">
          <cell r="BP231" t="str">
            <v>JACKSON MS NORTH</v>
          </cell>
          <cell r="BQ231">
            <v>0</v>
          </cell>
        </row>
        <row r="232">
          <cell r="BP232" t="str">
            <v>JACKSON MS SOUTH</v>
          </cell>
          <cell r="BQ232">
            <v>0</v>
          </cell>
        </row>
        <row r="233">
          <cell r="BP233" t="str">
            <v>JACKSON, MS NORTH</v>
          </cell>
          <cell r="BQ233">
            <v>0</v>
          </cell>
        </row>
        <row r="234">
          <cell r="BP234" t="str">
            <v>JACKSONVILLE AIRPORT-NORTHEAST</v>
          </cell>
          <cell r="BQ234">
            <v>0</v>
          </cell>
        </row>
        <row r="235">
          <cell r="BP235" t="str">
            <v>JACKSONVILLE BEACH</v>
          </cell>
          <cell r="BQ235">
            <v>0</v>
          </cell>
        </row>
        <row r="236">
          <cell r="BP236" t="str">
            <v>JACKSONVILLE SOUTH-WEST</v>
          </cell>
          <cell r="BQ236">
            <v>0</v>
          </cell>
        </row>
        <row r="237">
          <cell r="BP237" t="str">
            <v>JACKSONVILLE, FL-S.E.</v>
          </cell>
          <cell r="BQ237">
            <v>0</v>
          </cell>
        </row>
        <row r="238">
          <cell r="BP238" t="str">
            <v>JOHNSON CITY-BRISTOL, TN-VA</v>
          </cell>
          <cell r="BQ238">
            <v>0</v>
          </cell>
        </row>
        <row r="239">
          <cell r="BP239" t="str">
            <v>JOLIET, IL</v>
          </cell>
          <cell r="BQ239">
            <v>0</v>
          </cell>
        </row>
        <row r="240">
          <cell r="BP240" t="str">
            <v>KALAMAZOO-BATTLE CREEK</v>
          </cell>
          <cell r="BQ240">
            <v>3</v>
          </cell>
        </row>
        <row r="241">
          <cell r="BP241" t="str">
            <v>KANSAS AREA</v>
          </cell>
          <cell r="BQ241">
            <v>0</v>
          </cell>
        </row>
        <row r="242">
          <cell r="BP242" t="str">
            <v>KANSAS CITY CBD</v>
          </cell>
          <cell r="BQ242">
            <v>0</v>
          </cell>
        </row>
        <row r="243">
          <cell r="BP243" t="str">
            <v>KANSAS CITY NORTH-AIRPORT</v>
          </cell>
          <cell r="BQ243">
            <v>0</v>
          </cell>
        </row>
        <row r="244">
          <cell r="BP244" t="str">
            <v>KANSAS CITY, MO AREA</v>
          </cell>
          <cell r="BQ244">
            <v>0</v>
          </cell>
        </row>
        <row r="245">
          <cell r="BP245" t="str">
            <v>KAUAI</v>
          </cell>
          <cell r="BQ245">
            <v>2</v>
          </cell>
        </row>
        <row r="246">
          <cell r="BP246" t="str">
            <v>KENTUCKY EAST AREA</v>
          </cell>
          <cell r="BQ246">
            <v>0</v>
          </cell>
        </row>
        <row r="247">
          <cell r="BP247" t="str">
            <v>KENTUCKY WEST AREA</v>
          </cell>
          <cell r="BQ247">
            <v>0</v>
          </cell>
        </row>
        <row r="248">
          <cell r="BP248" t="str">
            <v>KEY WEST</v>
          </cell>
          <cell r="BQ248">
            <v>0</v>
          </cell>
        </row>
        <row r="249">
          <cell r="BP249" t="str">
            <v>KILLEEN-TEMPLE, TX</v>
          </cell>
          <cell r="BQ249">
            <v>0</v>
          </cell>
        </row>
        <row r="250">
          <cell r="BP250" t="str">
            <v>KISSIMMEE EAST</v>
          </cell>
          <cell r="BQ250">
            <v>5</v>
          </cell>
        </row>
        <row r="251">
          <cell r="BP251" t="str">
            <v>KISSIMMEE WEST</v>
          </cell>
          <cell r="BQ251">
            <v>6</v>
          </cell>
        </row>
        <row r="252">
          <cell r="BP252" t="str">
            <v>KNOXVILLE</v>
          </cell>
          <cell r="BQ252">
            <v>0</v>
          </cell>
        </row>
        <row r="253">
          <cell r="BP253" t="str">
            <v>KNOXVILLE TN AREA</v>
          </cell>
          <cell r="BQ253">
            <v>0</v>
          </cell>
        </row>
        <row r="254">
          <cell r="BP254" t="str">
            <v>LA JOLLA-POINT LOMA</v>
          </cell>
          <cell r="BQ254">
            <v>5</v>
          </cell>
        </row>
        <row r="255">
          <cell r="BP255" t="str">
            <v>LAFAYETTE, LA</v>
          </cell>
          <cell r="BQ255">
            <v>0</v>
          </cell>
        </row>
        <row r="256">
          <cell r="BP256" t="str">
            <v>LAKE BUENA VISTA</v>
          </cell>
          <cell r="BQ256">
            <v>7</v>
          </cell>
        </row>
        <row r="257">
          <cell r="BP257" t="str">
            <v>LAKE COUNTY, IL</v>
          </cell>
          <cell r="BQ257">
            <v>0</v>
          </cell>
        </row>
        <row r="258">
          <cell r="BP258" t="str">
            <v>LAKELAND-WINTER HAVEN, FL</v>
          </cell>
          <cell r="BQ258">
            <v>0</v>
          </cell>
        </row>
        <row r="259">
          <cell r="BP259" t="str">
            <v>LANCASTER, PA</v>
          </cell>
          <cell r="BQ259">
            <v>0</v>
          </cell>
        </row>
        <row r="260">
          <cell r="BP260" t="str">
            <v>LANSING-EAST LANSING, MI</v>
          </cell>
          <cell r="BQ260">
            <v>2</v>
          </cell>
        </row>
        <row r="261">
          <cell r="BP261" t="str">
            <v>LAS CRUCES/DEMING, NM</v>
          </cell>
          <cell r="BQ261">
            <v>0</v>
          </cell>
        </row>
        <row r="262">
          <cell r="BP262" t="str">
            <v>LAS VEGAS STRIP</v>
          </cell>
          <cell r="BQ262">
            <v>1</v>
          </cell>
        </row>
        <row r="263">
          <cell r="BP263" t="str">
            <v>LAS VEGAS-NORTH</v>
          </cell>
          <cell r="BQ263">
            <v>2</v>
          </cell>
        </row>
        <row r="264">
          <cell r="BP264" t="str">
            <v>LAS VEGAS-SOUTH</v>
          </cell>
          <cell r="BQ264">
            <v>3</v>
          </cell>
        </row>
        <row r="265">
          <cell r="BP265" t="str">
            <v>LEXINGTON-FAYETTE, KY</v>
          </cell>
          <cell r="BQ265">
            <v>0</v>
          </cell>
        </row>
        <row r="266">
          <cell r="BP266" t="str">
            <v>LEXINGTON-WINCHESTER</v>
          </cell>
          <cell r="BQ266">
            <v>0</v>
          </cell>
        </row>
        <row r="267">
          <cell r="BP267" t="str">
            <v>LINCOLN, NE</v>
          </cell>
          <cell r="BQ267">
            <v>0</v>
          </cell>
        </row>
        <row r="268">
          <cell r="BP268" t="str">
            <v>LITTLE ROCK</v>
          </cell>
          <cell r="BQ268">
            <v>0</v>
          </cell>
        </row>
        <row r="269">
          <cell r="BP269" t="str">
            <v>LITTLE ROCK NORTH-EAST</v>
          </cell>
          <cell r="BQ269">
            <v>0</v>
          </cell>
        </row>
        <row r="270">
          <cell r="BP270" t="str">
            <v>LONG BEACH</v>
          </cell>
          <cell r="BQ270">
            <v>9</v>
          </cell>
        </row>
        <row r="271">
          <cell r="BP271" t="str">
            <v>LONGVIEW-MARSHALL, TX</v>
          </cell>
          <cell r="BQ271">
            <v>0</v>
          </cell>
        </row>
        <row r="272">
          <cell r="BP272" t="str">
            <v>LOS ANGELES AIRPORT</v>
          </cell>
          <cell r="BQ272">
            <v>2</v>
          </cell>
        </row>
        <row r="273">
          <cell r="BP273" t="str">
            <v>LOS ANGELES CBD</v>
          </cell>
          <cell r="BQ273">
            <v>1</v>
          </cell>
        </row>
        <row r="274">
          <cell r="BP274" t="str">
            <v>LOS ANGELES EAST</v>
          </cell>
          <cell r="BQ274">
            <v>3</v>
          </cell>
        </row>
        <row r="275">
          <cell r="BP275" t="str">
            <v>LOS ANGELES NORTH</v>
          </cell>
          <cell r="BQ275">
            <v>4</v>
          </cell>
        </row>
        <row r="276">
          <cell r="BP276" t="str">
            <v>LOS ANGELES SOUTHEAST</v>
          </cell>
          <cell r="BQ276">
            <v>6</v>
          </cell>
        </row>
        <row r="277">
          <cell r="BP277" t="str">
            <v>LOS ANGELES SOUTHWEST</v>
          </cell>
          <cell r="BQ277">
            <v>5</v>
          </cell>
        </row>
        <row r="278">
          <cell r="BP278" t="str">
            <v>LOUISIANA NORTH AREA</v>
          </cell>
          <cell r="BQ278">
            <v>0</v>
          </cell>
        </row>
        <row r="279">
          <cell r="BP279" t="str">
            <v>LOUISIANA SOUTH AREA</v>
          </cell>
          <cell r="BQ279">
            <v>0</v>
          </cell>
        </row>
        <row r="280">
          <cell r="BP280" t="str">
            <v>LOUISVILLE</v>
          </cell>
          <cell r="BQ280">
            <v>0</v>
          </cell>
        </row>
        <row r="281">
          <cell r="BP281" t="str">
            <v>LOUISVILLE AREA</v>
          </cell>
          <cell r="BQ281">
            <v>0</v>
          </cell>
        </row>
        <row r="282">
          <cell r="BP282" t="str">
            <v>LOUISVILLE NORTH</v>
          </cell>
          <cell r="BQ282">
            <v>0</v>
          </cell>
        </row>
        <row r="283">
          <cell r="BP283" t="str">
            <v>LOWER MI NORTH/CENTRAL</v>
          </cell>
          <cell r="BQ283">
            <v>0</v>
          </cell>
        </row>
        <row r="284">
          <cell r="BP284" t="str">
            <v>LOWER MI NORTHWEST</v>
          </cell>
          <cell r="BQ284">
            <v>0</v>
          </cell>
        </row>
        <row r="285">
          <cell r="BP285" t="str">
            <v>MACON, GA</v>
          </cell>
          <cell r="BQ285">
            <v>0</v>
          </cell>
        </row>
        <row r="286">
          <cell r="BP286" t="str">
            <v>MADISON, WI</v>
          </cell>
          <cell r="BQ286">
            <v>0</v>
          </cell>
        </row>
        <row r="287">
          <cell r="BP287" t="str">
            <v>MAINE AREA</v>
          </cell>
          <cell r="BQ287">
            <v>0</v>
          </cell>
        </row>
        <row r="288">
          <cell r="BP288" t="str">
            <v>MANHATTAN-EAST</v>
          </cell>
          <cell r="BQ288">
            <v>1</v>
          </cell>
        </row>
        <row r="289">
          <cell r="BP289" t="str">
            <v>MANHATTAN-WEST</v>
          </cell>
          <cell r="BQ289">
            <v>2</v>
          </cell>
        </row>
        <row r="290">
          <cell r="BP290" t="str">
            <v>MARYLAND WEST</v>
          </cell>
          <cell r="BQ290">
            <v>0</v>
          </cell>
        </row>
        <row r="291">
          <cell r="BP291" t="str">
            <v>MASSACHUSETTS SOUTHEAST</v>
          </cell>
          <cell r="BQ291">
            <v>3</v>
          </cell>
        </row>
        <row r="292">
          <cell r="BP292" t="str">
            <v>MASSACHUSETTS WEST</v>
          </cell>
          <cell r="BQ292">
            <v>4</v>
          </cell>
        </row>
        <row r="293">
          <cell r="BP293" t="str">
            <v>MAUI AREA</v>
          </cell>
          <cell r="BQ293">
            <v>0</v>
          </cell>
        </row>
        <row r="294">
          <cell r="BP294" t="str">
            <v>MCALLEN, TX</v>
          </cell>
          <cell r="BQ294">
            <v>0</v>
          </cell>
        </row>
        <row r="295">
          <cell r="BP295" t="str">
            <v>MELBOURNE-PALM BAY</v>
          </cell>
          <cell r="BQ295">
            <v>0</v>
          </cell>
        </row>
        <row r="296">
          <cell r="BP296" t="str">
            <v>MEMPHIS AIRPORT &amp; SOUTH</v>
          </cell>
          <cell r="BQ296">
            <v>2</v>
          </cell>
        </row>
        <row r="297">
          <cell r="BP297" t="str">
            <v>MEMPHIS CBD</v>
          </cell>
          <cell r="BQ297">
            <v>1</v>
          </cell>
        </row>
        <row r="298">
          <cell r="BP298" t="str">
            <v>MEMPHIS EAST</v>
          </cell>
          <cell r="BQ298">
            <v>3</v>
          </cell>
        </row>
        <row r="299">
          <cell r="BP299" t="str">
            <v xml:space="preserve">MESA/CHANDLER </v>
          </cell>
          <cell r="BQ299">
            <v>5</v>
          </cell>
        </row>
        <row r="300">
          <cell r="BP300" t="str">
            <v>METARIE-AIRPORT</v>
          </cell>
          <cell r="BQ300">
            <v>3</v>
          </cell>
        </row>
        <row r="301">
          <cell r="BP301" t="str">
            <v>MIAMI AIRPORT-CIVIC CENTER</v>
          </cell>
          <cell r="BQ301">
            <v>2</v>
          </cell>
        </row>
        <row r="302">
          <cell r="BP302" t="str">
            <v>MIAMI BEACH</v>
          </cell>
          <cell r="BQ302">
            <v>3</v>
          </cell>
        </row>
        <row r="303">
          <cell r="BP303" t="str">
            <v>MIAMI DOWNTOWN-NORTH</v>
          </cell>
          <cell r="BQ303">
            <v>1</v>
          </cell>
        </row>
        <row r="304">
          <cell r="BP304" t="str">
            <v>MIAMI SOUTH</v>
          </cell>
          <cell r="BQ304">
            <v>4</v>
          </cell>
        </row>
        <row r="305">
          <cell r="BP305" t="str">
            <v>MICHIGAN CITY-SOUTH BEND-ELKHART</v>
          </cell>
          <cell r="BQ305">
            <v>0</v>
          </cell>
        </row>
        <row r="306">
          <cell r="BP306" t="str">
            <v>MICHIGAN SOUTHWEST</v>
          </cell>
          <cell r="BQ306">
            <v>4</v>
          </cell>
        </row>
        <row r="307">
          <cell r="BP307" t="str">
            <v>MIDDLESEX-HUNTERDON</v>
          </cell>
          <cell r="BQ307">
            <v>0</v>
          </cell>
        </row>
        <row r="308">
          <cell r="BP308" t="str">
            <v>MIDLAND-FLINT</v>
          </cell>
          <cell r="BQ308">
            <v>0</v>
          </cell>
        </row>
        <row r="309">
          <cell r="BP309" t="str">
            <v>MIDLAND-ODESSA</v>
          </cell>
          <cell r="BQ309">
            <v>0</v>
          </cell>
        </row>
        <row r="310">
          <cell r="BP310" t="str">
            <v>MILWAUKEE CBD</v>
          </cell>
          <cell r="BQ310">
            <v>0</v>
          </cell>
        </row>
        <row r="311">
          <cell r="BP311" t="str">
            <v>MILWAUKEE NORTH</v>
          </cell>
          <cell r="BQ311">
            <v>0</v>
          </cell>
        </row>
        <row r="312">
          <cell r="BP312" t="str">
            <v>MILWAUKEE WEST-SOUTH</v>
          </cell>
          <cell r="BQ312">
            <v>0</v>
          </cell>
        </row>
        <row r="313">
          <cell r="BP313" t="str">
            <v>MINNEAPOLIS CBD</v>
          </cell>
          <cell r="BQ313">
            <v>1</v>
          </cell>
        </row>
        <row r="314">
          <cell r="BP314" t="str">
            <v>MINNEAPOLIS NORTH AREA</v>
          </cell>
          <cell r="BQ314">
            <v>2</v>
          </cell>
        </row>
        <row r="315">
          <cell r="BP315" t="str">
            <v>MINNEAPOLIS SOUTH AREA</v>
          </cell>
          <cell r="BQ315">
            <v>3</v>
          </cell>
        </row>
        <row r="316">
          <cell r="BP316" t="str">
            <v>MINNESOTA NORTH AREA</v>
          </cell>
          <cell r="BQ316">
            <v>0</v>
          </cell>
        </row>
        <row r="317">
          <cell r="BP317" t="str">
            <v>MINNESOTA SOUTH AREA</v>
          </cell>
          <cell r="BQ317">
            <v>0</v>
          </cell>
        </row>
        <row r="318">
          <cell r="BP318" t="str">
            <v>MISSION VALLEY</v>
          </cell>
          <cell r="BQ318">
            <v>6</v>
          </cell>
        </row>
        <row r="319">
          <cell r="BP319" t="str">
            <v>MISSISSIPPI CENTRAL</v>
          </cell>
          <cell r="BQ319">
            <v>0</v>
          </cell>
        </row>
        <row r="320">
          <cell r="BP320" t="str">
            <v>MISSISSIPPI EAST</v>
          </cell>
          <cell r="BQ320">
            <v>0</v>
          </cell>
        </row>
        <row r="321">
          <cell r="BP321" t="str">
            <v>MISSISSIPPI NORTH</v>
          </cell>
          <cell r="BQ321">
            <v>0</v>
          </cell>
        </row>
        <row r="322">
          <cell r="BP322" t="str">
            <v>MISSISSIPPI SOUTH</v>
          </cell>
          <cell r="BQ322">
            <v>0</v>
          </cell>
        </row>
        <row r="323">
          <cell r="BP323" t="str">
            <v>MISSOURI NORTH AREA</v>
          </cell>
          <cell r="BQ323">
            <v>0</v>
          </cell>
        </row>
        <row r="324">
          <cell r="BP324" t="str">
            <v>MISSOURI SOUTH AREA</v>
          </cell>
          <cell r="BQ324">
            <v>0</v>
          </cell>
        </row>
        <row r="325">
          <cell r="BP325" t="str">
            <v>MISSOURI SOUTH CENTRAL</v>
          </cell>
          <cell r="BQ325">
            <v>0</v>
          </cell>
        </row>
        <row r="326">
          <cell r="BP326" t="str">
            <v>MISSOURI SOUTH-EAST</v>
          </cell>
          <cell r="BQ326">
            <v>0</v>
          </cell>
        </row>
        <row r="327">
          <cell r="BP327" t="str">
            <v>MOBILE, AL (AREA)</v>
          </cell>
          <cell r="BQ327">
            <v>0</v>
          </cell>
        </row>
        <row r="328">
          <cell r="BP328" t="str">
            <v>MONMOUTH</v>
          </cell>
          <cell r="BQ328">
            <v>0</v>
          </cell>
        </row>
        <row r="329">
          <cell r="BP329" t="str">
            <v>MONROE, LA</v>
          </cell>
          <cell r="BQ329">
            <v>0</v>
          </cell>
        </row>
        <row r="330">
          <cell r="BP330" t="str">
            <v>MONTANA EAST AREA</v>
          </cell>
          <cell r="BQ330">
            <v>0</v>
          </cell>
        </row>
        <row r="331">
          <cell r="BP331" t="str">
            <v>MONTANA WEST AREA</v>
          </cell>
          <cell r="BQ331">
            <v>0</v>
          </cell>
        </row>
        <row r="332">
          <cell r="BP332" t="str">
            <v>MONTEREY</v>
          </cell>
          <cell r="BQ332">
            <v>0</v>
          </cell>
        </row>
        <row r="333">
          <cell r="BP333" t="str">
            <v>MONTGOMERY, AL</v>
          </cell>
          <cell r="BQ333">
            <v>0</v>
          </cell>
        </row>
        <row r="334">
          <cell r="BP334" t="str">
            <v>MORRIS-SUSSEX COUNTY</v>
          </cell>
          <cell r="BQ334">
            <v>0</v>
          </cell>
        </row>
        <row r="335">
          <cell r="BP335" t="str">
            <v>MOUNT VERNON/CARBONDALE, IL</v>
          </cell>
          <cell r="BQ335">
            <v>0</v>
          </cell>
        </row>
        <row r="336">
          <cell r="BP336" t="str">
            <v>MYRTLE BEACH</v>
          </cell>
          <cell r="BQ336">
            <v>0</v>
          </cell>
        </row>
        <row r="337">
          <cell r="BP337" t="str">
            <v>NAPLES, FL</v>
          </cell>
          <cell r="BQ337">
            <v>2</v>
          </cell>
        </row>
        <row r="338">
          <cell r="BP338" t="str">
            <v>NASHVILLE AREA NORTH</v>
          </cell>
          <cell r="BQ338">
            <v>4</v>
          </cell>
        </row>
        <row r="339">
          <cell r="BP339" t="str">
            <v>NASHVILLE AREA SOUTH</v>
          </cell>
          <cell r="BQ339">
            <v>5</v>
          </cell>
        </row>
        <row r="340">
          <cell r="BP340" t="str">
            <v>NASHVILLE DOWNTOWN &amp; SOUTH</v>
          </cell>
          <cell r="BQ340">
            <v>1</v>
          </cell>
        </row>
        <row r="341">
          <cell r="BP341" t="str">
            <v>NASHVILLE EAST AIRPORT</v>
          </cell>
          <cell r="BQ341">
            <v>2</v>
          </cell>
        </row>
        <row r="342">
          <cell r="BP342" t="str">
            <v>NASHVILLE METRO CENTER-NORTH</v>
          </cell>
          <cell r="BQ342">
            <v>3</v>
          </cell>
        </row>
        <row r="343">
          <cell r="BP343" t="str">
            <v>NASSAU</v>
          </cell>
          <cell r="BQ343">
            <v>1</v>
          </cell>
        </row>
        <row r="344">
          <cell r="BP344" t="str">
            <v>NEBRASKA AREA</v>
          </cell>
          <cell r="BQ344">
            <v>0</v>
          </cell>
        </row>
        <row r="345">
          <cell r="BP345" t="str">
            <v>NEVADA AREA</v>
          </cell>
          <cell r="BQ345">
            <v>0</v>
          </cell>
        </row>
        <row r="346">
          <cell r="BP346" t="str">
            <v>NEW HAMPSHIRE CENTRAL-NORTH</v>
          </cell>
          <cell r="BQ346">
            <v>0</v>
          </cell>
        </row>
        <row r="347">
          <cell r="BP347" t="str">
            <v>NEW HAMPSHIRE SOUTH</v>
          </cell>
          <cell r="BQ347">
            <v>0</v>
          </cell>
        </row>
        <row r="348">
          <cell r="BP348" t="str">
            <v>NEW HAVEN-WATERBURY, CT</v>
          </cell>
          <cell r="BQ348">
            <v>0</v>
          </cell>
        </row>
        <row r="349">
          <cell r="BP349" t="str">
            <v>NEW MEXICO NORTH AREA</v>
          </cell>
          <cell r="BQ349">
            <v>0</v>
          </cell>
        </row>
        <row r="350">
          <cell r="BP350" t="str">
            <v>NEW MEXICO SOUTH AREA</v>
          </cell>
          <cell r="BQ350">
            <v>0</v>
          </cell>
        </row>
        <row r="351">
          <cell r="BP351" t="str">
            <v>NEW ORLEANS CBD</v>
          </cell>
          <cell r="BQ351">
            <v>1</v>
          </cell>
        </row>
        <row r="352">
          <cell r="BP352" t="str">
            <v>NEW ORLEANS EAST/FRENCH QUARTER</v>
          </cell>
          <cell r="BQ352">
            <v>2</v>
          </cell>
        </row>
        <row r="353">
          <cell r="BP353" t="str">
            <v>NEW YORK CENTRAL AREA</v>
          </cell>
          <cell r="BQ353">
            <v>0</v>
          </cell>
        </row>
        <row r="354">
          <cell r="BP354" t="str">
            <v>NEW YORK EAST AREA</v>
          </cell>
          <cell r="BQ354">
            <v>0</v>
          </cell>
        </row>
        <row r="355">
          <cell r="BP355" t="str">
            <v>NEW YORK NY AREA</v>
          </cell>
          <cell r="BQ355">
            <v>3</v>
          </cell>
        </row>
        <row r="356">
          <cell r="BP356" t="str">
            <v>NEW YORK WEST AREA</v>
          </cell>
          <cell r="BQ356">
            <v>0</v>
          </cell>
        </row>
        <row r="357">
          <cell r="BP357" t="str">
            <v>NEWARK</v>
          </cell>
          <cell r="BQ357">
            <v>0</v>
          </cell>
        </row>
        <row r="358">
          <cell r="BP358" t="str">
            <v>NEWPORT NEWS/HAMPTON</v>
          </cell>
          <cell r="BQ358">
            <v>3</v>
          </cell>
        </row>
        <row r="359">
          <cell r="BP359" t="str">
            <v>NIAGARA FALLS, NY</v>
          </cell>
          <cell r="BQ359">
            <v>0</v>
          </cell>
        </row>
        <row r="360">
          <cell r="BP360" t="str">
            <v>NORFOLK CITY</v>
          </cell>
          <cell r="BQ360">
            <v>1</v>
          </cell>
        </row>
        <row r="361">
          <cell r="BP361" t="str">
            <v>NORTH CAROLINA CENTRAL</v>
          </cell>
          <cell r="BQ361">
            <v>0</v>
          </cell>
        </row>
        <row r="362">
          <cell r="BP362" t="str">
            <v>NORTH CAROLINA EAST AREA</v>
          </cell>
          <cell r="BQ362">
            <v>0</v>
          </cell>
        </row>
        <row r="363">
          <cell r="BP363" t="str">
            <v>NORTH CAROLINA WEST AREA</v>
          </cell>
          <cell r="BQ363">
            <v>0</v>
          </cell>
        </row>
        <row r="364">
          <cell r="BP364" t="str">
            <v>NORTH CAROLINA WEST CENTRAL</v>
          </cell>
          <cell r="BQ364">
            <v>0</v>
          </cell>
        </row>
        <row r="365">
          <cell r="BP365" t="str">
            <v>NORTH DAKOTA AREA</v>
          </cell>
          <cell r="BQ365">
            <v>0</v>
          </cell>
        </row>
        <row r="366">
          <cell r="BP366" t="str">
            <v>NORTHEAST BEACH AREA, NC</v>
          </cell>
          <cell r="BQ366">
            <v>0</v>
          </cell>
        </row>
        <row r="367">
          <cell r="BP367" t="str">
            <v>OAHU AREA</v>
          </cell>
          <cell r="BQ367">
            <v>1</v>
          </cell>
        </row>
        <row r="368">
          <cell r="BP368" t="str">
            <v>OAKLAND CA AREA</v>
          </cell>
          <cell r="BQ368">
            <v>0</v>
          </cell>
        </row>
        <row r="369">
          <cell r="BP369" t="str">
            <v>OAKLAND-BERKELEY</v>
          </cell>
          <cell r="BQ369">
            <v>0</v>
          </cell>
        </row>
        <row r="370">
          <cell r="BP370" t="str">
            <v>OCALA, FL</v>
          </cell>
          <cell r="BQ370">
            <v>0</v>
          </cell>
        </row>
        <row r="371">
          <cell r="BP371" t="str">
            <v>OHIO NORTH AREA</v>
          </cell>
          <cell r="BQ371">
            <v>0</v>
          </cell>
        </row>
        <row r="372">
          <cell r="BP372" t="str">
            <v>OHIO SOUTH AREA</v>
          </cell>
          <cell r="BQ372">
            <v>0</v>
          </cell>
        </row>
        <row r="373">
          <cell r="BP373" t="str">
            <v>OKLAHOMA CITY &amp; NORTH</v>
          </cell>
          <cell r="BQ373">
            <v>0</v>
          </cell>
        </row>
        <row r="374">
          <cell r="BP374" t="str">
            <v>OKLAHOMA CITY AIRPORT-SOUTH</v>
          </cell>
          <cell r="BQ374">
            <v>0</v>
          </cell>
        </row>
        <row r="375">
          <cell r="BP375" t="str">
            <v>OKLAHOMA EAST</v>
          </cell>
          <cell r="BQ375">
            <v>0</v>
          </cell>
        </row>
        <row r="376">
          <cell r="BP376" t="str">
            <v>OKLAHOMA WEST</v>
          </cell>
          <cell r="BQ376">
            <v>0</v>
          </cell>
        </row>
        <row r="377">
          <cell r="BP377" t="str">
            <v>OMAHA NORTH</v>
          </cell>
          <cell r="BQ377">
            <v>0</v>
          </cell>
        </row>
        <row r="378">
          <cell r="BP378" t="str">
            <v>OMAHA SOUTH</v>
          </cell>
          <cell r="BQ378">
            <v>0</v>
          </cell>
        </row>
        <row r="379">
          <cell r="BP379" t="str">
            <v>ONTARIO/AIRPORT</v>
          </cell>
          <cell r="BQ379">
            <v>0</v>
          </cell>
        </row>
        <row r="380">
          <cell r="BP380" t="str">
            <v>ORANGE COUNTY NORTHWEST</v>
          </cell>
          <cell r="BQ380">
            <v>3</v>
          </cell>
        </row>
        <row r="381">
          <cell r="BP381" t="str">
            <v>ORANGE COUNTY SOUTH-EAST</v>
          </cell>
          <cell r="BQ381">
            <v>4</v>
          </cell>
        </row>
        <row r="382">
          <cell r="BP382" t="str">
            <v>ORANGE COUNTY SOUTH-WEST</v>
          </cell>
          <cell r="BQ382">
            <v>2</v>
          </cell>
        </row>
        <row r="383">
          <cell r="BP383" t="str">
            <v>ORANGE COUNTY, NY</v>
          </cell>
          <cell r="BQ383">
            <v>0</v>
          </cell>
        </row>
        <row r="384">
          <cell r="BP384" t="str">
            <v>OREGON EAST AREA</v>
          </cell>
          <cell r="BQ384">
            <v>0</v>
          </cell>
        </row>
        <row r="385">
          <cell r="BP385" t="str">
            <v>OREGON WEST AREA</v>
          </cell>
          <cell r="BQ385">
            <v>0</v>
          </cell>
        </row>
        <row r="386">
          <cell r="BP386" t="str">
            <v>ORLANDO CBD</v>
          </cell>
          <cell r="BQ386">
            <v>1</v>
          </cell>
        </row>
        <row r="387">
          <cell r="BP387" t="str">
            <v>ORLANDO NORTH</v>
          </cell>
          <cell r="BQ387">
            <v>2</v>
          </cell>
        </row>
        <row r="388">
          <cell r="BP388" t="str">
            <v>ORLANDO SOUTH</v>
          </cell>
          <cell r="BQ388">
            <v>3</v>
          </cell>
        </row>
        <row r="389">
          <cell r="BP389" t="str">
            <v>ORLANDO-INTERNATIONAL DRIVE</v>
          </cell>
          <cell r="BQ389">
            <v>4</v>
          </cell>
        </row>
        <row r="390">
          <cell r="BP390" t="str">
            <v>OVERLAND PARK-LENEXA</v>
          </cell>
          <cell r="BQ390">
            <v>0</v>
          </cell>
        </row>
        <row r="391">
          <cell r="BP391" t="str">
            <v>OXNARD, CA</v>
          </cell>
          <cell r="BQ391">
            <v>1</v>
          </cell>
        </row>
        <row r="392">
          <cell r="BP392" t="str">
            <v>PALM SPRINGS (AREA)</v>
          </cell>
          <cell r="BQ392">
            <v>0</v>
          </cell>
        </row>
        <row r="393">
          <cell r="BP393" t="str">
            <v>PALM SPRINGS (CITY OF)</v>
          </cell>
          <cell r="BQ393">
            <v>0</v>
          </cell>
        </row>
        <row r="394">
          <cell r="BP394" t="str">
            <v>PANAMA CITY, FL</v>
          </cell>
          <cell r="BQ394">
            <v>5</v>
          </cell>
        </row>
        <row r="395">
          <cell r="BP395" t="str">
            <v>PASADENA/GLENDALE/BURBANK</v>
          </cell>
          <cell r="BQ395">
            <v>8</v>
          </cell>
        </row>
        <row r="396">
          <cell r="BP396" t="str">
            <v>PASSAIC AREA</v>
          </cell>
          <cell r="BQ396">
            <v>1</v>
          </cell>
        </row>
        <row r="397">
          <cell r="BP397" t="str">
            <v>PENNSYLVANIA CENTRAL</v>
          </cell>
          <cell r="BQ397">
            <v>0</v>
          </cell>
        </row>
        <row r="398">
          <cell r="BP398" t="str">
            <v>PENNSYLVANIA WEST</v>
          </cell>
          <cell r="BQ398">
            <v>0</v>
          </cell>
        </row>
        <row r="399">
          <cell r="BP399" t="str">
            <v>PENSACOLA, FL</v>
          </cell>
          <cell r="BQ399">
            <v>4</v>
          </cell>
        </row>
        <row r="400">
          <cell r="BP400" t="str">
            <v>PEORIA, IL</v>
          </cell>
          <cell r="BQ400">
            <v>0</v>
          </cell>
        </row>
        <row r="401">
          <cell r="BP401" t="str">
            <v>PHILA AIRPORT/STADIUM</v>
          </cell>
          <cell r="BQ401">
            <v>2</v>
          </cell>
        </row>
        <row r="402">
          <cell r="BP402" t="str">
            <v>PHILA CENTER CITY</v>
          </cell>
          <cell r="BQ402">
            <v>1</v>
          </cell>
        </row>
        <row r="403">
          <cell r="BP403" t="str">
            <v>PHILA NORTHEAST-LOWER BUCKS</v>
          </cell>
          <cell r="BQ403">
            <v>5</v>
          </cell>
        </row>
        <row r="404">
          <cell r="BP404" t="str">
            <v>PHILA NORTHERN SUBURBS</v>
          </cell>
          <cell r="BQ404">
            <v>3</v>
          </cell>
        </row>
        <row r="405">
          <cell r="BP405" t="str">
            <v>PHILA WESTERN SUBURBS</v>
          </cell>
          <cell r="BQ405">
            <v>4</v>
          </cell>
        </row>
        <row r="406">
          <cell r="BP406" t="str">
            <v>PHOENIX AIRPORT</v>
          </cell>
          <cell r="BQ406">
            <v>1</v>
          </cell>
        </row>
        <row r="407">
          <cell r="BP407" t="str">
            <v>PHOENIX EAST</v>
          </cell>
          <cell r="BQ407">
            <v>2</v>
          </cell>
        </row>
        <row r="408">
          <cell r="BP408" t="str">
            <v>PHOENIX WEST</v>
          </cell>
          <cell r="BQ408">
            <v>3</v>
          </cell>
        </row>
        <row r="409">
          <cell r="BP409" t="str">
            <v>PIGEON FORGE</v>
          </cell>
          <cell r="BQ409">
            <v>0</v>
          </cell>
        </row>
        <row r="410">
          <cell r="BP410" t="str">
            <v>PITTSBURGH &amp; NORTH-EAST</v>
          </cell>
          <cell r="BQ410">
            <v>0</v>
          </cell>
        </row>
        <row r="411">
          <cell r="BP411" t="str">
            <v>PITTSBURGH PA AREA</v>
          </cell>
          <cell r="BQ411">
            <v>0</v>
          </cell>
        </row>
        <row r="412">
          <cell r="BP412" t="str">
            <v>PITTSBURGH SOUTH-WEST</v>
          </cell>
          <cell r="BQ412">
            <v>0</v>
          </cell>
        </row>
        <row r="413">
          <cell r="BP413" t="str">
            <v>PITTSBURGH, PA AREA</v>
          </cell>
          <cell r="BQ413">
            <v>0</v>
          </cell>
        </row>
        <row r="414">
          <cell r="BP414" t="str">
            <v>PLANO/RICHARDSON</v>
          </cell>
          <cell r="BQ414">
            <v>8</v>
          </cell>
        </row>
        <row r="415">
          <cell r="BP415" t="str">
            <v>POCONOS AREA</v>
          </cell>
          <cell r="BQ415">
            <v>0</v>
          </cell>
        </row>
        <row r="416">
          <cell r="BP416" t="str">
            <v>PORTLAND CBD</v>
          </cell>
          <cell r="BQ416">
            <v>0</v>
          </cell>
        </row>
        <row r="417">
          <cell r="BP417" t="str">
            <v>PORTLAND, ME</v>
          </cell>
          <cell r="BQ417">
            <v>0</v>
          </cell>
        </row>
        <row r="418">
          <cell r="BP418" t="str">
            <v>PORTLAND, OR AREA</v>
          </cell>
          <cell r="BQ418">
            <v>0</v>
          </cell>
        </row>
        <row r="419">
          <cell r="BP419" t="str">
            <v>POUGHKEEPSIE/KENSINGTON</v>
          </cell>
          <cell r="BQ419">
            <v>0</v>
          </cell>
        </row>
        <row r="420">
          <cell r="BP420" t="str">
            <v>RALEIGH NORTH-EAST</v>
          </cell>
          <cell r="BQ420">
            <v>0</v>
          </cell>
        </row>
        <row r="421">
          <cell r="BP421" t="str">
            <v>RALEIGH NORTH-WEST</v>
          </cell>
          <cell r="BQ421">
            <v>0</v>
          </cell>
        </row>
        <row r="422">
          <cell r="BP422" t="str">
            <v>RALEIGH SOUTH</v>
          </cell>
          <cell r="BQ422">
            <v>0</v>
          </cell>
        </row>
        <row r="423">
          <cell r="BP423" t="str">
            <v>RAPID CITY, SD</v>
          </cell>
          <cell r="BQ423">
            <v>0</v>
          </cell>
        </row>
        <row r="424">
          <cell r="BP424" t="str">
            <v>READING</v>
          </cell>
          <cell r="BQ424">
            <v>0</v>
          </cell>
        </row>
        <row r="425">
          <cell r="BP425" t="str">
            <v>RENO</v>
          </cell>
          <cell r="BQ425">
            <v>0</v>
          </cell>
        </row>
        <row r="426">
          <cell r="BP426" t="str">
            <v>RENO AREA</v>
          </cell>
          <cell r="BQ426">
            <v>0</v>
          </cell>
        </row>
        <row r="427">
          <cell r="BP427" t="str">
            <v>RHODE ISLAND</v>
          </cell>
          <cell r="BQ427">
            <v>1</v>
          </cell>
        </row>
        <row r="428">
          <cell r="BP428" t="str">
            <v>RICHMOND AREA</v>
          </cell>
          <cell r="BQ428">
            <v>2</v>
          </cell>
        </row>
        <row r="429">
          <cell r="BP429" t="str">
            <v>RICHMOND CITY</v>
          </cell>
          <cell r="BQ429">
            <v>1</v>
          </cell>
        </row>
        <row r="430">
          <cell r="BP430" t="str">
            <v>RIVERSIDE COUNTY AREA</v>
          </cell>
          <cell r="BQ430">
            <v>0</v>
          </cell>
        </row>
        <row r="431">
          <cell r="BP431" t="str">
            <v>ROANOKE, VA</v>
          </cell>
          <cell r="BQ431">
            <v>0</v>
          </cell>
        </row>
        <row r="432">
          <cell r="BP432" t="str">
            <v>ROCHESTER, MN</v>
          </cell>
          <cell r="BQ432">
            <v>0</v>
          </cell>
        </row>
        <row r="433">
          <cell r="BP433" t="str">
            <v>ROCHESTER, NY (AREA)</v>
          </cell>
          <cell r="BQ433">
            <v>0</v>
          </cell>
        </row>
        <row r="434">
          <cell r="BP434" t="str">
            <v>ROCHESTER, NY (CITY OF)</v>
          </cell>
          <cell r="BQ434">
            <v>0</v>
          </cell>
        </row>
        <row r="435">
          <cell r="BP435" t="str">
            <v>ROCK HILL, SC</v>
          </cell>
          <cell r="BQ435">
            <v>0</v>
          </cell>
        </row>
        <row r="436">
          <cell r="BP436" t="str">
            <v>ROCKFORD-DEKALB-AURORA-ELGIN</v>
          </cell>
          <cell r="BQ436">
            <v>0</v>
          </cell>
        </row>
        <row r="437">
          <cell r="BP437" t="str">
            <v>ROCKY MOUNT-SELMA</v>
          </cell>
          <cell r="BQ437">
            <v>0</v>
          </cell>
        </row>
        <row r="438">
          <cell r="BP438" t="str">
            <v>S.F.-NOB HILL/WHARF</v>
          </cell>
          <cell r="BQ438">
            <v>2</v>
          </cell>
        </row>
        <row r="439">
          <cell r="BP439" t="str">
            <v>SACRAMENTO DOWNTOWN &amp; NORTH</v>
          </cell>
          <cell r="BQ439">
            <v>0</v>
          </cell>
        </row>
        <row r="440">
          <cell r="BP440" t="str">
            <v>SACRAMENTO EAST</v>
          </cell>
          <cell r="BQ440">
            <v>0</v>
          </cell>
        </row>
        <row r="441">
          <cell r="BP441" t="str">
            <v>SAINT AUGUSTINE</v>
          </cell>
          <cell r="BQ441">
            <v>0</v>
          </cell>
        </row>
        <row r="442">
          <cell r="BP442" t="str">
            <v>SAINT LOUIS AIRPORT</v>
          </cell>
          <cell r="BQ442">
            <v>2</v>
          </cell>
        </row>
        <row r="443">
          <cell r="BP443" t="str">
            <v>SAINT LOUIS CBD</v>
          </cell>
          <cell r="BQ443">
            <v>1</v>
          </cell>
        </row>
        <row r="444">
          <cell r="BP444" t="str">
            <v>SAINT LOUIS EAST</v>
          </cell>
          <cell r="BQ444">
            <v>5</v>
          </cell>
        </row>
        <row r="445">
          <cell r="BP445" t="str">
            <v>SAINT LOUIS NORTHWEST</v>
          </cell>
          <cell r="BQ445">
            <v>3</v>
          </cell>
        </row>
        <row r="446">
          <cell r="BP446" t="str">
            <v>SAINT LOUIS SOUTHWEST</v>
          </cell>
          <cell r="BQ446">
            <v>4</v>
          </cell>
        </row>
        <row r="447">
          <cell r="BP447" t="str">
            <v>SAINT PAUL</v>
          </cell>
          <cell r="BQ447">
            <v>4</v>
          </cell>
        </row>
        <row r="448">
          <cell r="BP448" t="str">
            <v>SAINT PETERSBURG</v>
          </cell>
          <cell r="BQ448">
            <v>5</v>
          </cell>
        </row>
        <row r="449">
          <cell r="BP449" t="str">
            <v>SALINAS</v>
          </cell>
          <cell r="BQ449">
            <v>0</v>
          </cell>
        </row>
        <row r="450">
          <cell r="BP450" t="str">
            <v>SALT LAKE CITY</v>
          </cell>
          <cell r="BQ450">
            <v>0</v>
          </cell>
        </row>
        <row r="451">
          <cell r="BP451" t="str">
            <v>SALT LAKE CITY NORTH</v>
          </cell>
          <cell r="BQ451">
            <v>0</v>
          </cell>
        </row>
        <row r="452">
          <cell r="BP452" t="str">
            <v>SALT LAKE CITY SOUTH</v>
          </cell>
          <cell r="BQ452">
            <v>0</v>
          </cell>
        </row>
        <row r="453">
          <cell r="BP453" t="str">
            <v>SAN ANTONIO AIRPORT</v>
          </cell>
          <cell r="BQ453">
            <v>0</v>
          </cell>
        </row>
        <row r="454">
          <cell r="BP454" t="str">
            <v>SAN ANTONIO CBD</v>
          </cell>
          <cell r="BQ454">
            <v>0</v>
          </cell>
        </row>
        <row r="455">
          <cell r="BP455" t="str">
            <v>SAN ANTONIO EAST</v>
          </cell>
          <cell r="BQ455">
            <v>0</v>
          </cell>
        </row>
        <row r="456">
          <cell r="BP456" t="str">
            <v>SAN ANTONIO NORTHEAST</v>
          </cell>
          <cell r="BQ456">
            <v>0</v>
          </cell>
        </row>
        <row r="457">
          <cell r="BP457" t="str">
            <v>SAN ANTONIO NORTHWEST</v>
          </cell>
          <cell r="BQ457">
            <v>0</v>
          </cell>
        </row>
        <row r="458">
          <cell r="BP458" t="str">
            <v>SAN BERNARDINO</v>
          </cell>
          <cell r="BQ458">
            <v>0</v>
          </cell>
        </row>
        <row r="459">
          <cell r="BP459" t="str">
            <v>SAN BERNARDINO AREA</v>
          </cell>
          <cell r="BQ459">
            <v>0</v>
          </cell>
        </row>
        <row r="460">
          <cell r="BP460" t="str">
            <v>SAN DIEGO CBD</v>
          </cell>
          <cell r="BQ460">
            <v>1</v>
          </cell>
        </row>
        <row r="461">
          <cell r="BP461" t="str">
            <v>SAN DIEGO NORTH</v>
          </cell>
          <cell r="BQ461">
            <v>2</v>
          </cell>
        </row>
        <row r="462">
          <cell r="BP462" t="str">
            <v>SAN DIEGO SOUTH</v>
          </cell>
          <cell r="BQ462">
            <v>3</v>
          </cell>
        </row>
        <row r="463">
          <cell r="BP463" t="str">
            <v>SAN FRANCISCO AIRPORT</v>
          </cell>
          <cell r="BQ463">
            <v>3</v>
          </cell>
        </row>
        <row r="464">
          <cell r="BP464" t="str">
            <v>SAN FRANCISCO AREA</v>
          </cell>
          <cell r="BQ464">
            <v>4</v>
          </cell>
        </row>
        <row r="465">
          <cell r="BP465" t="str">
            <v>SAN FRANCISCO-MARKET ST</v>
          </cell>
          <cell r="BQ465">
            <v>1</v>
          </cell>
        </row>
        <row r="466">
          <cell r="BP466" t="str">
            <v>SAN JOSE AIRPORT</v>
          </cell>
          <cell r="BQ466">
            <v>0</v>
          </cell>
        </row>
        <row r="467">
          <cell r="BP467" t="str">
            <v>SAN JOSE, CA AREA</v>
          </cell>
          <cell r="BQ467">
            <v>0</v>
          </cell>
        </row>
        <row r="468">
          <cell r="BP468" t="str">
            <v>SAN JOSE/CAMPBELL</v>
          </cell>
          <cell r="BQ468">
            <v>0</v>
          </cell>
        </row>
        <row r="469">
          <cell r="BP469" t="str">
            <v>SAN LUIS OBISPO NORTH</v>
          </cell>
          <cell r="BQ469">
            <v>0</v>
          </cell>
        </row>
        <row r="470">
          <cell r="BP470" t="str">
            <v>SAN LUIS OBISPO SOUTH</v>
          </cell>
          <cell r="BQ470">
            <v>0</v>
          </cell>
        </row>
        <row r="471">
          <cell r="BP471" t="str">
            <v>SANDUSKY, OH</v>
          </cell>
          <cell r="BQ471">
            <v>0</v>
          </cell>
        </row>
        <row r="472">
          <cell r="BP472" t="str">
            <v>SANTA BARBARA</v>
          </cell>
          <cell r="BQ472">
            <v>0</v>
          </cell>
        </row>
        <row r="473">
          <cell r="BP473" t="str">
            <v>SANTA FE, NM</v>
          </cell>
          <cell r="BQ473">
            <v>0</v>
          </cell>
        </row>
        <row r="474">
          <cell r="BP474" t="str">
            <v>SANTA ROSA-PETALUMA, CA</v>
          </cell>
          <cell r="BQ474">
            <v>0</v>
          </cell>
        </row>
        <row r="475">
          <cell r="BP475" t="str">
            <v>SARASOTA, FL</v>
          </cell>
          <cell r="BQ475">
            <v>1</v>
          </cell>
        </row>
        <row r="476">
          <cell r="BP476" t="str">
            <v>SAVANNAH</v>
          </cell>
          <cell r="BQ476">
            <v>0</v>
          </cell>
        </row>
        <row r="477">
          <cell r="BP477" t="str">
            <v>SCHENECTADY NY</v>
          </cell>
          <cell r="BQ477">
            <v>0</v>
          </cell>
        </row>
        <row r="478">
          <cell r="BP478" t="str">
            <v>SCHENECTADY, NY</v>
          </cell>
          <cell r="BQ478">
            <v>0</v>
          </cell>
        </row>
        <row r="479">
          <cell r="BP479" t="str">
            <v>SCOTTSDALE</v>
          </cell>
          <cell r="BQ479">
            <v>4</v>
          </cell>
        </row>
        <row r="480">
          <cell r="BP480" t="str">
            <v>SCRANTON/WILKES-BARRE/POCONOS</v>
          </cell>
          <cell r="BQ480">
            <v>0</v>
          </cell>
        </row>
        <row r="481">
          <cell r="BP481" t="str">
            <v>SEATTLE AIRPORT</v>
          </cell>
          <cell r="BQ481">
            <v>2</v>
          </cell>
        </row>
        <row r="482">
          <cell r="BP482" t="str">
            <v>SEATTLE CBD</v>
          </cell>
          <cell r="BQ482">
            <v>1</v>
          </cell>
        </row>
        <row r="483">
          <cell r="BP483" t="str">
            <v>SEATTLE NORTH</v>
          </cell>
          <cell r="BQ483">
            <v>3</v>
          </cell>
        </row>
        <row r="484">
          <cell r="BP484" t="str">
            <v>SEATTLE SOUTH &amp; EAST</v>
          </cell>
          <cell r="BQ484">
            <v>4</v>
          </cell>
        </row>
        <row r="485">
          <cell r="BP485" t="str">
            <v>SHREVEPORT, LA</v>
          </cell>
          <cell r="BQ485">
            <v>0</v>
          </cell>
        </row>
        <row r="486">
          <cell r="BP486" t="str">
            <v>SIOUX FALLS, SD</v>
          </cell>
          <cell r="BQ486">
            <v>0</v>
          </cell>
        </row>
        <row r="487">
          <cell r="BP487" t="str">
            <v>SMITHVILLE-SPRING LAKE</v>
          </cell>
          <cell r="BQ487">
            <v>0</v>
          </cell>
        </row>
        <row r="488">
          <cell r="BP488" t="str">
            <v>SOMERSET-HUNTERDON</v>
          </cell>
          <cell r="BQ488">
            <v>0</v>
          </cell>
        </row>
        <row r="489">
          <cell r="BP489" t="str">
            <v>SOUTH BEACH AREA</v>
          </cell>
          <cell r="BQ489">
            <v>0</v>
          </cell>
        </row>
        <row r="490">
          <cell r="BP490" t="str">
            <v>SOUTH CAROLINA SMALL TOWN</v>
          </cell>
          <cell r="BQ490">
            <v>0</v>
          </cell>
        </row>
        <row r="491">
          <cell r="BP491" t="str">
            <v>SOUTH DAKOTA AREA</v>
          </cell>
          <cell r="BQ491">
            <v>0</v>
          </cell>
        </row>
        <row r="492">
          <cell r="BP492" t="str">
            <v>SOUTH JERSEY</v>
          </cell>
          <cell r="BQ492">
            <v>6</v>
          </cell>
        </row>
        <row r="493">
          <cell r="BP493" t="str">
            <v>SOUTH LAKE TAHOE</v>
          </cell>
          <cell r="BQ493">
            <v>0</v>
          </cell>
        </row>
        <row r="494">
          <cell r="BP494" t="str">
            <v>SPARTANBURG</v>
          </cell>
          <cell r="BQ494">
            <v>0</v>
          </cell>
        </row>
        <row r="495">
          <cell r="BP495" t="str">
            <v>SPOKANE, WA</v>
          </cell>
          <cell r="BQ495">
            <v>0</v>
          </cell>
        </row>
        <row r="496">
          <cell r="BP496" t="str">
            <v>SPRINGFIELD, IL</v>
          </cell>
          <cell r="BQ496">
            <v>0</v>
          </cell>
        </row>
        <row r="497">
          <cell r="BP497" t="str">
            <v>SPRINGFIELD, MA</v>
          </cell>
          <cell r="BQ497">
            <v>2</v>
          </cell>
        </row>
        <row r="498">
          <cell r="BP498" t="str">
            <v>SPRINGFIELD, MO</v>
          </cell>
          <cell r="BQ498">
            <v>0</v>
          </cell>
        </row>
        <row r="499">
          <cell r="BP499" t="str">
            <v>SPRINGFIELD, OH</v>
          </cell>
          <cell r="BQ499">
            <v>0</v>
          </cell>
        </row>
        <row r="500">
          <cell r="BP500" t="str">
            <v>STOCKTON AREA</v>
          </cell>
          <cell r="BQ500">
            <v>0</v>
          </cell>
        </row>
        <row r="501">
          <cell r="BP501" t="str">
            <v>SUBURBAN MARYLAND SOUTH</v>
          </cell>
          <cell r="BQ501">
            <v>7</v>
          </cell>
        </row>
        <row r="502">
          <cell r="BP502" t="str">
            <v>SUBURBAN VIRGINIA AREA</v>
          </cell>
          <cell r="BQ502">
            <v>8</v>
          </cell>
        </row>
        <row r="503">
          <cell r="BP503" t="str">
            <v>SUFFOLK</v>
          </cell>
          <cell r="BQ503">
            <v>2</v>
          </cell>
        </row>
        <row r="504">
          <cell r="BP504" t="str">
            <v>SYRACUSE</v>
          </cell>
          <cell r="BQ504">
            <v>0</v>
          </cell>
        </row>
        <row r="505">
          <cell r="BP505" t="str">
            <v>SYRACUSE AREA</v>
          </cell>
          <cell r="BQ505">
            <v>0</v>
          </cell>
        </row>
        <row r="506">
          <cell r="BP506" t="str">
            <v>TACOMA WA</v>
          </cell>
          <cell r="BQ506">
            <v>0</v>
          </cell>
        </row>
        <row r="507">
          <cell r="BP507" t="str">
            <v>TALLAHASSEE, FL</v>
          </cell>
          <cell r="BQ507">
            <v>6</v>
          </cell>
        </row>
        <row r="508">
          <cell r="BP508" t="str">
            <v>TAMPA DOWNTOWN-AIRPORT</v>
          </cell>
          <cell r="BQ508">
            <v>1</v>
          </cell>
        </row>
        <row r="509">
          <cell r="BP509" t="str">
            <v>TAMPA EAST</v>
          </cell>
          <cell r="BQ509">
            <v>2</v>
          </cell>
        </row>
        <row r="510">
          <cell r="BP510" t="str">
            <v>TAMPA NORTH-BUSCH GARDENS</v>
          </cell>
          <cell r="BQ510">
            <v>3</v>
          </cell>
        </row>
        <row r="511">
          <cell r="BP511" t="str">
            <v>TARPON SPRINGS/NEW PORT RICHEY</v>
          </cell>
          <cell r="BQ511">
            <v>6</v>
          </cell>
        </row>
        <row r="512">
          <cell r="BP512" t="str">
            <v>TEMPE</v>
          </cell>
          <cell r="BQ512">
            <v>6</v>
          </cell>
        </row>
        <row r="513">
          <cell r="BP513" t="str">
            <v>TENNESSEE CENTRAL AREA</v>
          </cell>
          <cell r="BQ513">
            <v>0</v>
          </cell>
        </row>
        <row r="514">
          <cell r="BP514" t="str">
            <v>TENNESSEE EAST AREA</v>
          </cell>
          <cell r="BQ514">
            <v>0</v>
          </cell>
        </row>
        <row r="515">
          <cell r="BP515" t="str">
            <v>TENNESSEE WEST AREA</v>
          </cell>
          <cell r="BQ515">
            <v>0</v>
          </cell>
        </row>
        <row r="516">
          <cell r="BP516" t="str">
            <v>TERRU HAUTE, IN</v>
          </cell>
          <cell r="BQ516">
            <v>0</v>
          </cell>
        </row>
        <row r="517">
          <cell r="BP517" t="str">
            <v>TEXAS EAST AREA</v>
          </cell>
          <cell r="BQ517">
            <v>0</v>
          </cell>
        </row>
        <row r="518">
          <cell r="BP518" t="str">
            <v>TEXAS NORTH AREA</v>
          </cell>
          <cell r="BQ518">
            <v>0</v>
          </cell>
        </row>
        <row r="519">
          <cell r="BP519" t="str">
            <v>TEXAS SOUTH AREA</v>
          </cell>
          <cell r="BQ519">
            <v>0</v>
          </cell>
        </row>
        <row r="520">
          <cell r="BP520" t="str">
            <v>TEXAS WEST AREA</v>
          </cell>
          <cell r="BQ520">
            <v>0</v>
          </cell>
        </row>
        <row r="521">
          <cell r="BP521" t="str">
            <v>TITUSVILLE-SATELLITE BEACH</v>
          </cell>
          <cell r="BQ521">
            <v>0</v>
          </cell>
        </row>
        <row r="522">
          <cell r="BP522" t="str">
            <v>TOLEDO, OH</v>
          </cell>
          <cell r="BQ522">
            <v>0</v>
          </cell>
        </row>
        <row r="523">
          <cell r="BP523" t="str">
            <v>TOPEKA, KS</v>
          </cell>
          <cell r="BQ523">
            <v>0</v>
          </cell>
        </row>
        <row r="524">
          <cell r="BP524" t="str">
            <v>TRENTON</v>
          </cell>
          <cell r="BQ524">
            <v>0</v>
          </cell>
        </row>
        <row r="525">
          <cell r="BP525" t="str">
            <v>TUCSON</v>
          </cell>
          <cell r="BQ525">
            <v>0</v>
          </cell>
        </row>
        <row r="526">
          <cell r="BP526" t="str">
            <v>TUCSON NORTH/WEST</v>
          </cell>
          <cell r="BQ526">
            <v>0</v>
          </cell>
        </row>
        <row r="527">
          <cell r="BP527" t="str">
            <v>TUCSON SOUTH/AIRPORT</v>
          </cell>
          <cell r="BQ527">
            <v>0</v>
          </cell>
        </row>
        <row r="528">
          <cell r="BP528" t="str">
            <v>TULSA &amp; SOUTHWEST</v>
          </cell>
          <cell r="BQ528">
            <v>0</v>
          </cell>
        </row>
        <row r="529">
          <cell r="BP529" t="str">
            <v>TULSA AIRPORT-NORTH</v>
          </cell>
          <cell r="BQ529">
            <v>0</v>
          </cell>
        </row>
        <row r="530">
          <cell r="BP530" t="str">
            <v>TYLER, TX</v>
          </cell>
          <cell r="BQ530">
            <v>0</v>
          </cell>
        </row>
        <row r="531">
          <cell r="BP531" t="str">
            <v>UNION COUNTY</v>
          </cell>
          <cell r="BQ531">
            <v>0</v>
          </cell>
        </row>
        <row r="532">
          <cell r="BP532" t="str">
            <v>UPPER PENINSULA</v>
          </cell>
          <cell r="BQ532">
            <v>0</v>
          </cell>
        </row>
        <row r="533">
          <cell r="BP533" t="str">
            <v>UTAH EAST AREA</v>
          </cell>
          <cell r="BQ533">
            <v>0</v>
          </cell>
        </row>
        <row r="534">
          <cell r="BP534" t="str">
            <v>VALLEJO-FAIRFIELD-NAPA, CA</v>
          </cell>
          <cell r="BQ534">
            <v>0</v>
          </cell>
        </row>
        <row r="535">
          <cell r="BP535" t="str">
            <v>VENTURA, CA</v>
          </cell>
          <cell r="BQ535">
            <v>2</v>
          </cell>
        </row>
        <row r="536">
          <cell r="BP536" t="str">
            <v>VERMONT NORTH</v>
          </cell>
          <cell r="BQ536">
            <v>0</v>
          </cell>
        </row>
        <row r="537">
          <cell r="BP537" t="str">
            <v>VERMONT SOUTH</v>
          </cell>
          <cell r="BQ537">
            <v>0</v>
          </cell>
        </row>
        <row r="538">
          <cell r="BP538" t="str">
            <v>VIRGINIA BEACH CITY</v>
          </cell>
          <cell r="BQ538">
            <v>4</v>
          </cell>
        </row>
        <row r="539">
          <cell r="BP539" t="str">
            <v>VIRGINIA NORTH</v>
          </cell>
          <cell r="BQ539">
            <v>0</v>
          </cell>
        </row>
        <row r="540">
          <cell r="BP540" t="str">
            <v>VIRGINIA SOUTH</v>
          </cell>
          <cell r="BQ540">
            <v>0</v>
          </cell>
        </row>
        <row r="541">
          <cell r="BP541" t="str">
            <v>WAIKIKI</v>
          </cell>
          <cell r="BQ541">
            <v>2</v>
          </cell>
        </row>
        <row r="542">
          <cell r="BP542" t="str">
            <v>WARNER ROBINS, GA</v>
          </cell>
          <cell r="BQ542">
            <v>0</v>
          </cell>
        </row>
        <row r="543">
          <cell r="BP543" t="str">
            <v>WARREN COUNTY</v>
          </cell>
          <cell r="BQ543">
            <v>0</v>
          </cell>
        </row>
        <row r="544">
          <cell r="BP544" t="str">
            <v>WASHINGTON EAST AREA</v>
          </cell>
          <cell r="BQ544">
            <v>0</v>
          </cell>
        </row>
        <row r="545">
          <cell r="BP545" t="str">
            <v>WASHINGTON WEST AREA</v>
          </cell>
          <cell r="BQ545">
            <v>0</v>
          </cell>
        </row>
        <row r="546">
          <cell r="BP546" t="str">
            <v>WASHINGTON, DC-CBD</v>
          </cell>
          <cell r="BQ546">
            <v>1</v>
          </cell>
        </row>
        <row r="547">
          <cell r="BP547" t="str">
            <v>WEST IOWA AREA</v>
          </cell>
          <cell r="BQ547">
            <v>0</v>
          </cell>
        </row>
        <row r="548">
          <cell r="BP548" t="str">
            <v>WEST MEMPHIS</v>
          </cell>
          <cell r="BQ548">
            <v>4</v>
          </cell>
        </row>
        <row r="549">
          <cell r="BP549" t="str">
            <v>WEST PALM BEACH</v>
          </cell>
          <cell r="BQ549">
            <v>0</v>
          </cell>
        </row>
        <row r="550">
          <cell r="BP550" t="str">
            <v>WEST VIRGINIA NORTH</v>
          </cell>
          <cell r="BQ550">
            <v>0</v>
          </cell>
        </row>
        <row r="551">
          <cell r="BP551" t="str">
            <v>WEST VIRGINIA SOUTH</v>
          </cell>
          <cell r="BQ551">
            <v>0</v>
          </cell>
        </row>
        <row r="552">
          <cell r="BP552" t="str">
            <v>WESTCHESTER-ROCKLAND</v>
          </cell>
          <cell r="BQ552">
            <v>4</v>
          </cell>
        </row>
        <row r="553">
          <cell r="BP553" t="str">
            <v>WICHITA FALLS</v>
          </cell>
          <cell r="BQ553">
            <v>0</v>
          </cell>
        </row>
        <row r="554">
          <cell r="BP554" t="str">
            <v>WICHITA, KS</v>
          </cell>
          <cell r="BQ554">
            <v>0</v>
          </cell>
        </row>
        <row r="555">
          <cell r="BP555" t="str">
            <v>WILLIAMSBURG</v>
          </cell>
          <cell r="BQ555">
            <v>5</v>
          </cell>
        </row>
        <row r="556">
          <cell r="BP556" t="str">
            <v>WILMINGTON, DE-NJ-MD</v>
          </cell>
          <cell r="BQ556">
            <v>0</v>
          </cell>
        </row>
        <row r="557">
          <cell r="BP557" t="str">
            <v>WILMINGTON, NC</v>
          </cell>
          <cell r="BQ557">
            <v>0</v>
          </cell>
        </row>
        <row r="558">
          <cell r="BP558" t="str">
            <v>WINSTON SALEM</v>
          </cell>
          <cell r="BQ558">
            <v>0</v>
          </cell>
        </row>
        <row r="559">
          <cell r="BP559" t="str">
            <v>WISCONSIN NORTH AREA</v>
          </cell>
          <cell r="BQ559">
            <v>0</v>
          </cell>
        </row>
        <row r="560">
          <cell r="BP560" t="str">
            <v>WISCONSIN SOUTH AREA</v>
          </cell>
          <cell r="BQ560">
            <v>0</v>
          </cell>
        </row>
        <row r="561">
          <cell r="BP561" t="str">
            <v>WORCESTER, MA</v>
          </cell>
          <cell r="BQ561">
            <v>1</v>
          </cell>
        </row>
        <row r="562">
          <cell r="BP562" t="str">
            <v>WYOMING AREA</v>
          </cell>
          <cell r="BQ562">
            <v>0</v>
          </cell>
        </row>
        <row r="563">
          <cell r="BP563" t="str">
            <v>YORK, PA</v>
          </cell>
          <cell r="BQ563">
            <v>0</v>
          </cell>
        </row>
        <row r="564">
          <cell r="BP564" t="str">
            <v>YOUNGSTOWN-WARREN, OH</v>
          </cell>
          <cell r="BQ564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00"/>
      <sheetName val="1997"/>
      <sheetName val="1998"/>
      <sheetName val="99-01"/>
      <sheetName val="Summary"/>
      <sheetName val="Data Page"/>
      <sheetName val="Comps - Monthly"/>
      <sheetName val="Incent Comp Dtl"/>
      <sheetName val="LICALC"/>
      <sheetName val="Cash Flow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Lookups"/>
      <sheetName val="Q2 99 Projects"/>
      <sheetName val="Pivots Q2"/>
      <sheetName val="Old BT Pivots"/>
      <sheetName val="BT Brand p6"/>
      <sheetName val="BT Pg 2"/>
      <sheetName val="BT Pg 3"/>
      <sheetName val="BT Pg 4"/>
      <sheetName val="BT Pg 5"/>
      <sheetName val="BT MSAs p9"/>
      <sheetName val="BT States p18"/>
    </sheetNames>
    <sheetDataSet>
      <sheetData sheetId="0" refreshError="1"/>
      <sheetData sheetId="1" refreshError="1">
        <row r="41">
          <cell r="B41" t="str">
            <v>Hearthside Inn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Sheet1"/>
    </sheetNames>
    <sheetDataSet>
      <sheetData sheetId="0" refreshError="1">
        <row r="5">
          <cell r="B5">
            <v>425.95</v>
          </cell>
        </row>
        <row r="6">
          <cell r="F6">
            <v>49.26</v>
          </cell>
          <cell r="G6">
            <v>53.78</v>
          </cell>
        </row>
        <row r="7">
          <cell r="B7">
            <v>1393.56</v>
          </cell>
          <cell r="F7">
            <v>17.77</v>
          </cell>
          <cell r="G7">
            <v>23.65</v>
          </cell>
        </row>
        <row r="9">
          <cell r="B9">
            <v>458.11</v>
          </cell>
        </row>
        <row r="12">
          <cell r="B12">
            <v>21</v>
          </cell>
        </row>
        <row r="13">
          <cell r="B13">
            <v>17.9375</v>
          </cell>
        </row>
        <row r="14">
          <cell r="B14">
            <v>47</v>
          </cell>
        </row>
        <row r="15">
          <cell r="B15">
            <v>15.0625</v>
          </cell>
        </row>
        <row r="16">
          <cell r="B16">
            <v>10.375</v>
          </cell>
        </row>
        <row r="17">
          <cell r="B17">
            <v>44.625</v>
          </cell>
        </row>
        <row r="24">
          <cell r="B24">
            <v>17.8125</v>
          </cell>
        </row>
      </sheetData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Major v. River v. Equip."/>
      <sheetName val="LgCapEBITDA"/>
      <sheetName val="SmCapEBITDA"/>
      <sheetName val="SupplyEBITDA"/>
      <sheetName val="LgCapEPS"/>
      <sheetName val="SmCapEPS"/>
      <sheetName val="SupplyEPS"/>
      <sheetName val="LodgingEBITDA"/>
      <sheetName val="LodgingEPS"/>
      <sheetName val="LargerCap Gaming Stock Val 2001"/>
      <sheetName val="LargerCap Gaming Stock Val 2002"/>
      <sheetName val="Smaller Cap Gaming Stock Val"/>
      <sheetName val="Lodging Stock Val."/>
      <sheetName val="Universe Table"/>
      <sheetName val="Universe Table Gaming only"/>
      <sheetName val="Universe Table Lodging Only"/>
      <sheetName val="CruiseEBITDA"/>
      <sheetName val="CruiseEPS"/>
      <sheetName val="Industry (2)"/>
      <sheetName val="Industry"/>
      <sheetName val="Lodging Returns ppt"/>
      <sheetName val="pbos"/>
      <sheetName val="Major v. River"/>
      <sheetName val="Major v. Equipment"/>
      <sheetName val="EBITDA Growth"/>
      <sheetName val="LV REt"/>
      <sheetName val="River Ret"/>
      <sheetName val="Demographics"/>
      <sheetName val="Leisure"/>
      <sheetName val="States"/>
      <sheetName val="nongame"/>
      <sheetName val="nongame2"/>
      <sheetName val="Room Margin"/>
      <sheetName val="Hyp Casino"/>
      <sheetName val="lv gates"/>
      <sheetName val="potential"/>
      <sheetName val="LV Detail $1 Mil"/>
      <sheetName val="Room Mrgn 95"/>
      <sheetName val="ACcap2"/>
      <sheetName val="ACcap"/>
      <sheetName val="LVCap"/>
      <sheetName val="LVCap2"/>
      <sheetName val="LVrooms"/>
      <sheetName val="LV Investment"/>
      <sheetName val="disclosure"/>
      <sheetName val="disclosure inpres"/>
      <sheetName val="EBITDA Mix"/>
      <sheetName val="Free Cash Flow"/>
      <sheetName val="Tougher Comps in 01 "/>
      <sheetName val="Lodging Historical Returns"/>
      <sheetName val="Lodging Recent Price Trends"/>
      <sheetName val="Daily Closes"/>
      <sheetName val="Lodging PE Multiples"/>
      <sheetName val="Lodging EBITDA Multiples"/>
      <sheetName val="Lodging Stock Valuation"/>
      <sheetName val="Cash EPS, PE Multiples"/>
      <sheetName val="ABN EPS Est. V First Call"/>
      <sheetName val="THE LINK FOR ALL"/>
      <sheetName val="Worksheet Cash EPS, P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Model"/>
      <sheetName val="2003 Quarterly Model"/>
      <sheetName val="2002 Quarterly Model"/>
      <sheetName val="2001 Quarterly Model"/>
      <sheetName val="2000 Quarterly Model"/>
      <sheetName val="1999 Quarterly Model"/>
      <sheetName val="1998 Quarterly Model"/>
      <sheetName val="Brand Volumes"/>
      <sheetName val="GeographicDat"/>
      <sheetName val="SalesBreakdown"/>
      <sheetName val="Marketing Template"/>
      <sheetName val="ROIC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IncStat(PctofSales)"/>
      <sheetName val="Storage"/>
      <sheetName val="ValuationSummary"/>
      <sheetName val="Valuation"/>
      <sheetName val="ValuationInput"/>
      <sheetName val="SumSheet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Income-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AH11" t="str">
            <v>AAA 75 percentile</v>
          </cell>
        </row>
        <row r="12">
          <cell r="AH12" t="str">
            <v>AAA Median</v>
          </cell>
        </row>
        <row r="13">
          <cell r="AH13" t="str">
            <v>AAA 25 percentile</v>
          </cell>
          <cell r="AK13">
            <v>1</v>
          </cell>
        </row>
        <row r="14">
          <cell r="AH14" t="str">
            <v>AA 75 percentile</v>
          </cell>
          <cell r="AK14">
            <v>2</v>
          </cell>
        </row>
        <row r="15">
          <cell r="AH15" t="str">
            <v>AA Median</v>
          </cell>
          <cell r="AK15">
            <v>3</v>
          </cell>
        </row>
        <row r="16">
          <cell r="AH16" t="str">
            <v>AA 25 percentile</v>
          </cell>
        </row>
        <row r="17">
          <cell r="AH17" t="str">
            <v>A 75 percentile</v>
          </cell>
        </row>
        <row r="18">
          <cell r="AH18" t="str">
            <v>A Median</v>
          </cell>
        </row>
        <row r="19">
          <cell r="AH19" t="str">
            <v>A 25 percentile</v>
          </cell>
        </row>
        <row r="20">
          <cell r="AH20" t="str">
            <v>BBB 75 percentile</v>
          </cell>
        </row>
        <row r="21">
          <cell r="AH21" t="str">
            <v>BBB Median</v>
          </cell>
        </row>
        <row r="22">
          <cell r="AH22" t="str">
            <v>BBB 25 percentile</v>
          </cell>
        </row>
        <row r="23">
          <cell r="AH23" t="str">
            <v>BB 75 percentile</v>
          </cell>
        </row>
        <row r="24">
          <cell r="AH24" t="str">
            <v>BB Median</v>
          </cell>
        </row>
        <row r="25">
          <cell r="AH25" t="str">
            <v>BB 25 percentile</v>
          </cell>
        </row>
        <row r="26">
          <cell r="AH26" t="str">
            <v>B 75 percentile</v>
          </cell>
        </row>
        <row r="27">
          <cell r="AH27" t="str">
            <v>B Median</v>
          </cell>
        </row>
        <row r="28">
          <cell r="AH28" t="str">
            <v>B 25 percentile</v>
          </cell>
        </row>
        <row r="37">
          <cell r="AH37" t="str">
            <v>Bond rating model OFF</v>
          </cell>
        </row>
        <row r="38">
          <cell r="AH38" t="str">
            <v>Bond rating model ON, unadjusted</v>
          </cell>
        </row>
        <row r="39">
          <cell r="AH39" t="str">
            <v>AEROSPACE/DEFENSE</v>
          </cell>
        </row>
        <row r="40">
          <cell r="AH40" t="str">
            <v>AUTOMOTIVE-MANUFACTURE &amp; ASSEMBLY</v>
          </cell>
        </row>
        <row r="41">
          <cell r="AH41" t="str">
            <v>AUTOMOTIVE-COMPONENTS &amp; TIRES</v>
          </cell>
        </row>
        <row r="42">
          <cell r="AH42" t="str">
            <v>BUILDING MATERIALS</v>
          </cell>
        </row>
        <row r="43">
          <cell r="AH43" t="str">
            <v>CHEMICALS</v>
          </cell>
        </row>
        <row r="44">
          <cell r="AH44" t="str">
            <v>CONSTRUCTION</v>
          </cell>
        </row>
        <row r="45">
          <cell r="AH45" t="str">
            <v>CONSUMER DURABLES</v>
          </cell>
          <cell r="BJ45" t="str">
            <v>On average balance</v>
          </cell>
        </row>
        <row r="46">
          <cell r="AH46" t="str">
            <v>PACKAGING</v>
          </cell>
          <cell r="BJ46" t="str">
            <v>On starting balance</v>
          </cell>
        </row>
        <row r="47">
          <cell r="AH47" t="str">
            <v>TECHNOLOGY MANUFACTURING</v>
          </cell>
          <cell r="BJ47" t="str">
            <v>0 if no deal date set</v>
          </cell>
        </row>
        <row r="48">
          <cell r="AH48" t="str">
            <v>CONSUMER LEISURE</v>
          </cell>
        </row>
        <row r="49">
          <cell r="AH49" t="str">
            <v>PHARMACEUTICALS</v>
          </cell>
        </row>
        <row r="50">
          <cell r="AH50" t="str">
            <v>HEALTHCARE SUPPLIERS</v>
          </cell>
        </row>
        <row r="51">
          <cell r="AH51" t="str">
            <v>CONSUMER NON-DURABLES</v>
          </cell>
        </row>
        <row r="52">
          <cell r="AH52" t="str">
            <v>HEALTHCARE PROVIDERS</v>
          </cell>
        </row>
        <row r="53">
          <cell r="AH53" t="str">
            <v>CAPITAL GOODS &amp; EQUIPMENT</v>
          </cell>
        </row>
        <row r="54">
          <cell r="AH54" t="str">
            <v>FOOD &amp; BEVERAGE</v>
          </cell>
        </row>
        <row r="55">
          <cell r="AH55" t="str">
            <v>AGRICULTURE</v>
          </cell>
        </row>
        <row r="56">
          <cell r="AH56" t="str">
            <v>ENVIRONMENTAL SERVICES</v>
          </cell>
        </row>
        <row r="57">
          <cell r="AH57" t="str">
            <v>TRANSPORTATION-RAILROADS</v>
          </cell>
        </row>
        <row r="58">
          <cell r="AH58" t="str">
            <v>TRANSPORTATION-TRUCKING/AIR FREIGHT</v>
          </cell>
          <cell r="BJ58">
            <v>1</v>
          </cell>
        </row>
        <row r="59">
          <cell r="AH59" t="str">
            <v>SERVICES-MISC &amp; OTHER</v>
          </cell>
          <cell r="BJ59">
            <v>2</v>
          </cell>
        </row>
        <row r="60">
          <cell r="AH60" t="str">
            <v>SERVICES-PROFESSIONAL SERVICES</v>
          </cell>
          <cell r="BJ60">
            <v>3</v>
          </cell>
        </row>
        <row r="61">
          <cell r="AH61" t="str">
            <v>COAL, MINING &amp; METALS</v>
          </cell>
          <cell r="BJ61">
            <v>4</v>
          </cell>
        </row>
        <row r="62">
          <cell r="AH62" t="str">
            <v>FOREST PRODUCTS</v>
          </cell>
          <cell r="BJ62">
            <v>5</v>
          </cell>
        </row>
        <row r="63">
          <cell r="AH63" t="str">
            <v>PETROLEUM-OIL &amp; GAS PIPELINES</v>
          </cell>
          <cell r="BJ63">
            <v>6</v>
          </cell>
        </row>
        <row r="64">
          <cell r="AH64" t="str">
            <v>PETROLEUM - INTEGRATED</v>
          </cell>
          <cell r="BJ64">
            <v>7</v>
          </cell>
        </row>
        <row r="65">
          <cell r="AH65" t="str">
            <v>PETROLEUM-EXPLORATION &amp; PRODUCTION</v>
          </cell>
          <cell r="BJ65">
            <v>99</v>
          </cell>
        </row>
        <row r="66">
          <cell r="AH66" t="str">
            <v>PETROLEUM-REFINING &amp; MARKETING</v>
          </cell>
        </row>
        <row r="67">
          <cell r="AH67" t="str">
            <v>MEDIA-GENERAL</v>
          </cell>
        </row>
        <row r="68">
          <cell r="AH68" t="str">
            <v>MEDIA-PRINTING &amp; PUBLISHING</v>
          </cell>
        </row>
        <row r="69">
          <cell r="AH69" t="str">
            <v>REAL ESTATE</v>
          </cell>
        </row>
        <row r="70">
          <cell r="AH70" t="str">
            <v>RETAIL FOOD</v>
          </cell>
        </row>
        <row r="71">
          <cell r="AH71" t="str">
            <v>RETAIL NON-FOOD</v>
          </cell>
        </row>
        <row r="72">
          <cell r="AH72" t="str">
            <v>TRANSPORTATION-SHIPPING</v>
          </cell>
        </row>
        <row r="73">
          <cell r="AH73" t="str">
            <v>STEEL</v>
          </cell>
        </row>
        <row r="74">
          <cell r="AH74" t="str">
            <v>APPAREL,TEXTILES &amp; FURNITURE</v>
          </cell>
        </row>
        <row r="75">
          <cell r="AH75" t="str">
            <v>TOBACCO</v>
          </cell>
        </row>
        <row r="96">
          <cell r="AH96" t="str">
            <v>Very volatile EBIT (bad)</v>
          </cell>
          <cell r="AI96">
            <v>4.1609999999999996</v>
          </cell>
        </row>
        <row r="97">
          <cell r="AH97" t="str">
            <v>75th percentile</v>
          </cell>
          <cell r="AI97">
            <v>0.84899999999999998</v>
          </cell>
        </row>
        <row r="98">
          <cell r="AH98" t="str">
            <v>Median (use this if no other info)</v>
          </cell>
          <cell r="AI98">
            <v>0.42199999999999999</v>
          </cell>
        </row>
        <row r="99">
          <cell r="AH99" t="str">
            <v>25th percentile</v>
          </cell>
          <cell r="AI99">
            <v>0.215</v>
          </cell>
        </row>
        <row r="100">
          <cell r="AH100" t="str">
            <v>Very stable EBIT (good)</v>
          </cell>
          <cell r="AI100">
            <v>0.112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dman Pivots"/>
      <sheetName val="Est Comp"/>
      <sheetName val="Category Pivots"/>
      <sheetName val="Sheet1"/>
      <sheetName val="Brand Pivots"/>
      <sheetName val="Lookups"/>
      <sheetName val="Projects"/>
      <sheetName val="LE Brand"/>
      <sheetName val="All Cat"/>
      <sheetName val="STR Brand"/>
      <sheetName val="STR Est. Opens"/>
      <sheetName val="By MSA"/>
      <sheetName val="New Openings"/>
      <sheetName val="LEC PRojects"/>
      <sheetName val="LEC Pivot"/>
      <sheetName val="LEC Brand"/>
      <sheetName val="MS Ex Stay Pivot"/>
      <sheetName val="MS Ex Stay Chart"/>
      <sheetName val="Devp 1999 Q1 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lookup"/>
      <sheetName val="PIVOTS"/>
      <sheetName val="CENSUS LOOKUP"/>
      <sheetName val="TRACT LOOKUP"/>
      <sheetName val="BS TRACT LOOKUP"/>
      <sheetName val="CHAIN LOOKUP"/>
      <sheetName val="rawdata"/>
    </sheetNames>
    <sheetDataSet>
      <sheetData sheetId="0" refreshError="1">
        <row r="4">
          <cell r="B4" t="str">
            <v>Best Western</v>
          </cell>
          <cell r="C4">
            <v>24</v>
          </cell>
          <cell r="D4">
            <v>2297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Embassy Suites</v>
          </cell>
          <cell r="C5">
            <v>5</v>
          </cell>
          <cell r="D5">
            <v>1246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Hilton Hotel</v>
          </cell>
          <cell r="C6">
            <v>5</v>
          </cell>
          <cell r="D6">
            <v>2865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Holiday Inn</v>
          </cell>
          <cell r="C7">
            <v>9</v>
          </cell>
          <cell r="D7">
            <v>1567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Hyatt Hotel</v>
          </cell>
          <cell r="C8">
            <v>3</v>
          </cell>
          <cell r="D8">
            <v>1600</v>
          </cell>
          <cell r="E8">
            <v>0</v>
          </cell>
          <cell r="F8">
            <v>0</v>
          </cell>
          <cell r="G8">
            <v>1</v>
          </cell>
          <cell r="H8">
            <v>258</v>
          </cell>
        </row>
        <row r="9">
          <cell r="B9" t="str">
            <v>Marriott Hotel</v>
          </cell>
          <cell r="C9">
            <v>8</v>
          </cell>
          <cell r="D9">
            <v>3211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Motel 6</v>
          </cell>
          <cell r="C10">
            <v>10</v>
          </cell>
          <cell r="D10">
            <v>1543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Radisson Hotel</v>
          </cell>
          <cell r="C11">
            <v>5</v>
          </cell>
          <cell r="D11">
            <v>1326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3">
          <cell r="B13" t="str">
            <v>ACCOR</v>
          </cell>
          <cell r="C13">
            <v>14</v>
          </cell>
          <cell r="D13">
            <v>2059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Best Western Int'l</v>
          </cell>
          <cell r="C14">
            <v>24</v>
          </cell>
          <cell r="D14">
            <v>2297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Carlson Hospitality</v>
          </cell>
          <cell r="C15">
            <v>6</v>
          </cell>
          <cell r="D15">
            <v>1447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Cendant</v>
          </cell>
          <cell r="C16">
            <v>49</v>
          </cell>
          <cell r="D16">
            <v>4789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Hilton Hotel Corp.</v>
          </cell>
          <cell r="C17">
            <v>19</v>
          </cell>
          <cell r="D17">
            <v>5915</v>
          </cell>
          <cell r="E17">
            <v>1</v>
          </cell>
          <cell r="F17">
            <v>167</v>
          </cell>
          <cell r="G17">
            <v>0</v>
          </cell>
          <cell r="H17">
            <v>0</v>
          </cell>
        </row>
        <row r="18">
          <cell r="B18" t="str">
            <v>Hyatt Hotel Corp.</v>
          </cell>
          <cell r="C18">
            <v>3</v>
          </cell>
          <cell r="D18">
            <v>1600</v>
          </cell>
          <cell r="E18">
            <v>0</v>
          </cell>
          <cell r="F18">
            <v>0</v>
          </cell>
          <cell r="G18">
            <v>1</v>
          </cell>
          <cell r="H18">
            <v>258</v>
          </cell>
        </row>
        <row r="19">
          <cell r="B19" t="str">
            <v>Marriott Int'l</v>
          </cell>
          <cell r="C19">
            <v>28</v>
          </cell>
          <cell r="D19">
            <v>6668</v>
          </cell>
          <cell r="E19">
            <v>0</v>
          </cell>
          <cell r="F19">
            <v>0</v>
          </cell>
          <cell r="G19">
            <v>1</v>
          </cell>
          <cell r="H19">
            <v>174</v>
          </cell>
        </row>
        <row r="20">
          <cell r="B20" t="str">
            <v>Six Continents Hotels</v>
          </cell>
          <cell r="C20">
            <v>17</v>
          </cell>
          <cell r="D20">
            <v>3032</v>
          </cell>
          <cell r="E20">
            <v>1</v>
          </cell>
          <cell r="F20">
            <v>384</v>
          </cell>
          <cell r="G20">
            <v>1</v>
          </cell>
          <cell r="H20">
            <v>143</v>
          </cell>
        </row>
        <row r="22">
          <cell r="B22" t="str">
            <v>Economy</v>
          </cell>
          <cell r="C22">
            <v>77</v>
          </cell>
          <cell r="D22">
            <v>7098</v>
          </cell>
        </row>
        <row r="23">
          <cell r="B23" t="str">
            <v>Independent</v>
          </cell>
          <cell r="C23">
            <v>149</v>
          </cell>
          <cell r="D23">
            <v>14147</v>
          </cell>
        </row>
        <row r="24">
          <cell r="B24" t="str">
            <v>Midscale w/ F&amp;B</v>
          </cell>
          <cell r="C24">
            <v>53</v>
          </cell>
          <cell r="D24">
            <v>7337</v>
          </cell>
        </row>
        <row r="25">
          <cell r="B25" t="str">
            <v>Midscale w/o F&amp;B</v>
          </cell>
          <cell r="C25">
            <v>28</v>
          </cell>
          <cell r="D25">
            <v>3714</v>
          </cell>
        </row>
        <row r="26">
          <cell r="B26" t="str">
            <v>Upper Upscale</v>
          </cell>
          <cell r="C26">
            <v>27</v>
          </cell>
          <cell r="D26">
            <v>11076</v>
          </cell>
        </row>
        <row r="27">
          <cell r="B27" t="str">
            <v>Upscale</v>
          </cell>
          <cell r="C27">
            <v>33</v>
          </cell>
          <cell r="D27">
            <v>6300</v>
          </cell>
        </row>
        <row r="30">
          <cell r="B30" t="str">
            <v>Courtyard by Marriott</v>
          </cell>
          <cell r="C30">
            <v>20</v>
          </cell>
          <cell r="D30">
            <v>2914</v>
          </cell>
          <cell r="E30">
            <v>1</v>
          </cell>
          <cell r="F30">
            <v>154</v>
          </cell>
          <cell r="G30">
            <v>0</v>
          </cell>
          <cell r="H30">
            <v>0</v>
          </cell>
        </row>
        <row r="31">
          <cell r="B31" t="str">
            <v>Days Inn</v>
          </cell>
          <cell r="C31">
            <v>35</v>
          </cell>
          <cell r="D31">
            <v>3284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Hampton Inn</v>
          </cell>
          <cell r="C32">
            <v>25</v>
          </cell>
          <cell r="D32">
            <v>2667</v>
          </cell>
          <cell r="E32">
            <v>2</v>
          </cell>
          <cell r="F32">
            <v>162</v>
          </cell>
          <cell r="G32">
            <v>1</v>
          </cell>
          <cell r="H32">
            <v>72</v>
          </cell>
        </row>
        <row r="33">
          <cell r="B33" t="str">
            <v>Hilton Hotel</v>
          </cell>
          <cell r="C33">
            <v>4</v>
          </cell>
          <cell r="D33">
            <v>2221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Holiday Inn</v>
          </cell>
          <cell r="C34">
            <v>12</v>
          </cell>
          <cell r="D34">
            <v>2357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Marriott Hotel</v>
          </cell>
          <cell r="C35">
            <v>12</v>
          </cell>
          <cell r="D35">
            <v>5202</v>
          </cell>
          <cell r="E35">
            <v>1</v>
          </cell>
          <cell r="F35">
            <v>318</v>
          </cell>
          <cell r="G35">
            <v>0</v>
          </cell>
          <cell r="H35">
            <v>0</v>
          </cell>
        </row>
        <row r="36">
          <cell r="B36" t="str">
            <v>Sheraton Hotel</v>
          </cell>
          <cell r="C36">
            <v>5</v>
          </cell>
          <cell r="D36">
            <v>2237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Suburban Lodge</v>
          </cell>
          <cell r="C37">
            <v>22</v>
          </cell>
          <cell r="D37">
            <v>2864</v>
          </cell>
          <cell r="E37">
            <v>1</v>
          </cell>
          <cell r="F37">
            <v>149</v>
          </cell>
          <cell r="G37">
            <v>0</v>
          </cell>
          <cell r="H37">
            <v>0</v>
          </cell>
        </row>
        <row r="39">
          <cell r="B39" t="str">
            <v>ACCOR</v>
          </cell>
          <cell r="C39">
            <v>25</v>
          </cell>
          <cell r="D39">
            <v>2873</v>
          </cell>
          <cell r="E39">
            <v>1</v>
          </cell>
          <cell r="F39">
            <v>75</v>
          </cell>
          <cell r="G39">
            <v>1</v>
          </cell>
          <cell r="H39">
            <v>65</v>
          </cell>
        </row>
        <row r="40">
          <cell r="B40" t="str">
            <v>Cendant</v>
          </cell>
          <cell r="C40">
            <v>104</v>
          </cell>
          <cell r="D40">
            <v>9636</v>
          </cell>
          <cell r="E40">
            <v>3</v>
          </cell>
          <cell r="F40">
            <v>228</v>
          </cell>
          <cell r="G40">
            <v>2</v>
          </cell>
          <cell r="H40">
            <v>142</v>
          </cell>
        </row>
        <row r="41">
          <cell r="B41" t="str">
            <v>Choice Hotels</v>
          </cell>
          <cell r="C41">
            <v>60</v>
          </cell>
          <cell r="D41">
            <v>5110</v>
          </cell>
          <cell r="E41">
            <v>5</v>
          </cell>
          <cell r="F41">
            <v>349</v>
          </cell>
          <cell r="G41">
            <v>2</v>
          </cell>
          <cell r="H41">
            <v>145</v>
          </cell>
        </row>
        <row r="42">
          <cell r="B42" t="str">
            <v>Hilton Hotel Corp.</v>
          </cell>
          <cell r="C42">
            <v>53</v>
          </cell>
          <cell r="D42">
            <v>8958</v>
          </cell>
          <cell r="E42">
            <v>2</v>
          </cell>
          <cell r="F42">
            <v>162</v>
          </cell>
          <cell r="G42">
            <v>5</v>
          </cell>
          <cell r="H42">
            <v>574</v>
          </cell>
        </row>
        <row r="43">
          <cell r="B43" t="str">
            <v>Marriott Int'l</v>
          </cell>
          <cell r="C43">
            <v>74</v>
          </cell>
          <cell r="D43">
            <v>15067</v>
          </cell>
          <cell r="E43">
            <v>6</v>
          </cell>
          <cell r="F43">
            <v>806</v>
          </cell>
          <cell r="G43">
            <v>0</v>
          </cell>
          <cell r="H43">
            <v>0</v>
          </cell>
        </row>
        <row r="44">
          <cell r="B44" t="str">
            <v>Six Continents Hotels</v>
          </cell>
          <cell r="C44">
            <v>46</v>
          </cell>
          <cell r="D44">
            <v>6851</v>
          </cell>
          <cell r="E44">
            <v>3</v>
          </cell>
          <cell r="F44">
            <v>315</v>
          </cell>
          <cell r="G44">
            <v>2</v>
          </cell>
          <cell r="H44">
            <v>122</v>
          </cell>
        </row>
        <row r="45">
          <cell r="B45" t="str">
            <v>Starwood Hotels</v>
          </cell>
          <cell r="C45">
            <v>10</v>
          </cell>
          <cell r="D45">
            <v>4850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Suburban Lodges</v>
          </cell>
          <cell r="C46">
            <v>27</v>
          </cell>
          <cell r="D46">
            <v>3674</v>
          </cell>
          <cell r="E46">
            <v>1</v>
          </cell>
          <cell r="F46">
            <v>149</v>
          </cell>
          <cell r="G46">
            <v>1</v>
          </cell>
          <cell r="H46">
            <v>39</v>
          </cell>
        </row>
        <row r="48">
          <cell r="B48" t="str">
            <v>Economy</v>
          </cell>
          <cell r="C48">
            <v>216</v>
          </cell>
          <cell r="D48">
            <v>21056</v>
          </cell>
        </row>
        <row r="49">
          <cell r="B49" t="str">
            <v>Independent</v>
          </cell>
          <cell r="C49">
            <v>90</v>
          </cell>
          <cell r="D49">
            <v>8740</v>
          </cell>
        </row>
        <row r="50">
          <cell r="B50" t="str">
            <v>Midscale w/ F&amp;B</v>
          </cell>
          <cell r="C50">
            <v>57</v>
          </cell>
          <cell r="D50">
            <v>8288</v>
          </cell>
        </row>
        <row r="51">
          <cell r="B51" t="str">
            <v>Midscale w/o F&amp;B</v>
          </cell>
          <cell r="C51">
            <v>165</v>
          </cell>
          <cell r="D51">
            <v>16353</v>
          </cell>
        </row>
        <row r="52">
          <cell r="B52" t="str">
            <v>Upper Upscale</v>
          </cell>
          <cell r="C52">
            <v>51</v>
          </cell>
          <cell r="D52">
            <v>20550</v>
          </cell>
        </row>
        <row r="53">
          <cell r="B53" t="str">
            <v>Upscale</v>
          </cell>
          <cell r="C53">
            <v>71</v>
          </cell>
          <cell r="D53">
            <v>10901</v>
          </cell>
        </row>
        <row r="56">
          <cell r="B56" t="str">
            <v>Best Western</v>
          </cell>
          <cell r="C56">
            <v>13</v>
          </cell>
          <cell r="D56">
            <v>1711</v>
          </cell>
          <cell r="E56">
            <v>0</v>
          </cell>
          <cell r="F56">
            <v>0</v>
          </cell>
          <cell r="G56">
            <v>1</v>
          </cell>
          <cell r="H56">
            <v>92</v>
          </cell>
        </row>
        <row r="57">
          <cell r="B57" t="str">
            <v>Courtyard by Marriott</v>
          </cell>
          <cell r="C57">
            <v>9</v>
          </cell>
          <cell r="D57">
            <v>1292</v>
          </cell>
          <cell r="E57">
            <v>1</v>
          </cell>
          <cell r="F57">
            <v>154</v>
          </cell>
          <cell r="G57">
            <v>1</v>
          </cell>
          <cell r="H57">
            <v>181</v>
          </cell>
        </row>
        <row r="58">
          <cell r="B58" t="str">
            <v>Hilton Hotel</v>
          </cell>
          <cell r="C58">
            <v>3</v>
          </cell>
          <cell r="D58">
            <v>1234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Holiday Inn</v>
          </cell>
          <cell r="C59">
            <v>11</v>
          </cell>
          <cell r="D59">
            <v>2245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Marriott Hotel</v>
          </cell>
          <cell r="C60">
            <v>7</v>
          </cell>
          <cell r="D60">
            <v>3539</v>
          </cell>
          <cell r="E60">
            <v>0</v>
          </cell>
          <cell r="F60">
            <v>0</v>
          </cell>
          <cell r="G60">
            <v>1</v>
          </cell>
          <cell r="H60">
            <v>464</v>
          </cell>
        </row>
        <row r="61">
          <cell r="B61" t="str">
            <v>Residence Inn</v>
          </cell>
          <cell r="C61">
            <v>10</v>
          </cell>
          <cell r="D61">
            <v>1185</v>
          </cell>
          <cell r="E61">
            <v>1</v>
          </cell>
          <cell r="F61">
            <v>125</v>
          </cell>
          <cell r="G61">
            <v>4</v>
          </cell>
          <cell r="H61">
            <v>424</v>
          </cell>
        </row>
        <row r="62">
          <cell r="B62" t="str">
            <v>Sheraton Hotel</v>
          </cell>
          <cell r="C62">
            <v>9</v>
          </cell>
          <cell r="D62">
            <v>3548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Westin  Hotel</v>
          </cell>
          <cell r="C63">
            <v>2</v>
          </cell>
          <cell r="D63">
            <v>1147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5">
          <cell r="B65" t="str">
            <v>Best Western Int'l</v>
          </cell>
          <cell r="C65">
            <v>13</v>
          </cell>
          <cell r="D65">
            <v>1711</v>
          </cell>
          <cell r="E65">
            <v>0</v>
          </cell>
          <cell r="F65">
            <v>0</v>
          </cell>
          <cell r="G65">
            <v>1</v>
          </cell>
          <cell r="H65">
            <v>92</v>
          </cell>
        </row>
        <row r="66">
          <cell r="B66" t="str">
            <v>Carlson Hospitality</v>
          </cell>
          <cell r="C66">
            <v>5</v>
          </cell>
          <cell r="D66">
            <v>1887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Cendant</v>
          </cell>
          <cell r="C67">
            <v>25</v>
          </cell>
          <cell r="D67">
            <v>3086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Hilton Hotel Corp.</v>
          </cell>
          <cell r="C68">
            <v>19</v>
          </cell>
          <cell r="D68">
            <v>4103</v>
          </cell>
          <cell r="E68">
            <v>2</v>
          </cell>
          <cell r="F68">
            <v>366</v>
          </cell>
          <cell r="G68">
            <v>2</v>
          </cell>
          <cell r="H68">
            <v>330</v>
          </cell>
        </row>
        <row r="69">
          <cell r="B69" t="str">
            <v>Marriott Int'l</v>
          </cell>
          <cell r="C69">
            <v>37</v>
          </cell>
          <cell r="D69">
            <v>7705</v>
          </cell>
          <cell r="E69">
            <v>2</v>
          </cell>
          <cell r="F69">
            <v>279</v>
          </cell>
          <cell r="G69">
            <v>8</v>
          </cell>
          <cell r="H69">
            <v>1398</v>
          </cell>
        </row>
        <row r="70">
          <cell r="B70" t="str">
            <v>Six Continents Hotels</v>
          </cell>
          <cell r="C70">
            <v>22</v>
          </cell>
          <cell r="D70">
            <v>4086</v>
          </cell>
          <cell r="E70">
            <v>2</v>
          </cell>
          <cell r="F70">
            <v>274</v>
          </cell>
          <cell r="G70">
            <v>0</v>
          </cell>
          <cell r="H70">
            <v>0</v>
          </cell>
        </row>
        <row r="71">
          <cell r="B71" t="str">
            <v>Starwood Hotels</v>
          </cell>
          <cell r="C71">
            <v>17</v>
          </cell>
          <cell r="D71">
            <v>5611</v>
          </cell>
          <cell r="E71">
            <v>0</v>
          </cell>
          <cell r="F71">
            <v>0</v>
          </cell>
          <cell r="G71">
            <v>1</v>
          </cell>
          <cell r="H71">
            <v>168</v>
          </cell>
        </row>
        <row r="72">
          <cell r="B72" t="str">
            <v>Wyndham Int'l</v>
          </cell>
          <cell r="C72">
            <v>7</v>
          </cell>
          <cell r="D72">
            <v>1663</v>
          </cell>
          <cell r="E72">
            <v>0</v>
          </cell>
          <cell r="F72">
            <v>0</v>
          </cell>
          <cell r="G72">
            <v>1</v>
          </cell>
          <cell r="H72">
            <v>180</v>
          </cell>
        </row>
        <row r="74">
          <cell r="B74" t="str">
            <v>Economy</v>
          </cell>
          <cell r="C74">
            <v>30</v>
          </cell>
          <cell r="D74">
            <v>3092</v>
          </cell>
        </row>
        <row r="75">
          <cell r="B75" t="str">
            <v>Independent</v>
          </cell>
          <cell r="C75">
            <v>92</v>
          </cell>
          <cell r="D75">
            <v>7045</v>
          </cell>
        </row>
        <row r="76">
          <cell r="B76" t="str">
            <v>Midscale w/ F&amp;B</v>
          </cell>
          <cell r="C76">
            <v>47</v>
          </cell>
          <cell r="D76">
            <v>7423</v>
          </cell>
        </row>
        <row r="77">
          <cell r="B77" t="str">
            <v>Midscale w/o F&amp;B</v>
          </cell>
          <cell r="C77">
            <v>36</v>
          </cell>
          <cell r="D77">
            <v>4527</v>
          </cell>
        </row>
        <row r="78">
          <cell r="B78" t="str">
            <v>Upper Upscale</v>
          </cell>
          <cell r="C78">
            <v>41</v>
          </cell>
          <cell r="D78">
            <v>15652</v>
          </cell>
        </row>
        <row r="79">
          <cell r="B79" t="str">
            <v>Upscale</v>
          </cell>
          <cell r="C79">
            <v>36</v>
          </cell>
          <cell r="D79">
            <v>6474</v>
          </cell>
        </row>
        <row r="82">
          <cell r="B82" t="str">
            <v>Best Western</v>
          </cell>
          <cell r="C82">
            <v>16</v>
          </cell>
          <cell r="D82">
            <v>1939</v>
          </cell>
          <cell r="E82">
            <v>1</v>
          </cell>
          <cell r="F82">
            <v>86</v>
          </cell>
          <cell r="G82">
            <v>1</v>
          </cell>
          <cell r="H82">
            <v>50</v>
          </cell>
        </row>
        <row r="83">
          <cell r="B83" t="str">
            <v>Extended Stay America</v>
          </cell>
          <cell r="C83">
            <v>15</v>
          </cell>
          <cell r="D83">
            <v>1772</v>
          </cell>
          <cell r="E83">
            <v>2</v>
          </cell>
          <cell r="F83">
            <v>238</v>
          </cell>
          <cell r="G83">
            <v>0</v>
          </cell>
          <cell r="H83">
            <v>0</v>
          </cell>
        </row>
        <row r="84">
          <cell r="B84" t="str">
            <v>Hilton Hotel</v>
          </cell>
          <cell r="C84">
            <v>7</v>
          </cell>
          <cell r="D84">
            <v>4987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Holiday Inn</v>
          </cell>
          <cell r="C85">
            <v>20</v>
          </cell>
          <cell r="D85">
            <v>4834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B86" t="str">
            <v>Hyatt Hotel</v>
          </cell>
          <cell r="C86">
            <v>10</v>
          </cell>
          <cell r="D86">
            <v>5806</v>
          </cell>
          <cell r="E86">
            <v>1</v>
          </cell>
          <cell r="F86">
            <v>203</v>
          </cell>
          <cell r="G86">
            <v>0</v>
          </cell>
          <cell r="H86">
            <v>0</v>
          </cell>
        </row>
        <row r="87">
          <cell r="B87" t="str">
            <v>Marriott Hotel</v>
          </cell>
          <cell r="C87">
            <v>7</v>
          </cell>
          <cell r="D87">
            <v>3492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Radisson Hotel</v>
          </cell>
          <cell r="C88">
            <v>8</v>
          </cell>
          <cell r="D88">
            <v>2179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Sheraton Hotel</v>
          </cell>
          <cell r="C89">
            <v>5</v>
          </cell>
          <cell r="D89">
            <v>2551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1">
          <cell r="B91" t="str">
            <v>Best Western Int'l</v>
          </cell>
          <cell r="C91">
            <v>16</v>
          </cell>
          <cell r="D91">
            <v>1939</v>
          </cell>
          <cell r="E91">
            <v>1</v>
          </cell>
          <cell r="F91">
            <v>86</v>
          </cell>
          <cell r="G91">
            <v>1</v>
          </cell>
          <cell r="H91">
            <v>50</v>
          </cell>
        </row>
        <row r="92">
          <cell r="B92" t="str">
            <v>Carlson Hospitality</v>
          </cell>
          <cell r="C92">
            <v>15</v>
          </cell>
          <cell r="D92">
            <v>3214</v>
          </cell>
          <cell r="E92">
            <v>2</v>
          </cell>
          <cell r="F92">
            <v>180</v>
          </cell>
          <cell r="G92">
            <v>1</v>
          </cell>
          <cell r="H92">
            <v>84</v>
          </cell>
        </row>
        <row r="93">
          <cell r="B93" t="str">
            <v>Extended Stay America</v>
          </cell>
          <cell r="C93">
            <v>17</v>
          </cell>
          <cell r="D93">
            <v>2015</v>
          </cell>
          <cell r="E93">
            <v>2</v>
          </cell>
          <cell r="F93">
            <v>238</v>
          </cell>
          <cell r="G93">
            <v>0</v>
          </cell>
          <cell r="H93">
            <v>0</v>
          </cell>
        </row>
        <row r="94">
          <cell r="B94" t="str">
            <v>Hilton Hotel Corp.</v>
          </cell>
          <cell r="C94">
            <v>43</v>
          </cell>
          <cell r="D94">
            <v>12083</v>
          </cell>
          <cell r="E94">
            <v>4</v>
          </cell>
          <cell r="F94">
            <v>895</v>
          </cell>
          <cell r="G94">
            <v>2</v>
          </cell>
          <cell r="H94">
            <v>634</v>
          </cell>
        </row>
        <row r="95">
          <cell r="B95" t="str">
            <v>Hyatt Hotel Corp.</v>
          </cell>
          <cell r="C95">
            <v>10</v>
          </cell>
          <cell r="D95">
            <v>5806</v>
          </cell>
          <cell r="E95">
            <v>1</v>
          </cell>
          <cell r="F95">
            <v>203</v>
          </cell>
          <cell r="G95">
            <v>0</v>
          </cell>
          <cell r="H95">
            <v>0</v>
          </cell>
        </row>
        <row r="96">
          <cell r="B96" t="str">
            <v>Marriott Int'l</v>
          </cell>
          <cell r="C96">
            <v>34</v>
          </cell>
          <cell r="D96">
            <v>8561</v>
          </cell>
          <cell r="E96">
            <v>0</v>
          </cell>
          <cell r="F96">
            <v>0</v>
          </cell>
          <cell r="G96">
            <v>2</v>
          </cell>
          <cell r="H96">
            <v>310</v>
          </cell>
        </row>
        <row r="97">
          <cell r="B97" t="str">
            <v>Six Continents Hotels</v>
          </cell>
          <cell r="C97">
            <v>37</v>
          </cell>
          <cell r="D97">
            <v>8570</v>
          </cell>
          <cell r="E97">
            <v>1</v>
          </cell>
          <cell r="F97">
            <v>202</v>
          </cell>
          <cell r="G97">
            <v>1</v>
          </cell>
          <cell r="H97">
            <v>86</v>
          </cell>
        </row>
        <row r="98">
          <cell r="B98" t="str">
            <v>Starwood Hotels</v>
          </cell>
          <cell r="C98">
            <v>12</v>
          </cell>
          <cell r="D98">
            <v>5481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100">
          <cell r="B100" t="str">
            <v>Economy</v>
          </cell>
          <cell r="C100">
            <v>81</v>
          </cell>
          <cell r="D100">
            <v>9093</v>
          </cell>
        </row>
        <row r="101">
          <cell r="B101" t="str">
            <v>Independent</v>
          </cell>
          <cell r="C101">
            <v>151</v>
          </cell>
          <cell r="D101">
            <v>14490</v>
          </cell>
        </row>
        <row r="102">
          <cell r="B102" t="str">
            <v>Midscale w/ F&amp;B</v>
          </cell>
          <cell r="C102">
            <v>57</v>
          </cell>
          <cell r="D102">
            <v>11491</v>
          </cell>
        </row>
        <row r="103">
          <cell r="B103" t="str">
            <v>Midscale w/o F&amp;B</v>
          </cell>
          <cell r="C103">
            <v>82</v>
          </cell>
          <cell r="D103">
            <v>9253</v>
          </cell>
        </row>
        <row r="104">
          <cell r="B104" t="str">
            <v>Upper Upscale</v>
          </cell>
          <cell r="C104">
            <v>61</v>
          </cell>
          <cell r="D104">
            <v>28633</v>
          </cell>
        </row>
        <row r="105">
          <cell r="B105" t="str">
            <v>Upscale</v>
          </cell>
          <cell r="C105">
            <v>55</v>
          </cell>
          <cell r="D105">
            <v>10836</v>
          </cell>
        </row>
        <row r="108">
          <cell r="B108" t="str">
            <v>Adam's Mark</v>
          </cell>
          <cell r="C108">
            <v>1</v>
          </cell>
          <cell r="D108">
            <v>1844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Budget Suites of America</v>
          </cell>
          <cell r="C109">
            <v>8</v>
          </cell>
          <cell r="D109">
            <v>2782</v>
          </cell>
          <cell r="E109">
            <v>3</v>
          </cell>
          <cell r="F109">
            <v>934</v>
          </cell>
          <cell r="G109">
            <v>0</v>
          </cell>
          <cell r="H109">
            <v>0</v>
          </cell>
        </row>
        <row r="110">
          <cell r="B110" t="str">
            <v>Courtyard by Marriott</v>
          </cell>
          <cell r="C110">
            <v>14</v>
          </cell>
          <cell r="D110">
            <v>2055</v>
          </cell>
          <cell r="E110">
            <v>1</v>
          </cell>
          <cell r="F110">
            <v>176</v>
          </cell>
          <cell r="G110">
            <v>1</v>
          </cell>
          <cell r="H110">
            <v>121</v>
          </cell>
        </row>
        <row r="111">
          <cell r="B111" t="str">
            <v>Holiday Inn Select</v>
          </cell>
          <cell r="C111">
            <v>6</v>
          </cell>
          <cell r="D111">
            <v>1649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La Quinta Inn</v>
          </cell>
          <cell r="C112">
            <v>15</v>
          </cell>
          <cell r="D112">
            <v>1903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Marriott Hotel</v>
          </cell>
          <cell r="C113">
            <v>5</v>
          </cell>
          <cell r="D113">
            <v>1867</v>
          </cell>
          <cell r="E113">
            <v>1</v>
          </cell>
          <cell r="F113">
            <v>364</v>
          </cell>
          <cell r="G113">
            <v>0</v>
          </cell>
          <cell r="H113">
            <v>0</v>
          </cell>
        </row>
        <row r="114">
          <cell r="B114" t="str">
            <v>Sheraton Hotel</v>
          </cell>
          <cell r="C114">
            <v>5</v>
          </cell>
          <cell r="D114">
            <v>1639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Wyndham Hotel</v>
          </cell>
          <cell r="C115">
            <v>1</v>
          </cell>
          <cell r="D115">
            <v>1620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7">
          <cell r="B117" t="str">
            <v>Adam's Mark</v>
          </cell>
          <cell r="C117">
            <v>1</v>
          </cell>
          <cell r="D117">
            <v>1844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Bigelow Cos.</v>
          </cell>
          <cell r="C118">
            <v>8</v>
          </cell>
          <cell r="D118">
            <v>2782</v>
          </cell>
          <cell r="E118">
            <v>3</v>
          </cell>
          <cell r="F118">
            <v>934</v>
          </cell>
          <cell r="G118">
            <v>0</v>
          </cell>
          <cell r="H118">
            <v>0</v>
          </cell>
        </row>
        <row r="119">
          <cell r="B119" t="str">
            <v>Hilton Hotel Corp.</v>
          </cell>
          <cell r="C119">
            <v>31</v>
          </cell>
          <cell r="D119">
            <v>5826</v>
          </cell>
          <cell r="E119">
            <v>0</v>
          </cell>
          <cell r="F119">
            <v>0</v>
          </cell>
          <cell r="G119">
            <v>2</v>
          </cell>
          <cell r="H119">
            <v>648</v>
          </cell>
        </row>
        <row r="120">
          <cell r="B120" t="str">
            <v>La Quinta Inns</v>
          </cell>
          <cell r="C120">
            <v>15</v>
          </cell>
          <cell r="D120">
            <v>1903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Marriott Int'l</v>
          </cell>
          <cell r="C121">
            <v>42</v>
          </cell>
          <cell r="D121">
            <v>7332</v>
          </cell>
          <cell r="E121">
            <v>4</v>
          </cell>
          <cell r="F121">
            <v>717</v>
          </cell>
          <cell r="G121">
            <v>3</v>
          </cell>
          <cell r="H121">
            <v>558</v>
          </cell>
        </row>
        <row r="122">
          <cell r="B122" t="str">
            <v>Six Continents Hotels</v>
          </cell>
          <cell r="C122">
            <v>27</v>
          </cell>
          <cell r="D122">
            <v>5433</v>
          </cell>
          <cell r="E122">
            <v>1</v>
          </cell>
          <cell r="F122">
            <v>81</v>
          </cell>
          <cell r="G122">
            <v>0</v>
          </cell>
          <cell r="H122">
            <v>0</v>
          </cell>
        </row>
        <row r="123">
          <cell r="B123" t="str">
            <v>Starwood Hotels</v>
          </cell>
          <cell r="C123">
            <v>8</v>
          </cell>
          <cell r="D123">
            <v>2908</v>
          </cell>
          <cell r="E123">
            <v>1</v>
          </cell>
          <cell r="F123">
            <v>301</v>
          </cell>
          <cell r="G123">
            <v>0</v>
          </cell>
          <cell r="H123">
            <v>0</v>
          </cell>
        </row>
        <row r="124">
          <cell r="B124" t="str">
            <v>Wyndham Int'l</v>
          </cell>
          <cell r="C124">
            <v>7</v>
          </cell>
          <cell r="D124">
            <v>2619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6">
          <cell r="B126" t="str">
            <v>Economy</v>
          </cell>
          <cell r="C126">
            <v>105</v>
          </cell>
          <cell r="D126">
            <v>10082</v>
          </cell>
        </row>
        <row r="127">
          <cell r="B127" t="str">
            <v>Independent</v>
          </cell>
          <cell r="C127">
            <v>96</v>
          </cell>
          <cell r="D127">
            <v>10178</v>
          </cell>
        </row>
        <row r="128">
          <cell r="B128" t="str">
            <v>Midscale w/ F&amp;B</v>
          </cell>
          <cell r="C128">
            <v>55</v>
          </cell>
          <cell r="D128">
            <v>8176</v>
          </cell>
        </row>
        <row r="129">
          <cell r="B129" t="str">
            <v>Midscale w/o F&amp;B</v>
          </cell>
          <cell r="C129">
            <v>99</v>
          </cell>
          <cell r="D129">
            <v>10402</v>
          </cell>
        </row>
        <row r="130">
          <cell r="B130" t="str">
            <v>Upper Upscale</v>
          </cell>
          <cell r="C130">
            <v>34</v>
          </cell>
          <cell r="D130">
            <v>13679</v>
          </cell>
        </row>
        <row r="131">
          <cell r="B131" t="str">
            <v>Upscale</v>
          </cell>
          <cell r="C131">
            <v>58</v>
          </cell>
          <cell r="D131">
            <v>11136</v>
          </cell>
        </row>
        <row r="134">
          <cell r="B134" t="str">
            <v>Adam's Mark</v>
          </cell>
          <cell r="C134">
            <v>1</v>
          </cell>
          <cell r="D134">
            <v>1225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Best Western</v>
          </cell>
          <cell r="C135">
            <v>7</v>
          </cell>
          <cell r="D135">
            <v>1078</v>
          </cell>
          <cell r="E135">
            <v>0</v>
          </cell>
          <cell r="F135">
            <v>0</v>
          </cell>
          <cell r="G135">
            <v>1</v>
          </cell>
          <cell r="H135">
            <v>68</v>
          </cell>
        </row>
        <row r="136">
          <cell r="B136" t="str">
            <v>Hampton Inn</v>
          </cell>
          <cell r="C136">
            <v>9</v>
          </cell>
          <cell r="D136">
            <v>1070</v>
          </cell>
          <cell r="E136">
            <v>0</v>
          </cell>
          <cell r="F136">
            <v>0</v>
          </cell>
          <cell r="G136">
            <v>1</v>
          </cell>
          <cell r="H136">
            <v>71</v>
          </cell>
        </row>
        <row r="137">
          <cell r="B137" t="str">
            <v>Holiday Inn</v>
          </cell>
          <cell r="C137">
            <v>7</v>
          </cell>
          <cell r="D137">
            <v>1867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La Quinta Inn</v>
          </cell>
          <cell r="C138">
            <v>10</v>
          </cell>
          <cell r="D138">
            <v>1273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Marriott Hotel</v>
          </cell>
          <cell r="C139">
            <v>4</v>
          </cell>
          <cell r="D139">
            <v>1783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Motel 6</v>
          </cell>
          <cell r="C140">
            <v>8</v>
          </cell>
          <cell r="D140">
            <v>1033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B141" t="str">
            <v>Super 8</v>
          </cell>
          <cell r="C141">
            <v>12</v>
          </cell>
          <cell r="D141">
            <v>1191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3">
          <cell r="B143" t="str">
            <v>ACCOR</v>
          </cell>
          <cell r="C143">
            <v>9</v>
          </cell>
          <cell r="D143">
            <v>1156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Adam's Mark</v>
          </cell>
          <cell r="C144">
            <v>1</v>
          </cell>
          <cell r="D144">
            <v>1225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Best Western Int'l</v>
          </cell>
          <cell r="C145">
            <v>7</v>
          </cell>
          <cell r="D145">
            <v>1078</v>
          </cell>
          <cell r="E145">
            <v>0</v>
          </cell>
          <cell r="F145">
            <v>0</v>
          </cell>
          <cell r="G145">
            <v>1</v>
          </cell>
          <cell r="H145">
            <v>68</v>
          </cell>
        </row>
        <row r="146">
          <cell r="B146" t="str">
            <v>Cendant</v>
          </cell>
          <cell r="C146">
            <v>26</v>
          </cell>
          <cell r="D146">
            <v>2953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Hilton Hotel Corp.</v>
          </cell>
          <cell r="C147">
            <v>21</v>
          </cell>
          <cell r="D147">
            <v>4142</v>
          </cell>
          <cell r="E147">
            <v>0</v>
          </cell>
          <cell r="F147">
            <v>0</v>
          </cell>
          <cell r="G147">
            <v>1</v>
          </cell>
          <cell r="H147">
            <v>71</v>
          </cell>
        </row>
        <row r="148">
          <cell r="B148" t="str">
            <v>La Quinta Inns</v>
          </cell>
          <cell r="C148">
            <v>10</v>
          </cell>
          <cell r="D148">
            <v>1273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Marriott Int'l</v>
          </cell>
          <cell r="C149">
            <v>32</v>
          </cell>
          <cell r="D149">
            <v>5434</v>
          </cell>
          <cell r="E149">
            <v>9</v>
          </cell>
          <cell r="F149">
            <v>1017</v>
          </cell>
          <cell r="G149">
            <v>0</v>
          </cell>
          <cell r="H149">
            <v>0</v>
          </cell>
        </row>
        <row r="150">
          <cell r="B150" t="str">
            <v>Six Continents Hotels</v>
          </cell>
          <cell r="C150">
            <v>16</v>
          </cell>
          <cell r="D150">
            <v>2656</v>
          </cell>
          <cell r="E150">
            <v>2</v>
          </cell>
          <cell r="F150">
            <v>191</v>
          </cell>
          <cell r="G150">
            <v>1</v>
          </cell>
          <cell r="H150">
            <v>121</v>
          </cell>
        </row>
        <row r="152">
          <cell r="B152" t="str">
            <v>Economy</v>
          </cell>
          <cell r="C152">
            <v>45</v>
          </cell>
          <cell r="D152">
            <v>5152</v>
          </cell>
        </row>
        <row r="153">
          <cell r="B153" t="str">
            <v>Independent</v>
          </cell>
          <cell r="C153">
            <v>44</v>
          </cell>
          <cell r="D153">
            <v>4932</v>
          </cell>
        </row>
        <row r="154">
          <cell r="B154" t="str">
            <v>Midscale w/ F&amp;B</v>
          </cell>
          <cell r="C154">
            <v>31</v>
          </cell>
          <cell r="D154">
            <v>5372</v>
          </cell>
        </row>
        <row r="155">
          <cell r="B155" t="str">
            <v>Midscale w/o F&amp;B</v>
          </cell>
          <cell r="C155">
            <v>62</v>
          </cell>
          <cell r="D155">
            <v>6834</v>
          </cell>
        </row>
        <row r="156">
          <cell r="B156" t="str">
            <v>Upper Upscale</v>
          </cell>
          <cell r="C156">
            <v>20</v>
          </cell>
          <cell r="D156">
            <v>6667</v>
          </cell>
        </row>
        <row r="157">
          <cell r="B157" t="str">
            <v>Upscale</v>
          </cell>
          <cell r="C157">
            <v>30</v>
          </cell>
          <cell r="D157">
            <v>5965</v>
          </cell>
        </row>
        <row r="160">
          <cell r="B160" t="str">
            <v>Best Western</v>
          </cell>
          <cell r="C160">
            <v>14</v>
          </cell>
          <cell r="D160">
            <v>1953</v>
          </cell>
          <cell r="E160">
            <v>1</v>
          </cell>
          <cell r="F160">
            <v>160</v>
          </cell>
          <cell r="G160">
            <v>0</v>
          </cell>
          <cell r="H160">
            <v>0</v>
          </cell>
        </row>
        <row r="161">
          <cell r="B161" t="str">
            <v>Courtyard by Marriott</v>
          </cell>
          <cell r="C161">
            <v>12</v>
          </cell>
          <cell r="D161">
            <v>1693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Days Inn</v>
          </cell>
          <cell r="C162">
            <v>12</v>
          </cell>
          <cell r="D162">
            <v>1033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Hampton Inn</v>
          </cell>
          <cell r="C163">
            <v>10</v>
          </cell>
          <cell r="D163">
            <v>1140</v>
          </cell>
          <cell r="E163">
            <v>2</v>
          </cell>
          <cell r="F163">
            <v>164</v>
          </cell>
          <cell r="G163">
            <v>0</v>
          </cell>
          <cell r="H163">
            <v>0</v>
          </cell>
        </row>
        <row r="164">
          <cell r="B164" t="str">
            <v>Holiday Inn</v>
          </cell>
          <cell r="C164">
            <v>7</v>
          </cell>
          <cell r="D164">
            <v>1783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Marriott Hotel</v>
          </cell>
          <cell r="C165">
            <v>8</v>
          </cell>
          <cell r="D165">
            <v>3057</v>
          </cell>
          <cell r="E165">
            <v>1</v>
          </cell>
          <cell r="F165">
            <v>290</v>
          </cell>
          <cell r="G165">
            <v>0</v>
          </cell>
          <cell r="H165">
            <v>0</v>
          </cell>
        </row>
        <row r="166">
          <cell r="B166" t="str">
            <v>Ramada Inn</v>
          </cell>
          <cell r="C166">
            <v>6</v>
          </cell>
          <cell r="D166">
            <v>1123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Red Roof Inn</v>
          </cell>
          <cell r="C167">
            <v>13</v>
          </cell>
          <cell r="D167">
            <v>1463</v>
          </cell>
          <cell r="E167">
            <v>1</v>
          </cell>
          <cell r="F167">
            <v>99</v>
          </cell>
          <cell r="G167">
            <v>0</v>
          </cell>
          <cell r="H167">
            <v>0</v>
          </cell>
        </row>
        <row r="169">
          <cell r="B169" t="str">
            <v>ACCOR</v>
          </cell>
          <cell r="C169">
            <v>19</v>
          </cell>
          <cell r="D169">
            <v>2087</v>
          </cell>
          <cell r="E169">
            <v>1</v>
          </cell>
          <cell r="F169">
            <v>99</v>
          </cell>
          <cell r="G169">
            <v>0</v>
          </cell>
          <cell r="H169">
            <v>0</v>
          </cell>
        </row>
        <row r="170">
          <cell r="B170" t="str">
            <v>Best Western Int'l</v>
          </cell>
          <cell r="C170">
            <v>14</v>
          </cell>
          <cell r="D170">
            <v>1953</v>
          </cell>
          <cell r="E170">
            <v>1</v>
          </cell>
          <cell r="F170">
            <v>160</v>
          </cell>
          <cell r="G170">
            <v>0</v>
          </cell>
          <cell r="H170">
            <v>0</v>
          </cell>
        </row>
        <row r="171">
          <cell r="B171" t="str">
            <v>Cendant</v>
          </cell>
          <cell r="C171">
            <v>47</v>
          </cell>
          <cell r="D171">
            <v>4675</v>
          </cell>
          <cell r="E171">
            <v>1</v>
          </cell>
          <cell r="F171">
            <v>63</v>
          </cell>
          <cell r="G171">
            <v>1</v>
          </cell>
          <cell r="H171">
            <v>50</v>
          </cell>
        </row>
        <row r="172">
          <cell r="B172" t="str">
            <v>Choice Hotels</v>
          </cell>
          <cell r="C172">
            <v>26</v>
          </cell>
          <cell r="D172">
            <v>2569</v>
          </cell>
          <cell r="E172">
            <v>2</v>
          </cell>
          <cell r="F172">
            <v>127</v>
          </cell>
          <cell r="G172">
            <v>2</v>
          </cell>
          <cell r="H172">
            <v>142</v>
          </cell>
        </row>
        <row r="173">
          <cell r="B173" t="str">
            <v>Extended Stay America</v>
          </cell>
          <cell r="C173">
            <v>9</v>
          </cell>
          <cell r="D173">
            <v>1040</v>
          </cell>
          <cell r="E173">
            <v>1</v>
          </cell>
          <cell r="F173">
            <v>86</v>
          </cell>
          <cell r="G173">
            <v>1</v>
          </cell>
          <cell r="H173">
            <v>104</v>
          </cell>
        </row>
        <row r="174">
          <cell r="B174" t="str">
            <v>Hilton Hotel Corp.</v>
          </cell>
          <cell r="C174">
            <v>23</v>
          </cell>
          <cell r="D174">
            <v>3745</v>
          </cell>
          <cell r="E174">
            <v>3</v>
          </cell>
          <cell r="F174">
            <v>318</v>
          </cell>
          <cell r="G174">
            <v>0</v>
          </cell>
          <cell r="H174">
            <v>0</v>
          </cell>
        </row>
        <row r="175">
          <cell r="B175" t="str">
            <v>Marriott Int'l</v>
          </cell>
          <cell r="C175">
            <v>41</v>
          </cell>
          <cell r="D175">
            <v>7364</v>
          </cell>
          <cell r="E175">
            <v>3</v>
          </cell>
          <cell r="F175">
            <v>456</v>
          </cell>
          <cell r="G175">
            <v>1</v>
          </cell>
          <cell r="H175">
            <v>148</v>
          </cell>
        </row>
        <row r="176">
          <cell r="B176" t="str">
            <v>Six Continents Hotels</v>
          </cell>
          <cell r="C176">
            <v>21</v>
          </cell>
          <cell r="D176">
            <v>3982</v>
          </cell>
          <cell r="E176">
            <v>3</v>
          </cell>
          <cell r="F176">
            <v>328</v>
          </cell>
          <cell r="G176">
            <v>2</v>
          </cell>
          <cell r="H176">
            <v>172</v>
          </cell>
        </row>
        <row r="178">
          <cell r="B178" t="str">
            <v>Economy</v>
          </cell>
          <cell r="C178">
            <v>75</v>
          </cell>
          <cell r="D178">
            <v>7218</v>
          </cell>
        </row>
        <row r="179">
          <cell r="B179" t="str">
            <v>Independent</v>
          </cell>
          <cell r="C179">
            <v>71</v>
          </cell>
          <cell r="D179">
            <v>5042</v>
          </cell>
        </row>
        <row r="180">
          <cell r="B180" t="str">
            <v>Midscale w/ F&amp;B</v>
          </cell>
          <cell r="C180">
            <v>37</v>
          </cell>
          <cell r="D180">
            <v>6328</v>
          </cell>
        </row>
        <row r="181">
          <cell r="B181" t="str">
            <v>Midscale w/o F&amp;B</v>
          </cell>
          <cell r="C181">
            <v>66</v>
          </cell>
          <cell r="D181">
            <v>6891</v>
          </cell>
        </row>
        <row r="182">
          <cell r="B182" t="str">
            <v>Upper Upscale</v>
          </cell>
          <cell r="C182">
            <v>20</v>
          </cell>
          <cell r="D182">
            <v>6352</v>
          </cell>
        </row>
        <row r="183">
          <cell r="B183" t="str">
            <v>Upscale</v>
          </cell>
          <cell r="C183">
            <v>30</v>
          </cell>
          <cell r="D183">
            <v>4748</v>
          </cell>
        </row>
        <row r="186">
          <cell r="B186" t="str">
            <v>Best Western</v>
          </cell>
          <cell r="C186">
            <v>20</v>
          </cell>
          <cell r="D186">
            <v>1408</v>
          </cell>
          <cell r="E186">
            <v>3</v>
          </cell>
          <cell r="F186">
            <v>203</v>
          </cell>
          <cell r="G186">
            <v>2</v>
          </cell>
          <cell r="H186">
            <v>134</v>
          </cell>
        </row>
        <row r="187">
          <cell r="B187" t="str">
            <v>Crowne Plaza</v>
          </cell>
          <cell r="C187">
            <v>4</v>
          </cell>
          <cell r="D187">
            <v>1320</v>
          </cell>
          <cell r="E187">
            <v>0</v>
          </cell>
          <cell r="F187">
            <v>0</v>
          </cell>
          <cell r="G187">
            <v>1</v>
          </cell>
          <cell r="H187">
            <v>259</v>
          </cell>
        </row>
        <row r="188">
          <cell r="B188" t="str">
            <v>Days Inn</v>
          </cell>
          <cell r="C188">
            <v>17</v>
          </cell>
          <cell r="D188">
            <v>1717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Hilton Hotel</v>
          </cell>
          <cell r="C189">
            <v>7</v>
          </cell>
          <cell r="D189">
            <v>1576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Holiday Inn</v>
          </cell>
          <cell r="C190">
            <v>13</v>
          </cell>
          <cell r="D190">
            <v>3055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La Quinta Inn</v>
          </cell>
          <cell r="C191">
            <v>19</v>
          </cell>
          <cell r="D191">
            <v>2390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Marriott Hotel</v>
          </cell>
          <cell r="C192">
            <v>5</v>
          </cell>
          <cell r="D192">
            <v>2148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Motel 6</v>
          </cell>
          <cell r="C193">
            <v>12</v>
          </cell>
          <cell r="D193">
            <v>1464</v>
          </cell>
          <cell r="E193">
            <v>0</v>
          </cell>
          <cell r="F193">
            <v>0</v>
          </cell>
          <cell r="G193">
            <v>1</v>
          </cell>
          <cell r="H193">
            <v>54</v>
          </cell>
        </row>
        <row r="195">
          <cell r="B195" t="str">
            <v>ACCOR</v>
          </cell>
          <cell r="C195">
            <v>18</v>
          </cell>
          <cell r="D195">
            <v>2417</v>
          </cell>
          <cell r="E195">
            <v>0</v>
          </cell>
          <cell r="F195">
            <v>0</v>
          </cell>
          <cell r="G195">
            <v>1</v>
          </cell>
          <cell r="H195">
            <v>54</v>
          </cell>
        </row>
        <row r="196">
          <cell r="B196" t="str">
            <v>Best Western Int'l</v>
          </cell>
          <cell r="C196">
            <v>20</v>
          </cell>
          <cell r="D196">
            <v>1408</v>
          </cell>
          <cell r="E196">
            <v>3</v>
          </cell>
          <cell r="F196">
            <v>203</v>
          </cell>
          <cell r="G196">
            <v>2</v>
          </cell>
          <cell r="H196">
            <v>134</v>
          </cell>
        </row>
        <row r="197">
          <cell r="B197" t="str">
            <v>Cendant</v>
          </cell>
          <cell r="C197">
            <v>56</v>
          </cell>
          <cell r="D197">
            <v>4740</v>
          </cell>
          <cell r="E197">
            <v>4</v>
          </cell>
          <cell r="F197">
            <v>261</v>
          </cell>
          <cell r="G197">
            <v>4</v>
          </cell>
          <cell r="H197">
            <v>180</v>
          </cell>
        </row>
        <row r="198">
          <cell r="B198" t="str">
            <v>Choice Hotels</v>
          </cell>
          <cell r="C198">
            <v>36</v>
          </cell>
          <cell r="D198">
            <v>2626</v>
          </cell>
          <cell r="E198">
            <v>2</v>
          </cell>
          <cell r="F198">
            <v>103</v>
          </cell>
          <cell r="G198">
            <v>2</v>
          </cell>
          <cell r="H198">
            <v>125</v>
          </cell>
        </row>
        <row r="199">
          <cell r="B199" t="str">
            <v>Hilton Hotel Corp.</v>
          </cell>
          <cell r="C199">
            <v>32</v>
          </cell>
          <cell r="D199">
            <v>5027</v>
          </cell>
          <cell r="E199">
            <v>4</v>
          </cell>
          <cell r="F199">
            <v>338</v>
          </cell>
          <cell r="G199">
            <v>1</v>
          </cell>
          <cell r="H199">
            <v>91</v>
          </cell>
        </row>
        <row r="200">
          <cell r="B200" t="str">
            <v>La Quinta Inns</v>
          </cell>
          <cell r="C200">
            <v>19</v>
          </cell>
          <cell r="D200">
            <v>2390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Marriott Int'l</v>
          </cell>
          <cell r="C201">
            <v>31</v>
          </cell>
          <cell r="D201">
            <v>5507</v>
          </cell>
          <cell r="E201">
            <v>2</v>
          </cell>
          <cell r="F201">
            <v>253</v>
          </cell>
          <cell r="G201">
            <v>2</v>
          </cell>
          <cell r="H201">
            <v>195</v>
          </cell>
        </row>
        <row r="202">
          <cell r="B202" t="str">
            <v>Six Continents Hotels</v>
          </cell>
          <cell r="C202">
            <v>34</v>
          </cell>
          <cell r="D202">
            <v>5864</v>
          </cell>
          <cell r="E202">
            <v>1</v>
          </cell>
          <cell r="F202">
            <v>65</v>
          </cell>
          <cell r="G202">
            <v>5</v>
          </cell>
          <cell r="H202">
            <v>583</v>
          </cell>
        </row>
        <row r="204">
          <cell r="B204" t="str">
            <v>Economy</v>
          </cell>
          <cell r="C204">
            <v>130</v>
          </cell>
          <cell r="D204">
            <v>12360</v>
          </cell>
        </row>
        <row r="205">
          <cell r="B205" t="str">
            <v>Independent</v>
          </cell>
          <cell r="C205">
            <v>48</v>
          </cell>
          <cell r="D205">
            <v>5087</v>
          </cell>
        </row>
        <row r="206">
          <cell r="B206" t="str">
            <v>Midscale w/ F&amp;B</v>
          </cell>
          <cell r="C206">
            <v>46</v>
          </cell>
          <cell r="D206">
            <v>6329</v>
          </cell>
        </row>
        <row r="207">
          <cell r="B207" t="str">
            <v>Midscale w/o F&amp;B</v>
          </cell>
          <cell r="C207">
            <v>103</v>
          </cell>
          <cell r="D207">
            <v>9768</v>
          </cell>
        </row>
        <row r="208">
          <cell r="B208" t="str">
            <v>Upper Upscale</v>
          </cell>
          <cell r="C208">
            <v>29</v>
          </cell>
          <cell r="D208">
            <v>10311</v>
          </cell>
        </row>
        <row r="209">
          <cell r="B209" t="str">
            <v>Upscale</v>
          </cell>
          <cell r="C209">
            <v>40</v>
          </cell>
          <cell r="D209">
            <v>7461</v>
          </cell>
        </row>
        <row r="238">
          <cell r="B238" t="str">
            <v>Best Western</v>
          </cell>
          <cell r="C238">
            <v>45</v>
          </cell>
          <cell r="D238">
            <v>4258</v>
          </cell>
          <cell r="E238">
            <v>2</v>
          </cell>
          <cell r="F238">
            <v>151</v>
          </cell>
          <cell r="G238">
            <v>0</v>
          </cell>
          <cell r="H238">
            <v>0</v>
          </cell>
        </row>
        <row r="239">
          <cell r="B239" t="str">
            <v>Hilton Hotel</v>
          </cell>
          <cell r="C239">
            <v>12</v>
          </cell>
          <cell r="D239">
            <v>5163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B240" t="str">
            <v>Holiday Inn</v>
          </cell>
          <cell r="C240">
            <v>15</v>
          </cell>
          <cell r="D240">
            <v>3238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B241" t="str">
            <v>Marriott Hotel</v>
          </cell>
          <cell r="C241">
            <v>10</v>
          </cell>
          <cell r="D241">
            <v>4001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B242" t="str">
            <v>Motel 6</v>
          </cell>
          <cell r="C242">
            <v>20</v>
          </cell>
          <cell r="D242">
            <v>2191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</row>
        <row r="243">
          <cell r="B243" t="str">
            <v>Radisson Hotel</v>
          </cell>
          <cell r="C243">
            <v>8</v>
          </cell>
          <cell r="D243">
            <v>2341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</row>
        <row r="244">
          <cell r="B244" t="str">
            <v>Sheraton Hotel</v>
          </cell>
          <cell r="C244">
            <v>8</v>
          </cell>
          <cell r="D244">
            <v>2849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B245" t="str">
            <v>Westin  Hotel</v>
          </cell>
          <cell r="C245">
            <v>4</v>
          </cell>
          <cell r="D245">
            <v>3613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7">
          <cell r="B247" t="str">
            <v>ACCOR</v>
          </cell>
          <cell r="C247">
            <v>24</v>
          </cell>
          <cell r="D247">
            <v>3043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B248" t="str">
            <v>Best Western Int'l</v>
          </cell>
          <cell r="C248">
            <v>45</v>
          </cell>
          <cell r="D248">
            <v>4258</v>
          </cell>
          <cell r="E248">
            <v>2</v>
          </cell>
          <cell r="F248">
            <v>151</v>
          </cell>
          <cell r="G248">
            <v>0</v>
          </cell>
          <cell r="H248">
            <v>0</v>
          </cell>
        </row>
        <row r="249">
          <cell r="B249" t="str">
            <v>Carlson Hospitality</v>
          </cell>
          <cell r="C249">
            <v>11</v>
          </cell>
          <cell r="D249">
            <v>2611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Cendant</v>
          </cell>
          <cell r="C250">
            <v>91</v>
          </cell>
          <cell r="D250">
            <v>6840</v>
          </cell>
          <cell r="E250">
            <v>0</v>
          </cell>
          <cell r="F250">
            <v>0</v>
          </cell>
          <cell r="G250">
            <v>1</v>
          </cell>
          <cell r="H250">
            <v>105</v>
          </cell>
        </row>
        <row r="251">
          <cell r="B251" t="str">
            <v>Hilton Hotel Corp.</v>
          </cell>
          <cell r="C251">
            <v>31</v>
          </cell>
          <cell r="D251">
            <v>8874</v>
          </cell>
          <cell r="E251">
            <v>1</v>
          </cell>
          <cell r="F251">
            <v>162</v>
          </cell>
          <cell r="G251">
            <v>0</v>
          </cell>
          <cell r="H251">
            <v>0</v>
          </cell>
        </row>
        <row r="252">
          <cell r="B252" t="str">
            <v>Marriott Int'l</v>
          </cell>
          <cell r="C252">
            <v>40</v>
          </cell>
          <cell r="D252">
            <v>9872</v>
          </cell>
          <cell r="E252">
            <v>2</v>
          </cell>
          <cell r="F252">
            <v>400</v>
          </cell>
          <cell r="G252">
            <v>4</v>
          </cell>
          <cell r="H252">
            <v>548</v>
          </cell>
        </row>
        <row r="253">
          <cell r="B253" t="str">
            <v>Six Continents Hotels</v>
          </cell>
          <cell r="C253">
            <v>31</v>
          </cell>
          <cell r="D253">
            <v>5726</v>
          </cell>
          <cell r="E253">
            <v>0</v>
          </cell>
          <cell r="F253">
            <v>0</v>
          </cell>
          <cell r="G253">
            <v>1</v>
          </cell>
          <cell r="H253">
            <v>80</v>
          </cell>
        </row>
        <row r="254">
          <cell r="B254" t="str">
            <v>Starwood Hotels</v>
          </cell>
          <cell r="C254">
            <v>18</v>
          </cell>
          <cell r="D254">
            <v>8231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64">
          <cell r="B264" t="str">
            <v>Best Western</v>
          </cell>
          <cell r="C264">
            <v>7</v>
          </cell>
          <cell r="D264">
            <v>1080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B265" t="str">
            <v>Days Inn</v>
          </cell>
          <cell r="C265">
            <v>11</v>
          </cell>
          <cell r="D265">
            <v>1365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B266" t="str">
            <v>Hilton Hotel</v>
          </cell>
          <cell r="C266">
            <v>3</v>
          </cell>
          <cell r="D266">
            <v>1721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B267" t="str">
            <v>Holiday Inn</v>
          </cell>
          <cell r="C267">
            <v>11</v>
          </cell>
          <cell r="D267">
            <v>1979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B268" t="str">
            <v>Marriott Hotel</v>
          </cell>
          <cell r="C268">
            <v>5</v>
          </cell>
          <cell r="D268">
            <v>1811</v>
          </cell>
          <cell r="E268">
            <v>2</v>
          </cell>
          <cell r="F268">
            <v>539</v>
          </cell>
          <cell r="G268">
            <v>0</v>
          </cell>
          <cell r="H268">
            <v>0</v>
          </cell>
        </row>
        <row r="269">
          <cell r="B269" t="str">
            <v>Radisson Hotel</v>
          </cell>
          <cell r="C269">
            <v>3</v>
          </cell>
          <cell r="D269">
            <v>1058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B270" t="str">
            <v>Sheraton Hotel</v>
          </cell>
          <cell r="C270">
            <v>2</v>
          </cell>
          <cell r="D270">
            <v>1243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B271" t="str">
            <v>Wyndham Hotel</v>
          </cell>
          <cell r="C271">
            <v>4</v>
          </cell>
          <cell r="D271">
            <v>1640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3">
          <cell r="B273" t="str">
            <v>Best Western Int'l</v>
          </cell>
          <cell r="C273">
            <v>7</v>
          </cell>
          <cell r="D273">
            <v>1080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</row>
        <row r="274">
          <cell r="B274" t="str">
            <v>Carlson Hospitality</v>
          </cell>
          <cell r="C274">
            <v>4</v>
          </cell>
          <cell r="D274">
            <v>1320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B275" t="str">
            <v>Cendant</v>
          </cell>
          <cell r="C275">
            <v>35</v>
          </cell>
          <cell r="D275">
            <v>4417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B276" t="str">
            <v>Hilton Hotel Corp.</v>
          </cell>
          <cell r="C276">
            <v>16</v>
          </cell>
          <cell r="D276">
            <v>3846</v>
          </cell>
          <cell r="E276">
            <v>3</v>
          </cell>
          <cell r="F276">
            <v>417</v>
          </cell>
          <cell r="G276">
            <v>1</v>
          </cell>
          <cell r="H276">
            <v>131</v>
          </cell>
        </row>
        <row r="277">
          <cell r="B277" t="str">
            <v>Marriott Int'l</v>
          </cell>
          <cell r="C277">
            <v>16</v>
          </cell>
          <cell r="D277">
            <v>3750</v>
          </cell>
          <cell r="E277">
            <v>3</v>
          </cell>
          <cell r="F277">
            <v>679</v>
          </cell>
          <cell r="G277">
            <v>1</v>
          </cell>
          <cell r="H277">
            <v>490</v>
          </cell>
        </row>
        <row r="278">
          <cell r="B278" t="str">
            <v>Six Continents Hotels</v>
          </cell>
          <cell r="C278">
            <v>17</v>
          </cell>
          <cell r="D278">
            <v>3633</v>
          </cell>
          <cell r="E278">
            <v>1</v>
          </cell>
          <cell r="F278">
            <v>150</v>
          </cell>
          <cell r="G278">
            <v>0</v>
          </cell>
          <cell r="H278">
            <v>0</v>
          </cell>
        </row>
        <row r="279">
          <cell r="B279" t="str">
            <v>Starwood Hotels</v>
          </cell>
          <cell r="C279">
            <v>2</v>
          </cell>
          <cell r="D279">
            <v>1243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B280" t="str">
            <v>Wyndham Int'l</v>
          </cell>
          <cell r="C280">
            <v>5</v>
          </cell>
          <cell r="D280">
            <v>1797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2">
          <cell r="B282" t="str">
            <v>Economy</v>
          </cell>
          <cell r="C282">
            <v>34</v>
          </cell>
          <cell r="D282">
            <v>3647</v>
          </cell>
        </row>
        <row r="283">
          <cell r="B283" t="str">
            <v>Independent</v>
          </cell>
          <cell r="C283">
            <v>146</v>
          </cell>
          <cell r="D283">
            <v>16765</v>
          </cell>
        </row>
        <row r="284">
          <cell r="B284" t="str">
            <v>Midscale w/ F&amp;B</v>
          </cell>
          <cell r="C284">
            <v>34</v>
          </cell>
          <cell r="D284">
            <v>5645</v>
          </cell>
        </row>
        <row r="285">
          <cell r="B285" t="str">
            <v>Midscale w/o F&amp;B</v>
          </cell>
          <cell r="C285">
            <v>27</v>
          </cell>
          <cell r="D285">
            <v>3416</v>
          </cell>
        </row>
        <row r="286">
          <cell r="B286" t="str">
            <v>Upper Upscale</v>
          </cell>
          <cell r="C286">
            <v>26</v>
          </cell>
          <cell r="D286">
            <v>11203</v>
          </cell>
        </row>
        <row r="287">
          <cell r="B287" t="str">
            <v>Upscale</v>
          </cell>
          <cell r="C287">
            <v>20</v>
          </cell>
          <cell r="D287">
            <v>3811</v>
          </cell>
        </row>
        <row r="290">
          <cell r="B290" t="str">
            <v>Best Western</v>
          </cell>
          <cell r="C290">
            <v>14</v>
          </cell>
          <cell r="D290">
            <v>1466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Country Inn &amp; Suites</v>
          </cell>
          <cell r="C291">
            <v>14</v>
          </cell>
          <cell r="D291">
            <v>1322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Hampton Inn</v>
          </cell>
          <cell r="C292">
            <v>9</v>
          </cell>
          <cell r="D292">
            <v>1039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</row>
        <row r="293">
          <cell r="B293" t="str">
            <v>Hilton Hotel</v>
          </cell>
          <cell r="C293">
            <v>4</v>
          </cell>
          <cell r="D293">
            <v>1575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B294" t="str">
            <v>Holiday Inn</v>
          </cell>
          <cell r="C294">
            <v>8</v>
          </cell>
          <cell r="D294">
            <v>1540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Marriott Hotel</v>
          </cell>
          <cell r="C295">
            <v>2</v>
          </cell>
          <cell r="D295">
            <v>1062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</row>
        <row r="296">
          <cell r="B296" t="str">
            <v>Radisson Hotel</v>
          </cell>
          <cell r="C296">
            <v>6</v>
          </cell>
          <cell r="D296">
            <v>2194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Super 8</v>
          </cell>
          <cell r="C297">
            <v>22</v>
          </cell>
          <cell r="D297">
            <v>1527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9">
          <cell r="B299" t="str">
            <v>ACCOR</v>
          </cell>
          <cell r="C299">
            <v>9</v>
          </cell>
          <cell r="D299">
            <v>1098</v>
          </cell>
          <cell r="E299">
            <v>0</v>
          </cell>
          <cell r="F299">
            <v>0</v>
          </cell>
          <cell r="G299">
            <v>1</v>
          </cell>
          <cell r="H299">
            <v>122</v>
          </cell>
        </row>
        <row r="300">
          <cell r="B300" t="str">
            <v>Best Western Int'l</v>
          </cell>
          <cell r="C300">
            <v>14</v>
          </cell>
          <cell r="D300">
            <v>1466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Carlson Hospitality</v>
          </cell>
          <cell r="C301">
            <v>22</v>
          </cell>
          <cell r="D301">
            <v>3857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</row>
        <row r="302">
          <cell r="B302" t="str">
            <v>Cendant</v>
          </cell>
          <cell r="C302">
            <v>37</v>
          </cell>
          <cell r="D302">
            <v>3818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</row>
        <row r="303">
          <cell r="B303" t="str">
            <v>Choice Hotels</v>
          </cell>
          <cell r="C303">
            <v>16</v>
          </cell>
          <cell r="D303">
            <v>1820</v>
          </cell>
          <cell r="E303">
            <v>1</v>
          </cell>
          <cell r="F303">
            <v>52</v>
          </cell>
          <cell r="G303">
            <v>0</v>
          </cell>
          <cell r="H303">
            <v>0</v>
          </cell>
        </row>
        <row r="304">
          <cell r="B304" t="str">
            <v>Hilton Hotel Corp.</v>
          </cell>
          <cell r="C304">
            <v>24</v>
          </cell>
          <cell r="D304">
            <v>4862</v>
          </cell>
          <cell r="E304">
            <v>1</v>
          </cell>
          <cell r="F304">
            <v>97</v>
          </cell>
          <cell r="G304">
            <v>0</v>
          </cell>
          <cell r="H304">
            <v>0</v>
          </cell>
        </row>
        <row r="305">
          <cell r="B305" t="str">
            <v>Marriott Int'l</v>
          </cell>
          <cell r="C305">
            <v>25</v>
          </cell>
          <cell r="D305">
            <v>3849</v>
          </cell>
          <cell r="E305">
            <v>1</v>
          </cell>
          <cell r="F305">
            <v>131</v>
          </cell>
          <cell r="G305">
            <v>4</v>
          </cell>
          <cell r="H305">
            <v>580</v>
          </cell>
        </row>
        <row r="306">
          <cell r="B306" t="str">
            <v>Six Continents Hotels</v>
          </cell>
          <cell r="C306">
            <v>25</v>
          </cell>
          <cell r="D306">
            <v>3790</v>
          </cell>
          <cell r="E306">
            <v>4</v>
          </cell>
          <cell r="F306">
            <v>345</v>
          </cell>
          <cell r="G306">
            <v>1</v>
          </cell>
          <cell r="H306">
            <v>127</v>
          </cell>
        </row>
        <row r="308">
          <cell r="B308" t="str">
            <v>Economy</v>
          </cell>
          <cell r="C308">
            <v>81</v>
          </cell>
          <cell r="D308">
            <v>6571</v>
          </cell>
        </row>
        <row r="309">
          <cell r="B309" t="str">
            <v>Independent</v>
          </cell>
          <cell r="C309">
            <v>29</v>
          </cell>
          <cell r="D309">
            <v>2745</v>
          </cell>
        </row>
        <row r="310">
          <cell r="B310" t="str">
            <v>Midscale w/ F&amp;B</v>
          </cell>
          <cell r="C310">
            <v>36</v>
          </cell>
          <cell r="D310">
            <v>6090</v>
          </cell>
        </row>
        <row r="311">
          <cell r="B311" t="str">
            <v>Midscale w/o F&amp;B</v>
          </cell>
          <cell r="C311">
            <v>65</v>
          </cell>
          <cell r="D311">
            <v>6727</v>
          </cell>
        </row>
        <row r="312">
          <cell r="B312" t="str">
            <v>Upper Upscale</v>
          </cell>
          <cell r="C312">
            <v>15</v>
          </cell>
          <cell r="D312">
            <v>4946</v>
          </cell>
        </row>
        <row r="313">
          <cell r="B313" t="str">
            <v>Upscale</v>
          </cell>
          <cell r="C313">
            <v>27</v>
          </cell>
          <cell r="D313">
            <v>5471</v>
          </cell>
        </row>
        <row r="316">
          <cell r="B316" t="str">
            <v>Baymont Inn</v>
          </cell>
          <cell r="C316">
            <v>8</v>
          </cell>
          <cell r="D316">
            <v>860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Best Western</v>
          </cell>
          <cell r="C317">
            <v>10</v>
          </cell>
          <cell r="D317">
            <v>973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Days Inn</v>
          </cell>
          <cell r="C318">
            <v>17</v>
          </cell>
          <cell r="D318">
            <v>1715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Hampton Inn</v>
          </cell>
          <cell r="C319">
            <v>10</v>
          </cell>
          <cell r="D319">
            <v>968</v>
          </cell>
          <cell r="E319">
            <v>0</v>
          </cell>
          <cell r="F319">
            <v>0</v>
          </cell>
          <cell r="G319">
            <v>1</v>
          </cell>
          <cell r="H319">
            <v>64</v>
          </cell>
        </row>
        <row r="320">
          <cell r="B320" t="str">
            <v>Holiday Inn</v>
          </cell>
          <cell r="C320">
            <v>6</v>
          </cell>
          <cell r="D320">
            <v>1035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Ramada Inn</v>
          </cell>
          <cell r="C321">
            <v>7</v>
          </cell>
          <cell r="D321">
            <v>1182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Sheraton Hotel</v>
          </cell>
          <cell r="C322">
            <v>2</v>
          </cell>
          <cell r="D322">
            <v>889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Super 8</v>
          </cell>
          <cell r="C323">
            <v>10</v>
          </cell>
          <cell r="D323">
            <v>915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5">
          <cell r="B325" t="str">
            <v>Best Western Int'l</v>
          </cell>
          <cell r="C325">
            <v>10</v>
          </cell>
          <cell r="D325">
            <v>973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Cendant</v>
          </cell>
          <cell r="C326">
            <v>49</v>
          </cell>
          <cell r="D326">
            <v>5056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Choice Hotels</v>
          </cell>
          <cell r="C327">
            <v>36</v>
          </cell>
          <cell r="D327">
            <v>2754</v>
          </cell>
          <cell r="E327">
            <v>3</v>
          </cell>
          <cell r="F327">
            <v>194</v>
          </cell>
          <cell r="G327">
            <v>1</v>
          </cell>
          <cell r="H327">
            <v>80</v>
          </cell>
        </row>
        <row r="328">
          <cell r="B328" t="str">
            <v>Hilton Hotel Corp.</v>
          </cell>
          <cell r="C328">
            <v>25</v>
          </cell>
          <cell r="D328">
            <v>3667</v>
          </cell>
          <cell r="E328">
            <v>2</v>
          </cell>
          <cell r="F328">
            <v>426</v>
          </cell>
          <cell r="G328">
            <v>4</v>
          </cell>
          <cell r="H328">
            <v>629</v>
          </cell>
        </row>
        <row r="329">
          <cell r="B329" t="str">
            <v>Marcus Corp.</v>
          </cell>
          <cell r="C329">
            <v>8</v>
          </cell>
          <cell r="D329">
            <v>860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Marriott Int'l</v>
          </cell>
          <cell r="C330">
            <v>15</v>
          </cell>
          <cell r="D330">
            <v>2939</v>
          </cell>
          <cell r="E330">
            <v>3</v>
          </cell>
          <cell r="F330">
            <v>293</v>
          </cell>
          <cell r="G330">
            <v>1</v>
          </cell>
          <cell r="H330">
            <v>93</v>
          </cell>
        </row>
        <row r="331">
          <cell r="B331" t="str">
            <v>Six Continents Hotels</v>
          </cell>
          <cell r="C331">
            <v>15</v>
          </cell>
          <cell r="D331">
            <v>2298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</row>
        <row r="332">
          <cell r="B332" t="str">
            <v>Starwood Hotels</v>
          </cell>
          <cell r="C332">
            <v>2</v>
          </cell>
          <cell r="D332">
            <v>889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4">
          <cell r="B334" t="str">
            <v>Economy</v>
          </cell>
          <cell r="C334">
            <v>93</v>
          </cell>
          <cell r="D334">
            <v>8730</v>
          </cell>
        </row>
        <row r="335">
          <cell r="B335" t="str">
            <v>Independent</v>
          </cell>
          <cell r="C335">
            <v>45</v>
          </cell>
          <cell r="D335">
            <v>6049</v>
          </cell>
        </row>
        <row r="336">
          <cell r="B336" t="str">
            <v>Midscale w/ F&amp;B</v>
          </cell>
          <cell r="C336">
            <v>34</v>
          </cell>
          <cell r="D336">
            <v>4943</v>
          </cell>
        </row>
        <row r="337">
          <cell r="B337" t="str">
            <v>Midscale w/o F&amp;B</v>
          </cell>
          <cell r="C337">
            <v>65</v>
          </cell>
          <cell r="D337">
            <v>5896</v>
          </cell>
        </row>
        <row r="338">
          <cell r="B338" t="str">
            <v>Upper Upscale</v>
          </cell>
          <cell r="C338">
            <v>14</v>
          </cell>
          <cell r="D338">
            <v>4328</v>
          </cell>
        </row>
        <row r="339">
          <cell r="B339" t="str">
            <v>Upscale</v>
          </cell>
          <cell r="C339">
            <v>19</v>
          </cell>
          <cell r="D339">
            <v>3017</v>
          </cell>
        </row>
        <row r="342">
          <cell r="B342" t="str">
            <v>Best Western</v>
          </cell>
          <cell r="C342">
            <v>13</v>
          </cell>
          <cell r="D342">
            <v>1541</v>
          </cell>
          <cell r="E342">
            <v>2</v>
          </cell>
          <cell r="F342">
            <v>277</v>
          </cell>
          <cell r="G342">
            <v>1</v>
          </cell>
          <cell r="H342">
            <v>63</v>
          </cell>
        </row>
        <row r="343">
          <cell r="B343" t="str">
            <v>Hilton Hotel</v>
          </cell>
          <cell r="C343">
            <v>2</v>
          </cell>
          <cell r="D343">
            <v>1917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Holiday Inn</v>
          </cell>
          <cell r="C344">
            <v>8</v>
          </cell>
          <cell r="D344">
            <v>1675</v>
          </cell>
          <cell r="E344">
            <v>0</v>
          </cell>
          <cell r="F344">
            <v>0</v>
          </cell>
          <cell r="G344">
            <v>1</v>
          </cell>
          <cell r="H344">
            <v>98</v>
          </cell>
        </row>
        <row r="345">
          <cell r="B345" t="str">
            <v>Hyatt Hotel</v>
          </cell>
          <cell r="C345">
            <v>1</v>
          </cell>
          <cell r="D345">
            <v>1184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La Quinta Inn</v>
          </cell>
          <cell r="C346">
            <v>8</v>
          </cell>
          <cell r="D346">
            <v>1177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Marriott Hotel</v>
          </cell>
          <cell r="C347">
            <v>1</v>
          </cell>
          <cell r="D347">
            <v>1290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Radisson Hotel</v>
          </cell>
          <cell r="C348">
            <v>3</v>
          </cell>
          <cell r="D348">
            <v>1762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Sheraton Hotel</v>
          </cell>
          <cell r="C349">
            <v>1</v>
          </cell>
          <cell r="D349">
            <v>1100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1">
          <cell r="B351" t="str">
            <v>Best Western Int'l</v>
          </cell>
          <cell r="C351">
            <v>13</v>
          </cell>
          <cell r="D351">
            <v>1541</v>
          </cell>
          <cell r="E351">
            <v>2</v>
          </cell>
          <cell r="F351">
            <v>277</v>
          </cell>
          <cell r="G351">
            <v>1</v>
          </cell>
          <cell r="H351">
            <v>63</v>
          </cell>
        </row>
        <row r="352">
          <cell r="B352" t="str">
            <v>Carlson Hospitality</v>
          </cell>
          <cell r="C352">
            <v>4</v>
          </cell>
          <cell r="D352">
            <v>1888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Hilton Hotel Corp.</v>
          </cell>
          <cell r="C353">
            <v>16</v>
          </cell>
          <cell r="D353">
            <v>4414</v>
          </cell>
          <cell r="E353">
            <v>3</v>
          </cell>
          <cell r="F353">
            <v>696</v>
          </cell>
          <cell r="G353">
            <v>2</v>
          </cell>
          <cell r="H353">
            <v>104</v>
          </cell>
        </row>
        <row r="354">
          <cell r="B354" t="str">
            <v>Hyatt Hotel Corp.</v>
          </cell>
          <cell r="C354">
            <v>1</v>
          </cell>
          <cell r="D354">
            <v>1184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La Quinta Inns</v>
          </cell>
          <cell r="C355">
            <v>8</v>
          </cell>
          <cell r="D355">
            <v>1177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Marriott Int'l</v>
          </cell>
          <cell r="C356">
            <v>11</v>
          </cell>
          <cell r="D356">
            <v>3117</v>
          </cell>
          <cell r="E356">
            <v>2</v>
          </cell>
          <cell r="F356">
            <v>577</v>
          </cell>
          <cell r="G356">
            <v>1</v>
          </cell>
          <cell r="H356">
            <v>208</v>
          </cell>
        </row>
        <row r="357">
          <cell r="B357" t="str">
            <v>Six Continents Hotels</v>
          </cell>
          <cell r="C357">
            <v>13</v>
          </cell>
          <cell r="D357">
            <v>2840</v>
          </cell>
          <cell r="E357">
            <v>0</v>
          </cell>
          <cell r="F357">
            <v>0</v>
          </cell>
          <cell r="G357">
            <v>1</v>
          </cell>
          <cell r="H357">
            <v>98</v>
          </cell>
        </row>
        <row r="358">
          <cell r="B358" t="str">
            <v>Starwood Hotels</v>
          </cell>
          <cell r="C358">
            <v>4</v>
          </cell>
          <cell r="D358">
            <v>1841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60">
          <cell r="B360" t="str">
            <v>Economy</v>
          </cell>
          <cell r="C360">
            <v>27</v>
          </cell>
          <cell r="D360">
            <v>3316</v>
          </cell>
        </row>
        <row r="361">
          <cell r="B361" t="str">
            <v>Independent</v>
          </cell>
          <cell r="C361">
            <v>65</v>
          </cell>
          <cell r="D361">
            <v>6944</v>
          </cell>
        </row>
        <row r="362">
          <cell r="B362" t="str">
            <v>Midscale w/ F&amp;B</v>
          </cell>
          <cell r="C362">
            <v>38</v>
          </cell>
          <cell r="D362">
            <v>5623</v>
          </cell>
        </row>
        <row r="363">
          <cell r="B363" t="str">
            <v>Midscale w/o F&amp;B</v>
          </cell>
          <cell r="C363">
            <v>31</v>
          </cell>
          <cell r="D363">
            <v>3840</v>
          </cell>
        </row>
        <row r="364">
          <cell r="B364" t="str">
            <v>Upper Upscale</v>
          </cell>
          <cell r="C364">
            <v>20</v>
          </cell>
          <cell r="D364">
            <v>10679</v>
          </cell>
        </row>
        <row r="365">
          <cell r="B365" t="str">
            <v>Upscale</v>
          </cell>
          <cell r="C365">
            <v>14</v>
          </cell>
          <cell r="D365">
            <v>3807</v>
          </cell>
        </row>
        <row r="368">
          <cell r="B368" t="str">
            <v>Crowne Plaza</v>
          </cell>
          <cell r="C368">
            <v>4</v>
          </cell>
          <cell r="D368">
            <v>1828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B369" t="str">
            <v>Helmsley Hotel</v>
          </cell>
          <cell r="C369">
            <v>5</v>
          </cell>
          <cell r="D369">
            <v>2032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Hilton Hotel</v>
          </cell>
          <cell r="C370">
            <v>7</v>
          </cell>
          <cell r="D370">
            <v>4928</v>
          </cell>
          <cell r="E370">
            <v>1</v>
          </cell>
          <cell r="F370">
            <v>444</v>
          </cell>
          <cell r="G370">
            <v>0</v>
          </cell>
          <cell r="H370">
            <v>0</v>
          </cell>
        </row>
        <row r="371">
          <cell r="B371" t="str">
            <v>Holiday Inn</v>
          </cell>
          <cell r="C371">
            <v>9</v>
          </cell>
          <cell r="D371">
            <v>2498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Marriott Hotel</v>
          </cell>
          <cell r="C372">
            <v>7</v>
          </cell>
          <cell r="D372">
            <v>4796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B373" t="str">
            <v>Omni Hotel</v>
          </cell>
          <cell r="C373">
            <v>2</v>
          </cell>
          <cell r="D373">
            <v>1865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Ramada Plaza</v>
          </cell>
          <cell r="C374">
            <v>3</v>
          </cell>
          <cell r="D374">
            <v>2003</v>
          </cell>
          <cell r="E374">
            <v>0</v>
          </cell>
          <cell r="F374">
            <v>0</v>
          </cell>
          <cell r="G374">
            <v>1</v>
          </cell>
          <cell r="H374">
            <v>217</v>
          </cell>
        </row>
        <row r="375">
          <cell r="B375" t="str">
            <v>Sheraton Hotel</v>
          </cell>
          <cell r="C375">
            <v>5</v>
          </cell>
          <cell r="D375">
            <v>2918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7">
          <cell r="B377" t="str">
            <v>Cendant</v>
          </cell>
          <cell r="C377">
            <v>12</v>
          </cell>
          <cell r="D377">
            <v>4262</v>
          </cell>
          <cell r="E377">
            <v>0</v>
          </cell>
          <cell r="F377">
            <v>0</v>
          </cell>
          <cell r="G377">
            <v>1</v>
          </cell>
          <cell r="H377">
            <v>217</v>
          </cell>
        </row>
        <row r="378">
          <cell r="B378" t="str">
            <v>Choice Hotels</v>
          </cell>
          <cell r="C378">
            <v>16</v>
          </cell>
          <cell r="D378">
            <v>1919</v>
          </cell>
          <cell r="E378">
            <v>2</v>
          </cell>
          <cell r="F378">
            <v>125</v>
          </cell>
          <cell r="G378">
            <v>1</v>
          </cell>
          <cell r="H378">
            <v>58</v>
          </cell>
        </row>
        <row r="379">
          <cell r="B379" t="str">
            <v>Helmsley Hotels</v>
          </cell>
          <cell r="C379">
            <v>5</v>
          </cell>
          <cell r="D379">
            <v>2032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Hilton Hotel Corp.</v>
          </cell>
          <cell r="C380">
            <v>11</v>
          </cell>
          <cell r="D380">
            <v>6155</v>
          </cell>
          <cell r="E380">
            <v>2</v>
          </cell>
          <cell r="F380">
            <v>907</v>
          </cell>
          <cell r="G380">
            <v>1</v>
          </cell>
          <cell r="H380">
            <v>148</v>
          </cell>
        </row>
        <row r="381">
          <cell r="B381" t="str">
            <v>Marriott Int'l</v>
          </cell>
          <cell r="C381">
            <v>19</v>
          </cell>
          <cell r="D381">
            <v>7398</v>
          </cell>
          <cell r="E381">
            <v>1</v>
          </cell>
          <cell r="F381">
            <v>123</v>
          </cell>
          <cell r="G381">
            <v>1</v>
          </cell>
          <cell r="H381">
            <v>166</v>
          </cell>
        </row>
        <row r="382">
          <cell r="B382" t="str">
            <v>Omni Hotels</v>
          </cell>
          <cell r="C382">
            <v>2</v>
          </cell>
          <cell r="D382">
            <v>1865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</row>
        <row r="383">
          <cell r="B383" t="str">
            <v>Six Continents Hotels</v>
          </cell>
          <cell r="C383">
            <v>16</v>
          </cell>
          <cell r="D383">
            <v>5299</v>
          </cell>
          <cell r="E383">
            <v>0</v>
          </cell>
          <cell r="F383">
            <v>0</v>
          </cell>
          <cell r="G383">
            <v>1</v>
          </cell>
          <cell r="H383">
            <v>79</v>
          </cell>
        </row>
        <row r="384">
          <cell r="B384" t="str">
            <v>Starwood Hotels</v>
          </cell>
          <cell r="C384">
            <v>11</v>
          </cell>
          <cell r="D384">
            <v>5089</v>
          </cell>
          <cell r="E384">
            <v>1</v>
          </cell>
          <cell r="F384">
            <v>270</v>
          </cell>
          <cell r="G384">
            <v>0</v>
          </cell>
          <cell r="H384">
            <v>0</v>
          </cell>
        </row>
        <row r="386">
          <cell r="B386" t="str">
            <v>Economy</v>
          </cell>
          <cell r="C386">
            <v>8</v>
          </cell>
          <cell r="D386">
            <v>1132</v>
          </cell>
        </row>
        <row r="387">
          <cell r="B387" t="str">
            <v>Independent</v>
          </cell>
          <cell r="C387">
            <v>163</v>
          </cell>
          <cell r="D387">
            <v>29874</v>
          </cell>
        </row>
        <row r="388">
          <cell r="B388" t="str">
            <v>Midscale w/ F&amp;B</v>
          </cell>
          <cell r="C388">
            <v>34</v>
          </cell>
          <cell r="D388">
            <v>8936</v>
          </cell>
        </row>
        <row r="389">
          <cell r="B389" t="str">
            <v>Midscale w/o F&amp;B</v>
          </cell>
          <cell r="C389">
            <v>14</v>
          </cell>
          <cell r="D389">
            <v>1243</v>
          </cell>
        </row>
        <row r="390">
          <cell r="B390" t="str">
            <v>Upper Upscale</v>
          </cell>
          <cell r="C390">
            <v>49</v>
          </cell>
          <cell r="D390">
            <v>26477</v>
          </cell>
        </row>
        <row r="391">
          <cell r="B391" t="str">
            <v>Upscale</v>
          </cell>
          <cell r="C391">
            <v>18</v>
          </cell>
          <cell r="D391">
            <v>5701</v>
          </cell>
        </row>
        <row r="394">
          <cell r="B394" t="str">
            <v>Best Western</v>
          </cell>
          <cell r="C394">
            <v>11</v>
          </cell>
          <cell r="D394">
            <v>1377</v>
          </cell>
          <cell r="E394">
            <v>0</v>
          </cell>
          <cell r="F394">
            <v>0</v>
          </cell>
          <cell r="G394">
            <v>1</v>
          </cell>
          <cell r="H394">
            <v>168</v>
          </cell>
        </row>
        <row r="395">
          <cell r="B395" t="str">
            <v>Comfort Inn</v>
          </cell>
          <cell r="C395">
            <v>15</v>
          </cell>
          <cell r="D395">
            <v>1433</v>
          </cell>
          <cell r="E395">
            <v>1</v>
          </cell>
          <cell r="F395">
            <v>78</v>
          </cell>
          <cell r="G395">
            <v>0</v>
          </cell>
          <cell r="H395">
            <v>0</v>
          </cell>
        </row>
        <row r="396">
          <cell r="B396" t="str">
            <v>Days Inn</v>
          </cell>
          <cell r="C396">
            <v>19</v>
          </cell>
          <cell r="D396">
            <v>2168</v>
          </cell>
          <cell r="E396">
            <v>1</v>
          </cell>
          <cell r="F396">
            <v>65</v>
          </cell>
          <cell r="G396">
            <v>0</v>
          </cell>
          <cell r="H396">
            <v>0</v>
          </cell>
        </row>
        <row r="397">
          <cell r="B397" t="str">
            <v>Econo Lodge</v>
          </cell>
          <cell r="C397">
            <v>20</v>
          </cell>
          <cell r="D397">
            <v>1270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Hampton Inn</v>
          </cell>
          <cell r="C398">
            <v>10</v>
          </cell>
          <cell r="D398">
            <v>1119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Holiday Inn</v>
          </cell>
          <cell r="C399">
            <v>10</v>
          </cell>
          <cell r="D399">
            <v>1991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</row>
        <row r="400">
          <cell r="B400" t="str">
            <v>Quality Inn</v>
          </cell>
          <cell r="C400">
            <v>9</v>
          </cell>
          <cell r="D400">
            <v>1050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B401" t="str">
            <v>Ramada Inn</v>
          </cell>
          <cell r="C401">
            <v>6</v>
          </cell>
          <cell r="D401">
            <v>1036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3">
          <cell r="B403" t="str">
            <v>ACCOR</v>
          </cell>
          <cell r="C403">
            <v>9</v>
          </cell>
          <cell r="D403">
            <v>1061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Best Western Int'l</v>
          </cell>
          <cell r="C404">
            <v>11</v>
          </cell>
          <cell r="D404">
            <v>1377</v>
          </cell>
          <cell r="E404">
            <v>0</v>
          </cell>
          <cell r="F404">
            <v>0</v>
          </cell>
          <cell r="G404">
            <v>1</v>
          </cell>
          <cell r="H404">
            <v>168</v>
          </cell>
        </row>
        <row r="405">
          <cell r="B405" t="str">
            <v>Cendant</v>
          </cell>
          <cell r="C405">
            <v>56</v>
          </cell>
          <cell r="D405">
            <v>5790</v>
          </cell>
          <cell r="E405">
            <v>1</v>
          </cell>
          <cell r="F405">
            <v>65</v>
          </cell>
          <cell r="G405">
            <v>0</v>
          </cell>
          <cell r="H405">
            <v>0</v>
          </cell>
        </row>
        <row r="406">
          <cell r="B406" t="str">
            <v>Choice Hotels</v>
          </cell>
          <cell r="C406">
            <v>56</v>
          </cell>
          <cell r="D406">
            <v>4891</v>
          </cell>
          <cell r="E406">
            <v>1</v>
          </cell>
          <cell r="F406">
            <v>78</v>
          </cell>
          <cell r="G406">
            <v>2</v>
          </cell>
          <cell r="H406">
            <v>234</v>
          </cell>
        </row>
        <row r="407">
          <cell r="B407" t="str">
            <v>Hilton Hotel Corp.</v>
          </cell>
          <cell r="C407">
            <v>17</v>
          </cell>
          <cell r="D407">
            <v>2316</v>
          </cell>
          <cell r="E407">
            <v>1</v>
          </cell>
          <cell r="F407">
            <v>119</v>
          </cell>
          <cell r="G407">
            <v>0</v>
          </cell>
          <cell r="H407">
            <v>0</v>
          </cell>
        </row>
        <row r="408">
          <cell r="B408" t="str">
            <v>Marriott Int'l</v>
          </cell>
          <cell r="C408">
            <v>18</v>
          </cell>
          <cell r="D408">
            <v>2741</v>
          </cell>
          <cell r="E408">
            <v>1</v>
          </cell>
          <cell r="F408">
            <v>120</v>
          </cell>
          <cell r="G408">
            <v>1</v>
          </cell>
          <cell r="H408">
            <v>250</v>
          </cell>
        </row>
        <row r="409">
          <cell r="B409" t="str">
            <v>Six Continents Hotels</v>
          </cell>
          <cell r="C409">
            <v>14</v>
          </cell>
          <cell r="D409">
            <v>2593</v>
          </cell>
          <cell r="E409">
            <v>1</v>
          </cell>
          <cell r="F409">
            <v>147</v>
          </cell>
          <cell r="G409">
            <v>0</v>
          </cell>
          <cell r="H409">
            <v>0</v>
          </cell>
        </row>
        <row r="410">
          <cell r="B410" t="str">
            <v>Starwood Hotels</v>
          </cell>
          <cell r="C410">
            <v>3</v>
          </cell>
          <cell r="D410">
            <v>848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2">
          <cell r="B412" t="str">
            <v>Economy</v>
          </cell>
          <cell r="C412">
            <v>92</v>
          </cell>
          <cell r="D412">
            <v>8122</v>
          </cell>
        </row>
        <row r="413">
          <cell r="B413" t="str">
            <v>Independent</v>
          </cell>
          <cell r="C413">
            <v>117</v>
          </cell>
          <cell r="D413">
            <v>10061</v>
          </cell>
        </row>
        <row r="414">
          <cell r="B414" t="str">
            <v>Midscale w/ F&amp;B</v>
          </cell>
          <cell r="C414">
            <v>51</v>
          </cell>
          <cell r="D414">
            <v>7678</v>
          </cell>
        </row>
        <row r="415">
          <cell r="B415" t="str">
            <v>Midscale w/o F&amp;B</v>
          </cell>
          <cell r="C415">
            <v>45</v>
          </cell>
          <cell r="D415">
            <v>4616</v>
          </cell>
        </row>
        <row r="416">
          <cell r="B416" t="str">
            <v>Upper Upscale</v>
          </cell>
          <cell r="C416">
            <v>8</v>
          </cell>
          <cell r="D416">
            <v>2197</v>
          </cell>
        </row>
        <row r="417">
          <cell r="B417" t="str">
            <v>Upscale</v>
          </cell>
          <cell r="C417">
            <v>15</v>
          </cell>
          <cell r="D417">
            <v>2212</v>
          </cell>
        </row>
        <row r="420">
          <cell r="B420" t="str">
            <v>Aston</v>
          </cell>
          <cell r="C420">
            <v>10</v>
          </cell>
          <cell r="D420">
            <v>1635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Best Western</v>
          </cell>
          <cell r="C421">
            <v>3</v>
          </cell>
          <cell r="D421">
            <v>1690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</row>
        <row r="422">
          <cell r="B422" t="str">
            <v>Hilton Hotel</v>
          </cell>
          <cell r="C422">
            <v>3</v>
          </cell>
          <cell r="D422">
            <v>3483</v>
          </cell>
          <cell r="E422">
            <v>0</v>
          </cell>
          <cell r="F422">
            <v>0</v>
          </cell>
          <cell r="G422">
            <v>1</v>
          </cell>
          <cell r="H422">
            <v>453</v>
          </cell>
        </row>
        <row r="423">
          <cell r="B423" t="str">
            <v>Hyatt Hotel</v>
          </cell>
          <cell r="C423">
            <v>1</v>
          </cell>
          <cell r="D423">
            <v>1230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Marriott Hotel</v>
          </cell>
          <cell r="C424">
            <v>2</v>
          </cell>
          <cell r="D424">
            <v>1691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Outrigger</v>
          </cell>
          <cell r="C425">
            <v>20</v>
          </cell>
          <cell r="D425">
            <v>8007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B426" t="str">
            <v>Renaissance Hotel</v>
          </cell>
          <cell r="C426">
            <v>1</v>
          </cell>
          <cell r="D426">
            <v>783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Sheraton Hotel</v>
          </cell>
          <cell r="C427">
            <v>5</v>
          </cell>
          <cell r="D427">
            <v>4366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</row>
        <row r="429">
          <cell r="B429" t="str">
            <v>Aston Hotels</v>
          </cell>
          <cell r="C429">
            <v>10</v>
          </cell>
          <cell r="D429">
            <v>1635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Best Western Int'l</v>
          </cell>
          <cell r="C430">
            <v>3</v>
          </cell>
          <cell r="D430">
            <v>1690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Carlson Hospitality</v>
          </cell>
          <cell r="C431">
            <v>1</v>
          </cell>
          <cell r="D431">
            <v>620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Hilton Hotel Corp.</v>
          </cell>
          <cell r="C432">
            <v>4</v>
          </cell>
          <cell r="D432">
            <v>3796</v>
          </cell>
          <cell r="E432">
            <v>0</v>
          </cell>
          <cell r="F432">
            <v>0</v>
          </cell>
          <cell r="G432">
            <v>1</v>
          </cell>
          <cell r="H432">
            <v>453</v>
          </cell>
        </row>
        <row r="433">
          <cell r="B433" t="str">
            <v>Hyatt Hotel Corp.</v>
          </cell>
          <cell r="C433">
            <v>1</v>
          </cell>
          <cell r="D433">
            <v>1230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Marriott Int'l</v>
          </cell>
          <cell r="C434">
            <v>3</v>
          </cell>
          <cell r="D434">
            <v>2474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Outrigger Hotels</v>
          </cell>
          <cell r="C435">
            <v>20</v>
          </cell>
          <cell r="D435">
            <v>8007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Starwood Hotels</v>
          </cell>
          <cell r="C436">
            <v>7</v>
          </cell>
          <cell r="D436">
            <v>4935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8">
          <cell r="B438" t="str">
            <v>Economy</v>
          </cell>
          <cell r="C438">
            <v>1</v>
          </cell>
          <cell r="D438">
            <v>48</v>
          </cell>
        </row>
        <row r="439">
          <cell r="B439" t="str">
            <v>Independent</v>
          </cell>
          <cell r="C439">
            <v>52</v>
          </cell>
          <cell r="D439">
            <v>11283</v>
          </cell>
        </row>
        <row r="440">
          <cell r="B440" t="str">
            <v>Midscale w/ F&amp;B</v>
          </cell>
          <cell r="C440">
            <v>27</v>
          </cell>
          <cell r="D440">
            <v>10385</v>
          </cell>
        </row>
        <row r="441">
          <cell r="B441" t="str">
            <v>Midscale w/o F&amp;B</v>
          </cell>
          <cell r="C441">
            <v>1</v>
          </cell>
          <cell r="D441">
            <v>100</v>
          </cell>
        </row>
        <row r="442">
          <cell r="B442" t="str">
            <v>Upper Upscale</v>
          </cell>
          <cell r="C442">
            <v>14</v>
          </cell>
          <cell r="D442">
            <v>12122</v>
          </cell>
        </row>
        <row r="443">
          <cell r="B443" t="str">
            <v>Upscale</v>
          </cell>
          <cell r="C443">
            <v>12</v>
          </cell>
          <cell r="D443">
            <v>2568</v>
          </cell>
        </row>
        <row r="446">
          <cell r="B446" t="str">
            <v>Best Western</v>
          </cell>
          <cell r="C446">
            <v>14</v>
          </cell>
          <cell r="D446">
            <v>2906</v>
          </cell>
          <cell r="E446">
            <v>1</v>
          </cell>
          <cell r="F446">
            <v>95</v>
          </cell>
          <cell r="G446">
            <v>0</v>
          </cell>
          <cell r="H446">
            <v>0</v>
          </cell>
        </row>
        <row r="447">
          <cell r="B447" t="str">
            <v>Days Inn</v>
          </cell>
          <cell r="C447">
            <v>23</v>
          </cell>
          <cell r="D447">
            <v>5520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Holiday Inn</v>
          </cell>
          <cell r="C448">
            <v>13</v>
          </cell>
          <cell r="D448">
            <v>4699</v>
          </cell>
          <cell r="E448">
            <v>0</v>
          </cell>
          <cell r="F448">
            <v>0</v>
          </cell>
          <cell r="G448">
            <v>1</v>
          </cell>
          <cell r="H448">
            <v>150</v>
          </cell>
        </row>
        <row r="449">
          <cell r="B449" t="str">
            <v>Marriott Hotel</v>
          </cell>
          <cell r="C449">
            <v>3</v>
          </cell>
          <cell r="D449">
            <v>2777</v>
          </cell>
          <cell r="E449">
            <v>1</v>
          </cell>
          <cell r="F449">
            <v>500</v>
          </cell>
          <cell r="G449">
            <v>0</v>
          </cell>
          <cell r="H449">
            <v>0</v>
          </cell>
        </row>
        <row r="450">
          <cell r="B450" t="str">
            <v>Quality Inn</v>
          </cell>
          <cell r="C450">
            <v>9</v>
          </cell>
          <cell r="D450">
            <v>2889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Radisson Hotel</v>
          </cell>
          <cell r="C451">
            <v>7</v>
          </cell>
          <cell r="D451">
            <v>2802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B452" t="str">
            <v>Sheraton Hotel</v>
          </cell>
          <cell r="C452">
            <v>7</v>
          </cell>
          <cell r="D452">
            <v>5125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Travelodge</v>
          </cell>
          <cell r="C453">
            <v>10</v>
          </cell>
          <cell r="D453">
            <v>2245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5">
          <cell r="B455" t="str">
            <v>Best Western Int'l</v>
          </cell>
          <cell r="C455">
            <v>14</v>
          </cell>
          <cell r="D455">
            <v>2906</v>
          </cell>
          <cell r="E455">
            <v>1</v>
          </cell>
          <cell r="F455">
            <v>95</v>
          </cell>
          <cell r="G455">
            <v>0</v>
          </cell>
          <cell r="H455">
            <v>0</v>
          </cell>
        </row>
        <row r="456">
          <cell r="B456" t="str">
            <v>Carlson Hospitality</v>
          </cell>
          <cell r="C456">
            <v>13</v>
          </cell>
          <cell r="D456">
            <v>3590</v>
          </cell>
          <cell r="E456">
            <v>1</v>
          </cell>
          <cell r="F456">
            <v>170</v>
          </cell>
          <cell r="G456">
            <v>1</v>
          </cell>
          <cell r="H456">
            <v>162</v>
          </cell>
        </row>
        <row r="457">
          <cell r="B457" t="str">
            <v>Cendant</v>
          </cell>
          <cell r="C457">
            <v>79</v>
          </cell>
          <cell r="D457">
            <v>16834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Choice Hotels</v>
          </cell>
          <cell r="C458">
            <v>39</v>
          </cell>
          <cell r="D458">
            <v>9133</v>
          </cell>
          <cell r="E458">
            <v>2</v>
          </cell>
          <cell r="F458">
            <v>290</v>
          </cell>
          <cell r="G458">
            <v>1</v>
          </cell>
          <cell r="H458">
            <v>74</v>
          </cell>
        </row>
        <row r="459">
          <cell r="B459" t="str">
            <v>Hilton Hotel Corp.</v>
          </cell>
          <cell r="C459">
            <v>34</v>
          </cell>
          <cell r="D459">
            <v>7209</v>
          </cell>
          <cell r="E459">
            <v>3</v>
          </cell>
          <cell r="F459">
            <v>367</v>
          </cell>
          <cell r="G459">
            <v>2</v>
          </cell>
          <cell r="H459">
            <v>355</v>
          </cell>
        </row>
        <row r="460">
          <cell r="B460" t="str">
            <v>Marriott Int'l</v>
          </cell>
          <cell r="C460">
            <v>31</v>
          </cell>
          <cell r="D460">
            <v>9317</v>
          </cell>
          <cell r="E460">
            <v>7</v>
          </cell>
          <cell r="F460">
            <v>1896</v>
          </cell>
          <cell r="G460">
            <v>3</v>
          </cell>
          <cell r="H460">
            <v>526</v>
          </cell>
        </row>
        <row r="461">
          <cell r="B461" t="str">
            <v>Six Continents Hotels</v>
          </cell>
          <cell r="C461">
            <v>22</v>
          </cell>
          <cell r="D461">
            <v>6464</v>
          </cell>
          <cell r="E461">
            <v>0</v>
          </cell>
          <cell r="F461">
            <v>0</v>
          </cell>
          <cell r="G461">
            <v>1</v>
          </cell>
          <cell r="H461">
            <v>150</v>
          </cell>
        </row>
        <row r="462">
          <cell r="B462" t="str">
            <v>Starwood Hotels</v>
          </cell>
          <cell r="C462">
            <v>12</v>
          </cell>
          <cell r="D462">
            <v>6847</v>
          </cell>
          <cell r="E462">
            <v>0</v>
          </cell>
          <cell r="F462">
            <v>0</v>
          </cell>
          <cell r="G462">
            <v>1</v>
          </cell>
          <cell r="H462">
            <v>250</v>
          </cell>
        </row>
        <row r="464">
          <cell r="B464" t="str">
            <v>Economy</v>
          </cell>
          <cell r="C464">
            <v>108</v>
          </cell>
          <cell r="D464">
            <v>17712</v>
          </cell>
        </row>
        <row r="465">
          <cell r="B465" t="str">
            <v>Independent</v>
          </cell>
          <cell r="C465">
            <v>107</v>
          </cell>
          <cell r="D465">
            <v>38613</v>
          </cell>
        </row>
        <row r="466">
          <cell r="B466" t="str">
            <v>Midscale w/ F&amp;B</v>
          </cell>
          <cell r="C466">
            <v>70</v>
          </cell>
          <cell r="D466">
            <v>21015</v>
          </cell>
        </row>
        <row r="467">
          <cell r="B467" t="str">
            <v>Midscale w/o F&amp;B</v>
          </cell>
          <cell r="C467">
            <v>64</v>
          </cell>
          <cell r="D467">
            <v>10147</v>
          </cell>
        </row>
        <row r="468">
          <cell r="B468" t="str">
            <v>Upper Upscale</v>
          </cell>
          <cell r="C468">
            <v>36</v>
          </cell>
          <cell r="D468">
            <v>20481</v>
          </cell>
        </row>
        <row r="469">
          <cell r="B469" t="str">
            <v>Upscale</v>
          </cell>
          <cell r="C469">
            <v>44</v>
          </cell>
          <cell r="D469">
            <v>9494</v>
          </cell>
        </row>
        <row r="472">
          <cell r="B472" t="str">
            <v>Best Western</v>
          </cell>
          <cell r="C472">
            <v>14</v>
          </cell>
          <cell r="D472">
            <v>1617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Courtyard by Marriott</v>
          </cell>
          <cell r="C473">
            <v>8</v>
          </cell>
          <cell r="D473">
            <v>1573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Hampton Inn</v>
          </cell>
          <cell r="C474">
            <v>12</v>
          </cell>
          <cell r="D474">
            <v>1731</v>
          </cell>
          <cell r="E474">
            <v>0</v>
          </cell>
          <cell r="F474">
            <v>0</v>
          </cell>
          <cell r="G474">
            <v>1</v>
          </cell>
          <cell r="H474">
            <v>250</v>
          </cell>
        </row>
        <row r="475">
          <cell r="B475" t="str">
            <v>Holiday Inn</v>
          </cell>
          <cell r="C475">
            <v>11</v>
          </cell>
          <cell r="D475">
            <v>2467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Marriott Hotel</v>
          </cell>
          <cell r="C476">
            <v>3</v>
          </cell>
          <cell r="D476">
            <v>2115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Radisson Hotel</v>
          </cell>
          <cell r="C477">
            <v>5</v>
          </cell>
          <cell r="D477">
            <v>1710</v>
          </cell>
          <cell r="E477">
            <v>1</v>
          </cell>
          <cell r="F477">
            <v>250</v>
          </cell>
          <cell r="G477">
            <v>0</v>
          </cell>
          <cell r="H477">
            <v>0</v>
          </cell>
        </row>
        <row r="478">
          <cell r="B478" t="str">
            <v>Sheraton Hotel</v>
          </cell>
          <cell r="C478">
            <v>8</v>
          </cell>
          <cell r="D478">
            <v>1926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Wyndham Hotel</v>
          </cell>
          <cell r="C479">
            <v>3</v>
          </cell>
          <cell r="D479">
            <v>1229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1">
          <cell r="B481" t="str">
            <v>Best Western Int'l</v>
          </cell>
          <cell r="C481">
            <v>14</v>
          </cell>
          <cell r="D481">
            <v>1617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Carlson Hospitality</v>
          </cell>
          <cell r="C482">
            <v>6</v>
          </cell>
          <cell r="D482">
            <v>1735</v>
          </cell>
          <cell r="E482">
            <v>1</v>
          </cell>
          <cell r="F482">
            <v>250</v>
          </cell>
          <cell r="G482">
            <v>0</v>
          </cell>
          <cell r="H482">
            <v>0</v>
          </cell>
        </row>
        <row r="483">
          <cell r="B483" t="str">
            <v>Cendant</v>
          </cell>
          <cell r="C483">
            <v>24</v>
          </cell>
          <cell r="D483">
            <v>2475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B484" t="str">
            <v>Hilton Hotel Corp.</v>
          </cell>
          <cell r="C484">
            <v>26</v>
          </cell>
          <cell r="D484">
            <v>5185</v>
          </cell>
          <cell r="E484">
            <v>1</v>
          </cell>
          <cell r="F484">
            <v>279</v>
          </cell>
          <cell r="G484">
            <v>2</v>
          </cell>
          <cell r="H484">
            <v>342</v>
          </cell>
        </row>
        <row r="485">
          <cell r="B485" t="str">
            <v>Marriott Int'l</v>
          </cell>
          <cell r="C485">
            <v>28</v>
          </cell>
          <cell r="D485">
            <v>6010</v>
          </cell>
          <cell r="E485">
            <v>3</v>
          </cell>
          <cell r="F485">
            <v>529</v>
          </cell>
          <cell r="G485">
            <v>2</v>
          </cell>
          <cell r="H485">
            <v>338</v>
          </cell>
        </row>
        <row r="486">
          <cell r="B486" t="str">
            <v>Six Continents Hotels</v>
          </cell>
          <cell r="C486">
            <v>21</v>
          </cell>
          <cell r="D486">
            <v>3999</v>
          </cell>
          <cell r="E486">
            <v>1</v>
          </cell>
          <cell r="F486">
            <v>76</v>
          </cell>
          <cell r="G486">
            <v>1</v>
          </cell>
          <cell r="H486">
            <v>78</v>
          </cell>
        </row>
        <row r="487">
          <cell r="B487" t="str">
            <v>Starwood Hotels</v>
          </cell>
          <cell r="C487">
            <v>10</v>
          </cell>
          <cell r="D487">
            <v>2393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</row>
        <row r="488">
          <cell r="B488" t="str">
            <v>Wyndham Int'l</v>
          </cell>
          <cell r="C488">
            <v>6</v>
          </cell>
          <cell r="D488">
            <v>1596</v>
          </cell>
          <cell r="E488">
            <v>1</v>
          </cell>
          <cell r="F488">
            <v>131</v>
          </cell>
          <cell r="G488">
            <v>0</v>
          </cell>
          <cell r="H488">
            <v>0</v>
          </cell>
        </row>
        <row r="490">
          <cell r="B490" t="str">
            <v>Economy</v>
          </cell>
          <cell r="C490">
            <v>59</v>
          </cell>
          <cell r="D490">
            <v>5412</v>
          </cell>
        </row>
        <row r="491">
          <cell r="B491" t="str">
            <v>Independent</v>
          </cell>
          <cell r="C491">
            <v>66</v>
          </cell>
          <cell r="D491">
            <v>5515</v>
          </cell>
        </row>
        <row r="492">
          <cell r="B492" t="str">
            <v>Midscale w/ F&amp;B</v>
          </cell>
          <cell r="C492">
            <v>41</v>
          </cell>
          <cell r="D492">
            <v>6313</v>
          </cell>
        </row>
        <row r="493">
          <cell r="B493" t="str">
            <v>Midscale w/o F&amp;B</v>
          </cell>
          <cell r="C493">
            <v>43</v>
          </cell>
          <cell r="D493">
            <v>4982</v>
          </cell>
        </row>
        <row r="494">
          <cell r="B494" t="str">
            <v>Upper Upscale</v>
          </cell>
          <cell r="C494">
            <v>34</v>
          </cell>
          <cell r="D494">
            <v>10975</v>
          </cell>
        </row>
        <row r="495">
          <cell r="B495" t="str">
            <v>Upscale</v>
          </cell>
          <cell r="C495">
            <v>28</v>
          </cell>
          <cell r="D495">
            <v>6329</v>
          </cell>
        </row>
        <row r="498">
          <cell r="B498" t="str">
            <v>Best Western</v>
          </cell>
          <cell r="C498">
            <v>17</v>
          </cell>
          <cell r="D498">
            <v>1690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</row>
        <row r="499">
          <cell r="B499" t="str">
            <v>Courtyard by Marriott</v>
          </cell>
          <cell r="C499">
            <v>8</v>
          </cell>
          <cell r="D499">
            <v>1230</v>
          </cell>
          <cell r="E499">
            <v>1</v>
          </cell>
          <cell r="F499">
            <v>156</v>
          </cell>
          <cell r="G499">
            <v>0</v>
          </cell>
          <cell r="H499">
            <v>0</v>
          </cell>
        </row>
        <row r="500">
          <cell r="B500" t="str">
            <v>Embassy Suites</v>
          </cell>
          <cell r="C500">
            <v>6</v>
          </cell>
          <cell r="D500">
            <v>1453</v>
          </cell>
          <cell r="E500">
            <v>1</v>
          </cell>
          <cell r="F500">
            <v>277</v>
          </cell>
          <cell r="G500">
            <v>0</v>
          </cell>
          <cell r="H500">
            <v>0</v>
          </cell>
        </row>
        <row r="501">
          <cell r="B501" t="str">
            <v>Hampton Inn</v>
          </cell>
          <cell r="C501">
            <v>10</v>
          </cell>
          <cell r="D501">
            <v>1203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</row>
        <row r="502">
          <cell r="B502" t="str">
            <v>Hilton Hotel</v>
          </cell>
          <cell r="C502">
            <v>6</v>
          </cell>
          <cell r="D502">
            <v>2047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</row>
        <row r="503">
          <cell r="B503" t="str">
            <v>Hyatt Hotel</v>
          </cell>
          <cell r="C503">
            <v>2</v>
          </cell>
          <cell r="D503">
            <v>1205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</row>
        <row r="504">
          <cell r="B504" t="str">
            <v>Marriott Hotel</v>
          </cell>
          <cell r="C504">
            <v>5</v>
          </cell>
          <cell r="D504">
            <v>1656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Motel 6</v>
          </cell>
          <cell r="C505">
            <v>16</v>
          </cell>
          <cell r="D505">
            <v>2244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</row>
        <row r="507">
          <cell r="B507" t="str">
            <v>ACCOR</v>
          </cell>
          <cell r="C507">
            <v>21</v>
          </cell>
          <cell r="D507">
            <v>2867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</row>
        <row r="508">
          <cell r="B508" t="str">
            <v>Best Western Int'l</v>
          </cell>
          <cell r="C508">
            <v>17</v>
          </cell>
          <cell r="D508">
            <v>1690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</row>
        <row r="509">
          <cell r="B509" t="str">
            <v>Cendant</v>
          </cell>
          <cell r="C509">
            <v>39</v>
          </cell>
          <cell r="D509">
            <v>3947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</row>
        <row r="510">
          <cell r="B510" t="str">
            <v>Choice Hotels</v>
          </cell>
          <cell r="C510">
            <v>31</v>
          </cell>
          <cell r="D510">
            <v>3086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</row>
        <row r="511">
          <cell r="B511" t="str">
            <v>Hilton Hotel Corp.</v>
          </cell>
          <cell r="C511">
            <v>34</v>
          </cell>
          <cell r="D511">
            <v>6815</v>
          </cell>
          <cell r="E511">
            <v>2</v>
          </cell>
          <cell r="F511">
            <v>387</v>
          </cell>
          <cell r="G511">
            <v>0</v>
          </cell>
          <cell r="H511">
            <v>0</v>
          </cell>
        </row>
        <row r="512">
          <cell r="B512" t="str">
            <v>Hyatt Hotel Corp.</v>
          </cell>
          <cell r="C512">
            <v>2</v>
          </cell>
          <cell r="D512">
            <v>1205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</row>
        <row r="513">
          <cell r="B513" t="str">
            <v>Marriott Int'l</v>
          </cell>
          <cell r="C513">
            <v>39</v>
          </cell>
          <cell r="D513">
            <v>6303</v>
          </cell>
          <cell r="E513">
            <v>6</v>
          </cell>
          <cell r="F513">
            <v>937</v>
          </cell>
          <cell r="G513">
            <v>0</v>
          </cell>
          <cell r="H513">
            <v>0</v>
          </cell>
        </row>
        <row r="514">
          <cell r="B514" t="str">
            <v>Six Continents Hotels</v>
          </cell>
          <cell r="C514">
            <v>15</v>
          </cell>
          <cell r="D514">
            <v>2777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</row>
        <row r="516">
          <cell r="B516" t="str">
            <v>Economy</v>
          </cell>
          <cell r="C516">
            <v>86</v>
          </cell>
          <cell r="D516">
            <v>9398</v>
          </cell>
        </row>
        <row r="517">
          <cell r="B517" t="str">
            <v>Independent</v>
          </cell>
          <cell r="C517">
            <v>68</v>
          </cell>
          <cell r="D517">
            <v>9836</v>
          </cell>
        </row>
        <row r="518">
          <cell r="B518" t="str">
            <v>Midscale w/ F&amp;B</v>
          </cell>
          <cell r="C518">
            <v>40</v>
          </cell>
          <cell r="D518">
            <v>5667</v>
          </cell>
        </row>
        <row r="519">
          <cell r="B519" t="str">
            <v>Midscale w/o F&amp;B</v>
          </cell>
          <cell r="C519">
            <v>78</v>
          </cell>
          <cell r="D519">
            <v>8721</v>
          </cell>
        </row>
        <row r="520">
          <cell r="B520" t="str">
            <v>Upper Upscale</v>
          </cell>
          <cell r="C520">
            <v>34</v>
          </cell>
          <cell r="D520">
            <v>10983</v>
          </cell>
        </row>
        <row r="521">
          <cell r="B521" t="str">
            <v>Upscale</v>
          </cell>
          <cell r="C521">
            <v>39</v>
          </cell>
          <cell r="D521">
            <v>6338</v>
          </cell>
        </row>
        <row r="524">
          <cell r="B524" t="str">
            <v>Best Western</v>
          </cell>
          <cell r="C524">
            <v>12</v>
          </cell>
          <cell r="D524">
            <v>1176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Days Inn</v>
          </cell>
          <cell r="C525">
            <v>11</v>
          </cell>
          <cell r="D525">
            <v>1217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Drury Inn</v>
          </cell>
          <cell r="C526">
            <v>12</v>
          </cell>
          <cell r="D526">
            <v>1835</v>
          </cell>
          <cell r="E526">
            <v>1</v>
          </cell>
          <cell r="F526">
            <v>362</v>
          </cell>
          <cell r="G526">
            <v>0</v>
          </cell>
          <cell r="H526">
            <v>0</v>
          </cell>
        </row>
        <row r="527">
          <cell r="B527" t="str">
            <v>Hampton Inn</v>
          </cell>
          <cell r="C527">
            <v>9</v>
          </cell>
          <cell r="D527">
            <v>1073</v>
          </cell>
          <cell r="E527">
            <v>0</v>
          </cell>
          <cell r="F527">
            <v>0</v>
          </cell>
          <cell r="G527">
            <v>1</v>
          </cell>
          <cell r="H527">
            <v>84</v>
          </cell>
        </row>
        <row r="528">
          <cell r="B528" t="str">
            <v>Holiday Inn</v>
          </cell>
          <cell r="C528">
            <v>14</v>
          </cell>
          <cell r="D528">
            <v>3040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Marriott Hotel</v>
          </cell>
          <cell r="C529">
            <v>3</v>
          </cell>
          <cell r="D529">
            <v>1573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Sheraton Hotel</v>
          </cell>
          <cell r="C530">
            <v>4</v>
          </cell>
          <cell r="D530">
            <v>1050</v>
          </cell>
          <cell r="E530">
            <v>0</v>
          </cell>
          <cell r="F530">
            <v>0</v>
          </cell>
          <cell r="G530">
            <v>1</v>
          </cell>
          <cell r="H530">
            <v>288</v>
          </cell>
        </row>
        <row r="531">
          <cell r="B531" t="str">
            <v>Super 8</v>
          </cell>
          <cell r="C531">
            <v>18</v>
          </cell>
          <cell r="D531">
            <v>1041</v>
          </cell>
          <cell r="E531">
            <v>2</v>
          </cell>
          <cell r="F531">
            <v>89</v>
          </cell>
          <cell r="G531">
            <v>0</v>
          </cell>
          <cell r="H531">
            <v>0</v>
          </cell>
        </row>
        <row r="533">
          <cell r="B533" t="str">
            <v>ACCOR</v>
          </cell>
          <cell r="C533">
            <v>15</v>
          </cell>
          <cell r="D533">
            <v>1659</v>
          </cell>
          <cell r="E533">
            <v>1</v>
          </cell>
          <cell r="F533">
            <v>76</v>
          </cell>
          <cell r="G533">
            <v>0</v>
          </cell>
          <cell r="H533">
            <v>0</v>
          </cell>
        </row>
        <row r="534">
          <cell r="B534" t="str">
            <v>Best Western Int'l</v>
          </cell>
          <cell r="C534">
            <v>12</v>
          </cell>
          <cell r="D534">
            <v>1176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Cendant</v>
          </cell>
          <cell r="C535">
            <v>49</v>
          </cell>
          <cell r="D535">
            <v>4267</v>
          </cell>
          <cell r="E535">
            <v>2</v>
          </cell>
          <cell r="F535">
            <v>89</v>
          </cell>
          <cell r="G535">
            <v>0</v>
          </cell>
          <cell r="H535">
            <v>0</v>
          </cell>
        </row>
        <row r="536">
          <cell r="B536" t="str">
            <v>Drury Inns Inc.</v>
          </cell>
          <cell r="C536">
            <v>12</v>
          </cell>
          <cell r="D536">
            <v>1835</v>
          </cell>
          <cell r="E536">
            <v>1</v>
          </cell>
          <cell r="F536">
            <v>362</v>
          </cell>
          <cell r="G536">
            <v>0</v>
          </cell>
          <cell r="H536">
            <v>0</v>
          </cell>
        </row>
        <row r="537">
          <cell r="B537" t="str">
            <v>Hilton Hotel Corp.</v>
          </cell>
          <cell r="C537">
            <v>18</v>
          </cell>
          <cell r="D537">
            <v>2753</v>
          </cell>
          <cell r="E537">
            <v>3</v>
          </cell>
          <cell r="F537">
            <v>440</v>
          </cell>
          <cell r="G537">
            <v>1</v>
          </cell>
          <cell r="H537">
            <v>84</v>
          </cell>
        </row>
        <row r="538">
          <cell r="B538" t="str">
            <v>Marriott Int'l</v>
          </cell>
          <cell r="C538">
            <v>21</v>
          </cell>
          <cell r="D538">
            <v>4078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Six Continents Hotels</v>
          </cell>
          <cell r="C539">
            <v>23</v>
          </cell>
          <cell r="D539">
            <v>4265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Starwood Hotels</v>
          </cell>
          <cell r="C540">
            <v>7</v>
          </cell>
          <cell r="D540">
            <v>1896</v>
          </cell>
          <cell r="E540">
            <v>0</v>
          </cell>
          <cell r="F540">
            <v>0</v>
          </cell>
          <cell r="G540">
            <v>2</v>
          </cell>
          <cell r="H540">
            <v>545</v>
          </cell>
        </row>
        <row r="542">
          <cell r="B542" t="str">
            <v>Economy</v>
          </cell>
          <cell r="C542">
            <v>81</v>
          </cell>
          <cell r="D542">
            <v>7037</v>
          </cell>
        </row>
        <row r="543">
          <cell r="B543" t="str">
            <v>Independent</v>
          </cell>
          <cell r="C543">
            <v>30</v>
          </cell>
          <cell r="D543">
            <v>3300</v>
          </cell>
        </row>
        <row r="544">
          <cell r="B544" t="str">
            <v>Midscale w/ F&amp;B</v>
          </cell>
          <cell r="C544">
            <v>37</v>
          </cell>
          <cell r="D544">
            <v>6332</v>
          </cell>
        </row>
        <row r="545">
          <cell r="B545" t="str">
            <v>Midscale w/o F&amp;B</v>
          </cell>
          <cell r="C545">
            <v>55</v>
          </cell>
          <cell r="D545">
            <v>5990</v>
          </cell>
        </row>
        <row r="546">
          <cell r="B546" t="str">
            <v>Upper Upscale</v>
          </cell>
          <cell r="C546">
            <v>18</v>
          </cell>
          <cell r="D546">
            <v>5389</v>
          </cell>
        </row>
        <row r="547">
          <cell r="B547" t="str">
            <v>Upscale</v>
          </cell>
          <cell r="C547">
            <v>17</v>
          </cell>
          <cell r="D547">
            <v>3694</v>
          </cell>
        </row>
        <row r="550">
          <cell r="B550" t="str">
            <v>Best Western</v>
          </cell>
          <cell r="C550">
            <v>28</v>
          </cell>
          <cell r="D550">
            <v>2705</v>
          </cell>
          <cell r="E550">
            <v>2</v>
          </cell>
          <cell r="F550">
            <v>159</v>
          </cell>
          <cell r="G550">
            <v>0</v>
          </cell>
          <cell r="H550">
            <v>0</v>
          </cell>
        </row>
        <row r="551">
          <cell r="B551" t="str">
            <v>Days Inn</v>
          </cell>
          <cell r="C551">
            <v>15</v>
          </cell>
          <cell r="D551">
            <v>1505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</row>
        <row r="552">
          <cell r="B552" t="str">
            <v>Hilton Hotel</v>
          </cell>
          <cell r="C552">
            <v>7</v>
          </cell>
          <cell r="D552">
            <v>1613</v>
          </cell>
          <cell r="E552">
            <v>1</v>
          </cell>
          <cell r="F552">
            <v>252</v>
          </cell>
          <cell r="G552">
            <v>1</v>
          </cell>
          <cell r="H552">
            <v>30</v>
          </cell>
        </row>
        <row r="553">
          <cell r="B553" t="str">
            <v>Holiday Inn</v>
          </cell>
          <cell r="C553">
            <v>10</v>
          </cell>
          <cell r="D553">
            <v>2506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Marriott Hotel</v>
          </cell>
          <cell r="C554">
            <v>5</v>
          </cell>
          <cell r="D554">
            <v>2629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</row>
        <row r="555">
          <cell r="B555" t="str">
            <v>Motel 6</v>
          </cell>
          <cell r="C555">
            <v>13</v>
          </cell>
          <cell r="D555">
            <v>1722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Radisson Hotel</v>
          </cell>
          <cell r="C556">
            <v>4</v>
          </cell>
          <cell r="D556">
            <v>1018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Sheraton Hotel</v>
          </cell>
          <cell r="C557">
            <v>1</v>
          </cell>
          <cell r="D557">
            <v>1044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9">
          <cell r="B559" t="str">
            <v>ACCOR</v>
          </cell>
          <cell r="C559">
            <v>13</v>
          </cell>
          <cell r="D559">
            <v>1722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Best Western Int'l</v>
          </cell>
          <cell r="C560">
            <v>28</v>
          </cell>
          <cell r="D560">
            <v>2705</v>
          </cell>
          <cell r="E560">
            <v>2</v>
          </cell>
          <cell r="F560">
            <v>159</v>
          </cell>
          <cell r="G560">
            <v>0</v>
          </cell>
          <cell r="H560">
            <v>0</v>
          </cell>
        </row>
        <row r="561">
          <cell r="B561" t="str">
            <v>Carlson Hospitality</v>
          </cell>
          <cell r="C561">
            <v>4</v>
          </cell>
          <cell r="D561">
            <v>1018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Cendant</v>
          </cell>
          <cell r="C562">
            <v>64</v>
          </cell>
          <cell r="D562">
            <v>5089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Hilton Hotel Corp.</v>
          </cell>
          <cell r="C563">
            <v>20</v>
          </cell>
          <cell r="D563">
            <v>4448</v>
          </cell>
          <cell r="E563">
            <v>3</v>
          </cell>
          <cell r="F563">
            <v>542</v>
          </cell>
          <cell r="G563">
            <v>3</v>
          </cell>
          <cell r="H563">
            <v>277</v>
          </cell>
        </row>
        <row r="564">
          <cell r="B564" t="str">
            <v>Marriott Int'l</v>
          </cell>
          <cell r="C564">
            <v>15</v>
          </cell>
          <cell r="D564">
            <v>4231</v>
          </cell>
          <cell r="E564">
            <v>1</v>
          </cell>
          <cell r="F564">
            <v>145</v>
          </cell>
          <cell r="G564">
            <v>0</v>
          </cell>
          <cell r="H564">
            <v>0</v>
          </cell>
        </row>
        <row r="565">
          <cell r="B565" t="str">
            <v>Six Continents Hotels</v>
          </cell>
          <cell r="C565">
            <v>20</v>
          </cell>
          <cell r="D565">
            <v>3380</v>
          </cell>
          <cell r="E565">
            <v>1</v>
          </cell>
          <cell r="F565">
            <v>80</v>
          </cell>
          <cell r="G565">
            <v>0</v>
          </cell>
          <cell r="H565">
            <v>0</v>
          </cell>
        </row>
        <row r="566">
          <cell r="B566" t="str">
            <v>Starwood Hotels</v>
          </cell>
          <cell r="C566">
            <v>5</v>
          </cell>
          <cell r="D566">
            <v>2274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8">
          <cell r="B568" t="str">
            <v>Economy</v>
          </cell>
          <cell r="C568">
            <v>104</v>
          </cell>
          <cell r="D568">
            <v>9029</v>
          </cell>
        </row>
        <row r="569">
          <cell r="B569" t="str">
            <v>Independent</v>
          </cell>
          <cell r="C569">
            <v>185</v>
          </cell>
          <cell r="D569">
            <v>17533</v>
          </cell>
        </row>
        <row r="570">
          <cell r="B570" t="str">
            <v>Midscale w/ F&amp;B</v>
          </cell>
          <cell r="C570">
            <v>57</v>
          </cell>
          <cell r="D570">
            <v>7762</v>
          </cell>
        </row>
        <row r="571">
          <cell r="B571" t="str">
            <v>Midscale w/o F&amp;B</v>
          </cell>
          <cell r="C571">
            <v>27</v>
          </cell>
          <cell r="D571">
            <v>2864</v>
          </cell>
        </row>
        <row r="572">
          <cell r="B572" t="str">
            <v>Upper Upscale</v>
          </cell>
          <cell r="C572">
            <v>24</v>
          </cell>
          <cell r="D572">
            <v>9502</v>
          </cell>
        </row>
        <row r="573">
          <cell r="B573" t="str">
            <v>Upscale</v>
          </cell>
          <cell r="C573">
            <v>23</v>
          </cell>
          <cell r="D573">
            <v>4361</v>
          </cell>
        </row>
        <row r="576">
          <cell r="B576" t="str">
            <v>Best Western</v>
          </cell>
          <cell r="C576">
            <v>16</v>
          </cell>
          <cell r="D576">
            <v>1894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Hilton Hotel</v>
          </cell>
          <cell r="C577">
            <v>3</v>
          </cell>
          <cell r="D577">
            <v>2364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Holiday Inn</v>
          </cell>
          <cell r="C578">
            <v>6</v>
          </cell>
          <cell r="D578">
            <v>2369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Hyatt Hotel</v>
          </cell>
          <cell r="C579">
            <v>5</v>
          </cell>
          <cell r="D579">
            <v>2956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Marriott Hotel</v>
          </cell>
          <cell r="C580">
            <v>4</v>
          </cell>
          <cell r="D580">
            <v>2797</v>
          </cell>
          <cell r="E580">
            <v>1</v>
          </cell>
          <cell r="F580">
            <v>163</v>
          </cell>
          <cell r="G580">
            <v>0</v>
          </cell>
          <cell r="H580">
            <v>0</v>
          </cell>
        </row>
        <row r="581">
          <cell r="B581" t="str">
            <v>Renaissance Hotel</v>
          </cell>
          <cell r="C581">
            <v>2</v>
          </cell>
          <cell r="D581">
            <v>1401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Sheraton Hotel</v>
          </cell>
          <cell r="C582">
            <v>3</v>
          </cell>
          <cell r="D582">
            <v>1480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Westin  Hotel</v>
          </cell>
          <cell r="C583">
            <v>2</v>
          </cell>
          <cell r="D583">
            <v>1577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5">
          <cell r="B585" t="str">
            <v>Best Western Int'l</v>
          </cell>
          <cell r="C585">
            <v>16</v>
          </cell>
          <cell r="D585">
            <v>1894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Cendant</v>
          </cell>
          <cell r="C586">
            <v>43</v>
          </cell>
          <cell r="D586">
            <v>3326</v>
          </cell>
          <cell r="E586">
            <v>1</v>
          </cell>
          <cell r="F586">
            <v>48</v>
          </cell>
          <cell r="G586">
            <v>0</v>
          </cell>
          <cell r="H586">
            <v>0</v>
          </cell>
        </row>
        <row r="587">
          <cell r="B587" t="str">
            <v>Choice Hotels</v>
          </cell>
          <cell r="C587">
            <v>15</v>
          </cell>
          <cell r="D587">
            <v>1514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</row>
        <row r="588">
          <cell r="B588" t="str">
            <v>Hilton Hotel Corp.</v>
          </cell>
          <cell r="C588">
            <v>12</v>
          </cell>
          <cell r="D588">
            <v>4257</v>
          </cell>
          <cell r="E588">
            <v>1</v>
          </cell>
          <cell r="F588">
            <v>132</v>
          </cell>
          <cell r="G588">
            <v>1</v>
          </cell>
          <cell r="H588">
            <v>61</v>
          </cell>
        </row>
        <row r="589">
          <cell r="B589" t="str">
            <v>Hyatt Hotel Corp.</v>
          </cell>
          <cell r="C589">
            <v>5</v>
          </cell>
          <cell r="D589">
            <v>2956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Marriott Int'l</v>
          </cell>
          <cell r="C590">
            <v>17</v>
          </cell>
          <cell r="D590">
            <v>6157</v>
          </cell>
          <cell r="E590">
            <v>2</v>
          </cell>
          <cell r="F590">
            <v>361</v>
          </cell>
          <cell r="G590">
            <v>2</v>
          </cell>
          <cell r="H590">
            <v>413</v>
          </cell>
        </row>
        <row r="591">
          <cell r="B591" t="str">
            <v>Six Continents Hotels</v>
          </cell>
          <cell r="C591">
            <v>16</v>
          </cell>
          <cell r="D591">
            <v>4195</v>
          </cell>
          <cell r="E591">
            <v>0</v>
          </cell>
          <cell r="F591">
            <v>0</v>
          </cell>
          <cell r="G591">
            <v>1</v>
          </cell>
          <cell r="H591">
            <v>252</v>
          </cell>
        </row>
        <row r="592">
          <cell r="B592" t="str">
            <v>Starwood Hotels</v>
          </cell>
          <cell r="C592">
            <v>8</v>
          </cell>
          <cell r="D592">
            <v>3815</v>
          </cell>
          <cell r="E592">
            <v>0</v>
          </cell>
          <cell r="F592">
            <v>0</v>
          </cell>
          <cell r="G592">
            <v>1</v>
          </cell>
          <cell r="H592">
            <v>100</v>
          </cell>
        </row>
        <row r="594">
          <cell r="B594" t="str">
            <v>Economy</v>
          </cell>
          <cell r="C594">
            <v>53</v>
          </cell>
          <cell r="D594">
            <v>3464</v>
          </cell>
        </row>
        <row r="595">
          <cell r="B595" t="str">
            <v>Independent</v>
          </cell>
          <cell r="C595">
            <v>197</v>
          </cell>
          <cell r="D595">
            <v>17256</v>
          </cell>
        </row>
        <row r="596">
          <cell r="B596" t="str">
            <v>Midscale w/ F&amp;B</v>
          </cell>
          <cell r="C596">
            <v>37</v>
          </cell>
          <cell r="D596">
            <v>6754</v>
          </cell>
        </row>
        <row r="597">
          <cell r="B597" t="str">
            <v>Midscale w/o F&amp;B</v>
          </cell>
          <cell r="C597">
            <v>15</v>
          </cell>
          <cell r="D597">
            <v>1516</v>
          </cell>
        </row>
        <row r="598">
          <cell r="B598" t="str">
            <v>Upper Upscale</v>
          </cell>
          <cell r="C598">
            <v>33</v>
          </cell>
          <cell r="D598">
            <v>16994</v>
          </cell>
        </row>
        <row r="599">
          <cell r="B599" t="str">
            <v>Upscale</v>
          </cell>
          <cell r="C599">
            <v>19</v>
          </cell>
          <cell r="D599">
            <v>3950</v>
          </cell>
        </row>
        <row r="602">
          <cell r="B602" t="str">
            <v>Best Western</v>
          </cell>
          <cell r="C602">
            <v>21</v>
          </cell>
          <cell r="D602">
            <v>2138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Courtyard by Marriott</v>
          </cell>
          <cell r="C603">
            <v>6</v>
          </cell>
          <cell r="D603">
            <v>1086</v>
          </cell>
          <cell r="E603">
            <v>1</v>
          </cell>
          <cell r="F603">
            <v>160</v>
          </cell>
          <cell r="G603">
            <v>0</v>
          </cell>
          <cell r="H603">
            <v>0</v>
          </cell>
        </row>
        <row r="604">
          <cell r="B604" t="str">
            <v>Doubletree Hotel</v>
          </cell>
          <cell r="C604">
            <v>3</v>
          </cell>
          <cell r="D604">
            <v>1411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Holiday Inn</v>
          </cell>
          <cell r="C605">
            <v>6</v>
          </cell>
          <cell r="D605">
            <v>1243</v>
          </cell>
          <cell r="E605">
            <v>0</v>
          </cell>
          <cell r="F605">
            <v>0</v>
          </cell>
          <cell r="G605">
            <v>1</v>
          </cell>
          <cell r="H605">
            <v>200</v>
          </cell>
        </row>
        <row r="606">
          <cell r="B606" t="str">
            <v>Residence Inn</v>
          </cell>
          <cell r="C606">
            <v>6</v>
          </cell>
          <cell r="D606">
            <v>918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Sheraton Hotel</v>
          </cell>
          <cell r="C607">
            <v>2</v>
          </cell>
          <cell r="D607">
            <v>1680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Travelodge</v>
          </cell>
          <cell r="C608">
            <v>14</v>
          </cell>
          <cell r="D608">
            <v>958</v>
          </cell>
          <cell r="E608">
            <v>1</v>
          </cell>
          <cell r="F608">
            <v>50</v>
          </cell>
          <cell r="G608">
            <v>0</v>
          </cell>
          <cell r="H608">
            <v>0</v>
          </cell>
        </row>
        <row r="609">
          <cell r="B609" t="str">
            <v>WestCoast</v>
          </cell>
          <cell r="C609">
            <v>7</v>
          </cell>
          <cell r="D609">
            <v>1221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1">
          <cell r="B611" t="str">
            <v>Best Western Int'l</v>
          </cell>
          <cell r="C611">
            <v>21</v>
          </cell>
          <cell r="D611">
            <v>2138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Cendant</v>
          </cell>
          <cell r="C612">
            <v>36</v>
          </cell>
          <cell r="D612">
            <v>2955</v>
          </cell>
          <cell r="E612">
            <v>1</v>
          </cell>
          <cell r="F612">
            <v>50</v>
          </cell>
          <cell r="G612">
            <v>1</v>
          </cell>
          <cell r="H612">
            <v>156</v>
          </cell>
        </row>
        <row r="613">
          <cell r="B613" t="str">
            <v>Choice Hotels</v>
          </cell>
          <cell r="C613">
            <v>15</v>
          </cell>
          <cell r="D613">
            <v>1508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Hilton Hotel Corp.</v>
          </cell>
          <cell r="C614">
            <v>19</v>
          </cell>
          <cell r="D614">
            <v>4265</v>
          </cell>
          <cell r="E614">
            <v>1</v>
          </cell>
          <cell r="F614">
            <v>131</v>
          </cell>
          <cell r="G614">
            <v>1</v>
          </cell>
          <cell r="H614">
            <v>265</v>
          </cell>
        </row>
        <row r="615">
          <cell r="B615" t="str">
            <v>Marriott Int'l</v>
          </cell>
          <cell r="C615">
            <v>21</v>
          </cell>
          <cell r="D615">
            <v>3833</v>
          </cell>
          <cell r="E615">
            <v>3</v>
          </cell>
          <cell r="F615">
            <v>409</v>
          </cell>
          <cell r="G615">
            <v>0</v>
          </cell>
          <cell r="H615">
            <v>0</v>
          </cell>
        </row>
        <row r="616">
          <cell r="B616" t="str">
            <v>Six Continents Hotels</v>
          </cell>
          <cell r="C616">
            <v>13</v>
          </cell>
          <cell r="D616">
            <v>2126</v>
          </cell>
          <cell r="E616">
            <v>1</v>
          </cell>
          <cell r="F616">
            <v>80</v>
          </cell>
          <cell r="G616">
            <v>1</v>
          </cell>
          <cell r="H616">
            <v>200</v>
          </cell>
        </row>
        <row r="617">
          <cell r="B617" t="str">
            <v>Starwood Hotels</v>
          </cell>
          <cell r="C617">
            <v>4</v>
          </cell>
          <cell r="D617">
            <v>2971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</row>
        <row r="618">
          <cell r="B618" t="str">
            <v>WestCoast Hotels</v>
          </cell>
          <cell r="C618">
            <v>7</v>
          </cell>
          <cell r="D618">
            <v>1221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20">
          <cell r="B620" t="str">
            <v>Economy</v>
          </cell>
          <cell r="C620">
            <v>61</v>
          </cell>
          <cell r="D620">
            <v>5262</v>
          </cell>
        </row>
        <row r="621">
          <cell r="B621" t="str">
            <v>Independent</v>
          </cell>
          <cell r="C621">
            <v>111</v>
          </cell>
          <cell r="D621">
            <v>7718</v>
          </cell>
        </row>
        <row r="622">
          <cell r="B622" t="str">
            <v>Midscale w/ F&amp;B</v>
          </cell>
          <cell r="C622">
            <v>42</v>
          </cell>
          <cell r="D622">
            <v>5706</v>
          </cell>
        </row>
        <row r="623">
          <cell r="B623" t="str">
            <v>Midscale w/o F&amp;B</v>
          </cell>
          <cell r="C623">
            <v>30</v>
          </cell>
          <cell r="D623">
            <v>3484</v>
          </cell>
        </row>
        <row r="624">
          <cell r="B624" t="str">
            <v>Upper Upscale</v>
          </cell>
          <cell r="C624">
            <v>18</v>
          </cell>
          <cell r="D624">
            <v>7123</v>
          </cell>
        </row>
        <row r="625">
          <cell r="B625" t="str">
            <v>Upscale</v>
          </cell>
          <cell r="C625">
            <v>27</v>
          </cell>
          <cell r="D625">
            <v>5529</v>
          </cell>
        </row>
        <row r="628">
          <cell r="B628" t="str">
            <v>Best Western</v>
          </cell>
          <cell r="C628">
            <v>17</v>
          </cell>
          <cell r="D628">
            <v>1742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Days Inn</v>
          </cell>
          <cell r="C629">
            <v>16</v>
          </cell>
          <cell r="D629">
            <v>2361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Hampton Inn</v>
          </cell>
          <cell r="C630">
            <v>10</v>
          </cell>
          <cell r="D630">
            <v>1019</v>
          </cell>
          <cell r="E630">
            <v>1</v>
          </cell>
          <cell r="F630">
            <v>130</v>
          </cell>
          <cell r="G630">
            <v>1</v>
          </cell>
          <cell r="H630">
            <v>86</v>
          </cell>
        </row>
        <row r="631">
          <cell r="B631" t="str">
            <v>Hilton Hotel</v>
          </cell>
          <cell r="C631">
            <v>4</v>
          </cell>
          <cell r="D631">
            <v>1121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Holiday Inn</v>
          </cell>
          <cell r="C632">
            <v>8</v>
          </cell>
          <cell r="D632">
            <v>1524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Marriott Hotel</v>
          </cell>
          <cell r="C633">
            <v>3</v>
          </cell>
          <cell r="D633">
            <v>1312</v>
          </cell>
          <cell r="E633">
            <v>1</v>
          </cell>
          <cell r="F633">
            <v>717</v>
          </cell>
          <cell r="G633">
            <v>0</v>
          </cell>
          <cell r="H633">
            <v>0</v>
          </cell>
        </row>
        <row r="634">
          <cell r="B634" t="str">
            <v>Ramada Inn</v>
          </cell>
          <cell r="C634">
            <v>9</v>
          </cell>
          <cell r="D634">
            <v>1605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Sheraton Hotel</v>
          </cell>
          <cell r="C635">
            <v>3</v>
          </cell>
          <cell r="D635">
            <v>974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7">
          <cell r="B637" t="str">
            <v>Best Western Int'l</v>
          </cell>
          <cell r="C637">
            <v>17</v>
          </cell>
          <cell r="D637">
            <v>1742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</row>
        <row r="638">
          <cell r="B638" t="str">
            <v>Cendant</v>
          </cell>
          <cell r="C638">
            <v>52</v>
          </cell>
          <cell r="D638">
            <v>6605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Choice Hotels</v>
          </cell>
          <cell r="C639">
            <v>22</v>
          </cell>
          <cell r="D639">
            <v>2093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Hilton Hotel Corp.</v>
          </cell>
          <cell r="C640">
            <v>23</v>
          </cell>
          <cell r="D640">
            <v>3920</v>
          </cell>
          <cell r="E640">
            <v>2</v>
          </cell>
          <cell r="F640">
            <v>280</v>
          </cell>
          <cell r="G640">
            <v>1</v>
          </cell>
          <cell r="H640">
            <v>86</v>
          </cell>
        </row>
        <row r="641">
          <cell r="B641" t="str">
            <v>Hyatt Hotel Corp.</v>
          </cell>
          <cell r="C641">
            <v>2</v>
          </cell>
          <cell r="D641">
            <v>966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Marriott Int'l</v>
          </cell>
          <cell r="C642">
            <v>20</v>
          </cell>
          <cell r="D642">
            <v>3375</v>
          </cell>
          <cell r="E642">
            <v>2</v>
          </cell>
          <cell r="F642">
            <v>826</v>
          </cell>
          <cell r="G642">
            <v>0</v>
          </cell>
          <cell r="H642">
            <v>0</v>
          </cell>
        </row>
        <row r="643">
          <cell r="B643" t="str">
            <v>Six Continents Hotels</v>
          </cell>
          <cell r="C643">
            <v>23</v>
          </cell>
          <cell r="D643">
            <v>3808</v>
          </cell>
          <cell r="E643">
            <v>1</v>
          </cell>
          <cell r="F643">
            <v>70</v>
          </cell>
          <cell r="G643">
            <v>1</v>
          </cell>
          <cell r="H643">
            <v>82</v>
          </cell>
        </row>
        <row r="644">
          <cell r="B644" t="str">
            <v>Starwood Hotels</v>
          </cell>
          <cell r="C644">
            <v>5</v>
          </cell>
          <cell r="D644">
            <v>1923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6">
          <cell r="B646" t="str">
            <v>Economy</v>
          </cell>
          <cell r="C646">
            <v>66</v>
          </cell>
          <cell r="D646">
            <v>7385</v>
          </cell>
        </row>
        <row r="647">
          <cell r="B647" t="str">
            <v>Independent</v>
          </cell>
          <cell r="C647">
            <v>136</v>
          </cell>
          <cell r="D647">
            <v>10495</v>
          </cell>
        </row>
        <row r="648">
          <cell r="B648" t="str">
            <v>Midscale w/ F&amp;B</v>
          </cell>
          <cell r="C648">
            <v>46</v>
          </cell>
          <cell r="D648">
            <v>6553</v>
          </cell>
        </row>
        <row r="649">
          <cell r="B649" t="str">
            <v>Midscale w/o F&amp;B</v>
          </cell>
          <cell r="C649">
            <v>53</v>
          </cell>
          <cell r="D649">
            <v>5149</v>
          </cell>
        </row>
        <row r="650">
          <cell r="B650" t="str">
            <v>Upper Upscale</v>
          </cell>
          <cell r="C650">
            <v>20</v>
          </cell>
          <cell r="D650">
            <v>7013</v>
          </cell>
        </row>
        <row r="651">
          <cell r="B651" t="str">
            <v>Upscale</v>
          </cell>
          <cell r="C651">
            <v>27</v>
          </cell>
          <cell r="D651">
            <v>4391</v>
          </cell>
        </row>
        <row r="654">
          <cell r="B654" t="str">
            <v>Best Western</v>
          </cell>
          <cell r="C654">
            <v>24</v>
          </cell>
          <cell r="D654">
            <v>3460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Comfort Inn</v>
          </cell>
          <cell r="C655">
            <v>18</v>
          </cell>
          <cell r="D655">
            <v>2353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Courtyard by Marriott</v>
          </cell>
          <cell r="C656">
            <v>18</v>
          </cell>
          <cell r="D656">
            <v>2973</v>
          </cell>
          <cell r="E656">
            <v>1</v>
          </cell>
          <cell r="F656">
            <v>229</v>
          </cell>
          <cell r="G656">
            <v>1</v>
          </cell>
          <cell r="H656">
            <v>157</v>
          </cell>
        </row>
        <row r="657">
          <cell r="B657" t="str">
            <v>Days Inn</v>
          </cell>
          <cell r="C657">
            <v>19</v>
          </cell>
          <cell r="D657">
            <v>2707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Hilton Hotel</v>
          </cell>
          <cell r="C658">
            <v>10</v>
          </cell>
          <cell r="D658">
            <v>4247</v>
          </cell>
          <cell r="E658">
            <v>1</v>
          </cell>
          <cell r="F658">
            <v>241</v>
          </cell>
          <cell r="G658">
            <v>0</v>
          </cell>
          <cell r="H658">
            <v>0</v>
          </cell>
        </row>
        <row r="659">
          <cell r="B659" t="str">
            <v>Holiday Inn</v>
          </cell>
          <cell r="C659">
            <v>22</v>
          </cell>
          <cell r="D659">
            <v>5347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Hyatt Hotel</v>
          </cell>
          <cell r="C660">
            <v>9</v>
          </cell>
          <cell r="D660">
            <v>4465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Marriott Hotel</v>
          </cell>
          <cell r="C661">
            <v>18</v>
          </cell>
          <cell r="D661">
            <v>8007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3">
          <cell r="B663" t="str">
            <v>Best Western Int'l</v>
          </cell>
          <cell r="C663">
            <v>24</v>
          </cell>
          <cell r="D663">
            <v>3460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Cendant</v>
          </cell>
          <cell r="C664">
            <v>48</v>
          </cell>
          <cell r="D664">
            <v>5584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Choice Hotels</v>
          </cell>
          <cell r="C665">
            <v>50</v>
          </cell>
          <cell r="D665">
            <v>5730</v>
          </cell>
          <cell r="E665">
            <v>3</v>
          </cell>
          <cell r="F665">
            <v>225</v>
          </cell>
          <cell r="G665">
            <v>4</v>
          </cell>
          <cell r="H665">
            <v>354</v>
          </cell>
        </row>
        <row r="666">
          <cell r="B666" t="str">
            <v>Hilton Hotel Corp.</v>
          </cell>
          <cell r="C666">
            <v>45</v>
          </cell>
          <cell r="D666">
            <v>10478</v>
          </cell>
          <cell r="E666">
            <v>7</v>
          </cell>
          <cell r="F666">
            <v>1036</v>
          </cell>
          <cell r="G666">
            <v>2</v>
          </cell>
          <cell r="H666">
            <v>255</v>
          </cell>
        </row>
        <row r="667">
          <cell r="B667" t="str">
            <v>Hyatt Hotel Corp.</v>
          </cell>
          <cell r="C667">
            <v>9</v>
          </cell>
          <cell r="D667">
            <v>4465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Marriott Int'l</v>
          </cell>
          <cell r="C668">
            <v>67</v>
          </cell>
          <cell r="D668">
            <v>16919</v>
          </cell>
          <cell r="E668">
            <v>6</v>
          </cell>
          <cell r="F668">
            <v>1093</v>
          </cell>
          <cell r="G668">
            <v>3</v>
          </cell>
          <cell r="H668">
            <v>364</v>
          </cell>
        </row>
        <row r="669">
          <cell r="B669" t="str">
            <v>Six Continents Hotels</v>
          </cell>
          <cell r="C669">
            <v>34</v>
          </cell>
          <cell r="D669">
            <v>7746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</row>
        <row r="670">
          <cell r="B670" t="str">
            <v>Starwood Hotels</v>
          </cell>
          <cell r="C670">
            <v>12</v>
          </cell>
          <cell r="D670">
            <v>3164</v>
          </cell>
          <cell r="E670">
            <v>1</v>
          </cell>
          <cell r="F670">
            <v>265</v>
          </cell>
          <cell r="G670">
            <v>0</v>
          </cell>
          <cell r="H670">
            <v>0</v>
          </cell>
        </row>
        <row r="672">
          <cell r="B672" t="str">
            <v>Economy</v>
          </cell>
          <cell r="C672">
            <v>85</v>
          </cell>
          <cell r="D672">
            <v>9299</v>
          </cell>
        </row>
        <row r="673">
          <cell r="B673" t="str">
            <v>Independent</v>
          </cell>
          <cell r="C673">
            <v>102</v>
          </cell>
          <cell r="D673">
            <v>12718</v>
          </cell>
        </row>
        <row r="674">
          <cell r="B674" t="str">
            <v>Midscale w/ F&amp;B</v>
          </cell>
          <cell r="C674">
            <v>71</v>
          </cell>
          <cell r="D674">
            <v>13073</v>
          </cell>
        </row>
        <row r="675">
          <cell r="B675" t="str">
            <v>Midscale w/o F&amp;B</v>
          </cell>
          <cell r="C675">
            <v>75</v>
          </cell>
          <cell r="D675">
            <v>8568</v>
          </cell>
        </row>
        <row r="676">
          <cell r="B676" t="str">
            <v>Upper Upscale</v>
          </cell>
          <cell r="C676">
            <v>68</v>
          </cell>
          <cell r="D676">
            <v>26123</v>
          </cell>
        </row>
        <row r="677">
          <cell r="B677" t="str">
            <v>Upscale</v>
          </cell>
          <cell r="C677">
            <v>49</v>
          </cell>
          <cell r="D677">
            <v>9357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 qtr pivots"/>
      <sheetName val="pivots"/>
      <sheetName val="brand lookup"/>
      <sheetName val="Chain Summ"/>
      <sheetName val="bar charts"/>
      <sheetName val="top company summary"/>
      <sheetName val="By Brand pt chg"/>
      <sheetName val="By Brand"/>
      <sheetName val="By Company pt chg"/>
      <sheetName val="By Company"/>
      <sheetName val="By Company-year"/>
      <sheetName val="monthly opens"/>
      <sheetName val="Est Opens 2004+ no"/>
      <sheetName val="Est Opens 2004+ with"/>
      <sheetName val="by market"/>
      <sheetName val="mkt est year"/>
      <sheetName val="export 1q"/>
      <sheetName val="By Brand % chg"/>
      <sheetName val="By Company % chg"/>
      <sheetName val="export 1q 1st pass"/>
      <sheetName val="top 25 chain"/>
      <sheetName val="TOP COMPANIES"/>
    </sheetNames>
    <sheetDataSet>
      <sheetData sheetId="0" refreshError="1"/>
      <sheetData sheetId="1" refreshError="1"/>
      <sheetData sheetId="2" refreshError="1">
        <row r="8">
          <cell r="C8" t="str">
            <v>Adam's Mark</v>
          </cell>
          <cell r="D8">
            <v>1</v>
          </cell>
          <cell r="E8">
            <v>0</v>
          </cell>
          <cell r="F8">
            <v>0</v>
          </cell>
          <cell r="G8">
            <v>0</v>
          </cell>
          <cell r="H8">
            <v>1</v>
          </cell>
          <cell r="I8">
            <v>306</v>
          </cell>
          <cell r="J8">
            <v>0</v>
          </cell>
          <cell r="K8">
            <v>0</v>
          </cell>
          <cell r="L8">
            <v>0</v>
          </cell>
          <cell r="M8">
            <v>539</v>
          </cell>
          <cell r="N8" t="str">
            <v>Adam's Mark</v>
          </cell>
          <cell r="O8">
            <v>1</v>
          </cell>
          <cell r="P8">
            <v>1</v>
          </cell>
          <cell r="Q8">
            <v>0</v>
          </cell>
          <cell r="R8">
            <v>1</v>
          </cell>
          <cell r="S8">
            <v>1</v>
          </cell>
          <cell r="T8">
            <v>966</v>
          </cell>
          <cell r="U8">
            <v>306</v>
          </cell>
          <cell r="V8">
            <v>0</v>
          </cell>
          <cell r="W8">
            <v>306</v>
          </cell>
          <cell r="X8">
            <v>539</v>
          </cell>
          <cell r="Y8">
            <v>0</v>
          </cell>
          <cell r="Z8">
            <v>-1</v>
          </cell>
          <cell r="AA8">
            <v>0</v>
          </cell>
          <cell r="AB8">
            <v>-1</v>
          </cell>
          <cell r="AC8">
            <v>0</v>
          </cell>
          <cell r="AD8">
            <v>-660</v>
          </cell>
          <cell r="AE8">
            <v>-306</v>
          </cell>
          <cell r="AF8">
            <v>0</v>
          </cell>
          <cell r="AG8">
            <v>-306</v>
          </cell>
          <cell r="AH8">
            <v>0</v>
          </cell>
          <cell r="AI8">
            <v>0</v>
          </cell>
          <cell r="AJ8" t="str">
            <v>-na-</v>
          </cell>
          <cell r="AK8">
            <v>0</v>
          </cell>
          <cell r="AL8" t="str">
            <v>-na-</v>
          </cell>
          <cell r="AM8">
            <v>0</v>
          </cell>
          <cell r="AN8">
            <v>-0.68322981366459623</v>
          </cell>
          <cell r="AO8" t="str">
            <v>-na-</v>
          </cell>
          <cell r="AP8">
            <v>0</v>
          </cell>
          <cell r="AQ8" t="str">
            <v>-na-</v>
          </cell>
          <cell r="AR8">
            <v>0</v>
          </cell>
          <cell r="AS8">
            <v>1</v>
          </cell>
          <cell r="AT8">
            <v>966</v>
          </cell>
          <cell r="AU8">
            <v>1</v>
          </cell>
          <cell r="AV8">
            <v>306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1</v>
          </cell>
          <cell r="BB8">
            <v>539</v>
          </cell>
        </row>
        <row r="9">
          <cell r="C9" t="str">
            <v>Americinn</v>
          </cell>
          <cell r="D9">
            <v>7</v>
          </cell>
          <cell r="E9">
            <v>9</v>
          </cell>
          <cell r="F9">
            <v>4</v>
          </cell>
          <cell r="G9">
            <v>13</v>
          </cell>
          <cell r="H9">
            <v>3</v>
          </cell>
          <cell r="I9">
            <v>442</v>
          </cell>
          <cell r="J9">
            <v>568</v>
          </cell>
          <cell r="K9">
            <v>176</v>
          </cell>
          <cell r="L9">
            <v>744</v>
          </cell>
          <cell r="M9">
            <v>166</v>
          </cell>
          <cell r="N9" t="str">
            <v>Americinn</v>
          </cell>
          <cell r="O9">
            <v>8</v>
          </cell>
          <cell r="P9">
            <v>6</v>
          </cell>
          <cell r="Q9">
            <v>5</v>
          </cell>
          <cell r="R9">
            <v>11</v>
          </cell>
          <cell r="S9">
            <v>3</v>
          </cell>
          <cell r="T9">
            <v>447</v>
          </cell>
          <cell r="U9">
            <v>390</v>
          </cell>
          <cell r="V9">
            <v>334</v>
          </cell>
          <cell r="W9">
            <v>724</v>
          </cell>
          <cell r="X9">
            <v>166</v>
          </cell>
          <cell r="Y9">
            <v>-1</v>
          </cell>
          <cell r="Z9">
            <v>3</v>
          </cell>
          <cell r="AA9">
            <v>-1</v>
          </cell>
          <cell r="AB9">
            <v>2</v>
          </cell>
          <cell r="AC9">
            <v>0</v>
          </cell>
          <cell r="AD9">
            <v>-5</v>
          </cell>
          <cell r="AE9">
            <v>178</v>
          </cell>
          <cell r="AF9">
            <v>-158</v>
          </cell>
          <cell r="AG9">
            <v>20</v>
          </cell>
          <cell r="AH9">
            <v>0</v>
          </cell>
          <cell r="AI9">
            <v>-0.125</v>
          </cell>
          <cell r="AJ9">
            <v>0.5</v>
          </cell>
          <cell r="AK9">
            <v>-0.19999999999999996</v>
          </cell>
          <cell r="AL9">
            <v>0.18181818181818188</v>
          </cell>
          <cell r="AM9">
            <v>0</v>
          </cell>
          <cell r="AN9">
            <v>-1.1185682326621871E-2</v>
          </cell>
          <cell r="AO9">
            <v>0.45641025641025634</v>
          </cell>
          <cell r="AP9">
            <v>-0.47305389221556882</v>
          </cell>
          <cell r="AQ9">
            <v>2.7624309392265234E-2</v>
          </cell>
          <cell r="AR9">
            <v>0</v>
          </cell>
          <cell r="AS9">
            <v>8</v>
          </cell>
          <cell r="AT9">
            <v>447</v>
          </cell>
          <cell r="AU9">
            <v>1</v>
          </cell>
          <cell r="AV9">
            <v>103</v>
          </cell>
          <cell r="AW9">
            <v>9</v>
          </cell>
          <cell r="AX9">
            <v>536</v>
          </cell>
          <cell r="AY9">
            <v>4</v>
          </cell>
          <cell r="AZ9">
            <v>208</v>
          </cell>
          <cell r="BA9">
            <v>3</v>
          </cell>
          <cell r="BB9">
            <v>166</v>
          </cell>
        </row>
        <row r="10">
          <cell r="C10" t="str">
            <v>AmeriHost Inn</v>
          </cell>
          <cell r="D10">
            <v>6</v>
          </cell>
          <cell r="E10">
            <v>5</v>
          </cell>
          <cell r="F10">
            <v>11</v>
          </cell>
          <cell r="G10">
            <v>16</v>
          </cell>
          <cell r="H10">
            <v>31</v>
          </cell>
          <cell r="I10">
            <v>405</v>
          </cell>
          <cell r="J10">
            <v>402</v>
          </cell>
          <cell r="K10">
            <v>980</v>
          </cell>
          <cell r="L10">
            <v>1382</v>
          </cell>
          <cell r="M10">
            <v>3536</v>
          </cell>
          <cell r="N10" t="str">
            <v>AmeriHost Inn</v>
          </cell>
          <cell r="O10">
            <v>3</v>
          </cell>
          <cell r="P10">
            <v>6</v>
          </cell>
          <cell r="Q10">
            <v>9</v>
          </cell>
          <cell r="R10">
            <v>15</v>
          </cell>
          <cell r="S10">
            <v>18</v>
          </cell>
          <cell r="T10">
            <v>188</v>
          </cell>
          <cell r="U10">
            <v>435</v>
          </cell>
          <cell r="V10">
            <v>727</v>
          </cell>
          <cell r="W10">
            <v>1162</v>
          </cell>
          <cell r="X10">
            <v>1739</v>
          </cell>
          <cell r="Y10">
            <v>3</v>
          </cell>
          <cell r="Z10">
            <v>-1</v>
          </cell>
          <cell r="AA10">
            <v>2</v>
          </cell>
          <cell r="AB10">
            <v>1</v>
          </cell>
          <cell r="AC10">
            <v>13</v>
          </cell>
          <cell r="AD10">
            <v>217</v>
          </cell>
          <cell r="AE10">
            <v>-33</v>
          </cell>
          <cell r="AF10">
            <v>253</v>
          </cell>
          <cell r="AG10">
            <v>220</v>
          </cell>
          <cell r="AH10">
            <v>1797</v>
          </cell>
          <cell r="AI10">
            <v>1</v>
          </cell>
          <cell r="AJ10">
            <v>-0.16666666666666663</v>
          </cell>
          <cell r="AK10">
            <v>0.22222222222222232</v>
          </cell>
          <cell r="AL10">
            <v>6.6666666666666652E-2</v>
          </cell>
          <cell r="AM10">
            <v>0.72222222222222232</v>
          </cell>
          <cell r="AN10">
            <v>1.1542553191489362</v>
          </cell>
          <cell r="AO10">
            <v>-7.5862068965517282E-2</v>
          </cell>
          <cell r="AP10">
            <v>0.34800550206327374</v>
          </cell>
          <cell r="AQ10">
            <v>0.18932874354561102</v>
          </cell>
          <cell r="AR10">
            <v>1.0333525014376077</v>
          </cell>
          <cell r="AS10">
            <v>3</v>
          </cell>
          <cell r="AT10">
            <v>188</v>
          </cell>
          <cell r="AU10">
            <v>3</v>
          </cell>
          <cell r="AV10">
            <v>217</v>
          </cell>
          <cell r="AW10">
            <v>6</v>
          </cell>
          <cell r="AX10">
            <v>474</v>
          </cell>
          <cell r="AY10">
            <v>8</v>
          </cell>
          <cell r="AZ10">
            <v>668</v>
          </cell>
          <cell r="BA10">
            <v>33</v>
          </cell>
          <cell r="BB10">
            <v>3776</v>
          </cell>
        </row>
        <row r="11">
          <cell r="C11" t="str">
            <v>AmeriSuites</v>
          </cell>
          <cell r="D11">
            <v>8</v>
          </cell>
          <cell r="E11">
            <v>6</v>
          </cell>
          <cell r="F11">
            <v>4</v>
          </cell>
          <cell r="G11">
            <v>10</v>
          </cell>
          <cell r="H11">
            <v>7</v>
          </cell>
          <cell r="I11">
            <v>1010</v>
          </cell>
          <cell r="J11">
            <v>720</v>
          </cell>
          <cell r="K11">
            <v>544</v>
          </cell>
          <cell r="L11">
            <v>1264</v>
          </cell>
          <cell r="M11">
            <v>897</v>
          </cell>
          <cell r="N11" t="str">
            <v>AmeriSuites</v>
          </cell>
          <cell r="O11">
            <v>6</v>
          </cell>
          <cell r="P11">
            <v>8</v>
          </cell>
          <cell r="Q11">
            <v>4</v>
          </cell>
          <cell r="R11">
            <v>12</v>
          </cell>
          <cell r="S11">
            <v>8</v>
          </cell>
          <cell r="T11">
            <v>782</v>
          </cell>
          <cell r="U11">
            <v>949</v>
          </cell>
          <cell r="V11">
            <v>416</v>
          </cell>
          <cell r="W11">
            <v>1365</v>
          </cell>
          <cell r="X11">
            <v>1145</v>
          </cell>
          <cell r="Y11">
            <v>2</v>
          </cell>
          <cell r="Z11">
            <v>-2</v>
          </cell>
          <cell r="AA11">
            <v>0</v>
          </cell>
          <cell r="AB11">
            <v>-2</v>
          </cell>
          <cell r="AC11">
            <v>-1</v>
          </cell>
          <cell r="AD11">
            <v>228</v>
          </cell>
          <cell r="AE11">
            <v>-229</v>
          </cell>
          <cell r="AF11">
            <v>128</v>
          </cell>
          <cell r="AG11">
            <v>-101</v>
          </cell>
          <cell r="AH11">
            <v>-248</v>
          </cell>
          <cell r="AI11">
            <v>0.33333333333333326</v>
          </cell>
          <cell r="AJ11">
            <v>-0.25</v>
          </cell>
          <cell r="AK11">
            <v>0</v>
          </cell>
          <cell r="AL11">
            <v>-0.16666666666666663</v>
          </cell>
          <cell r="AM11">
            <v>-0.125</v>
          </cell>
          <cell r="AN11">
            <v>0.29156010230179019</v>
          </cell>
          <cell r="AO11">
            <v>-0.24130663856691259</v>
          </cell>
          <cell r="AP11">
            <v>0.30769230769230771</v>
          </cell>
          <cell r="AQ11">
            <v>-7.3992673992673952E-2</v>
          </cell>
          <cell r="AR11">
            <v>-0.21659388646288213</v>
          </cell>
          <cell r="AS11">
            <v>6</v>
          </cell>
          <cell r="AT11">
            <v>782</v>
          </cell>
          <cell r="AU11">
            <v>2</v>
          </cell>
          <cell r="AV11">
            <v>228</v>
          </cell>
          <cell r="AW11">
            <v>6</v>
          </cell>
          <cell r="AX11">
            <v>720</v>
          </cell>
          <cell r="AY11">
            <v>3</v>
          </cell>
          <cell r="AZ11">
            <v>350</v>
          </cell>
          <cell r="BA11">
            <v>8</v>
          </cell>
          <cell r="BB11">
            <v>1091</v>
          </cell>
        </row>
        <row r="12">
          <cell r="C12" t="str">
            <v>Aston</v>
          </cell>
          <cell r="N12" t="str">
            <v>Aston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</row>
        <row r="13">
          <cell r="C13" t="str">
            <v>Baymont Inn</v>
          </cell>
          <cell r="D13">
            <v>8</v>
          </cell>
          <cell r="E13">
            <v>2</v>
          </cell>
          <cell r="F13">
            <v>10</v>
          </cell>
          <cell r="G13">
            <v>12</v>
          </cell>
          <cell r="H13">
            <v>2</v>
          </cell>
          <cell r="I13">
            <v>628</v>
          </cell>
          <cell r="J13">
            <v>155</v>
          </cell>
          <cell r="K13">
            <v>790</v>
          </cell>
          <cell r="L13">
            <v>945</v>
          </cell>
          <cell r="M13">
            <v>353</v>
          </cell>
          <cell r="N13" t="str">
            <v>Baymont Inn</v>
          </cell>
          <cell r="O13">
            <v>13</v>
          </cell>
          <cell r="P13">
            <v>1</v>
          </cell>
          <cell r="Q13">
            <v>13</v>
          </cell>
          <cell r="R13">
            <v>14</v>
          </cell>
          <cell r="S13">
            <v>3</v>
          </cell>
          <cell r="T13">
            <v>1010</v>
          </cell>
          <cell r="U13">
            <v>103</v>
          </cell>
          <cell r="V13">
            <v>962</v>
          </cell>
          <cell r="W13">
            <v>1065</v>
          </cell>
          <cell r="X13">
            <v>473</v>
          </cell>
          <cell r="Y13">
            <v>-5</v>
          </cell>
          <cell r="Z13">
            <v>1</v>
          </cell>
          <cell r="AA13">
            <v>-3</v>
          </cell>
          <cell r="AB13">
            <v>-2</v>
          </cell>
          <cell r="AC13">
            <v>-1</v>
          </cell>
          <cell r="AD13">
            <v>-382</v>
          </cell>
          <cell r="AE13">
            <v>52</v>
          </cell>
          <cell r="AF13">
            <v>-172</v>
          </cell>
          <cell r="AG13">
            <v>-120</v>
          </cell>
          <cell r="AH13">
            <v>-120</v>
          </cell>
          <cell r="AI13">
            <v>-0.38461538461538458</v>
          </cell>
          <cell r="AJ13">
            <v>1</v>
          </cell>
          <cell r="AK13">
            <v>-0.23076923076923073</v>
          </cell>
          <cell r="AL13">
            <v>-0.1428571428571429</v>
          </cell>
          <cell r="AM13">
            <v>-0.33333333333333337</v>
          </cell>
          <cell r="AN13">
            <v>-0.37821782178217822</v>
          </cell>
          <cell r="AO13">
            <v>0.50485436893203883</v>
          </cell>
          <cell r="AP13">
            <v>-0.1787941787941788</v>
          </cell>
          <cell r="AQ13">
            <v>-0.11267605633802813</v>
          </cell>
          <cell r="AR13">
            <v>-0.2536997885835095</v>
          </cell>
          <cell r="AS13">
            <v>13</v>
          </cell>
          <cell r="AT13">
            <v>1010</v>
          </cell>
          <cell r="AU13">
            <v>0</v>
          </cell>
          <cell r="AV13">
            <v>0</v>
          </cell>
          <cell r="AW13">
            <v>2</v>
          </cell>
          <cell r="AX13">
            <v>122</v>
          </cell>
          <cell r="AY13">
            <v>10</v>
          </cell>
          <cell r="AZ13">
            <v>823</v>
          </cell>
          <cell r="BA13">
            <v>2</v>
          </cell>
          <cell r="BB13">
            <v>353</v>
          </cell>
        </row>
        <row r="14">
          <cell r="C14" t="str">
            <v xml:space="preserve">Best Inn </v>
          </cell>
          <cell r="D14">
            <v>2</v>
          </cell>
          <cell r="E14">
            <v>2</v>
          </cell>
          <cell r="F14">
            <v>2</v>
          </cell>
          <cell r="G14">
            <v>4</v>
          </cell>
          <cell r="H14">
            <v>1</v>
          </cell>
          <cell r="I14">
            <v>77</v>
          </cell>
          <cell r="J14">
            <v>135</v>
          </cell>
          <cell r="K14">
            <v>145</v>
          </cell>
          <cell r="L14">
            <v>280</v>
          </cell>
          <cell r="M14">
            <v>40</v>
          </cell>
          <cell r="N14" t="str">
            <v xml:space="preserve">Best Inn </v>
          </cell>
          <cell r="O14">
            <v>4</v>
          </cell>
          <cell r="P14">
            <v>1</v>
          </cell>
          <cell r="Q14">
            <v>3</v>
          </cell>
          <cell r="R14">
            <v>4</v>
          </cell>
          <cell r="S14">
            <v>1</v>
          </cell>
          <cell r="T14">
            <v>230</v>
          </cell>
          <cell r="U14">
            <v>29</v>
          </cell>
          <cell r="V14">
            <v>251</v>
          </cell>
          <cell r="W14">
            <v>280</v>
          </cell>
          <cell r="X14">
            <v>40</v>
          </cell>
          <cell r="Y14">
            <v>-2</v>
          </cell>
          <cell r="Z14">
            <v>1</v>
          </cell>
          <cell r="AA14">
            <v>-1</v>
          </cell>
          <cell r="AB14">
            <v>0</v>
          </cell>
          <cell r="AC14">
            <v>0</v>
          </cell>
          <cell r="AD14">
            <v>-153</v>
          </cell>
          <cell r="AE14">
            <v>106</v>
          </cell>
          <cell r="AF14">
            <v>-106</v>
          </cell>
          <cell r="AG14">
            <v>0</v>
          </cell>
          <cell r="AH14">
            <v>0</v>
          </cell>
          <cell r="AI14">
            <v>-0.5</v>
          </cell>
          <cell r="AJ14">
            <v>1</v>
          </cell>
          <cell r="AK14">
            <v>-0.33333333333333337</v>
          </cell>
          <cell r="AL14">
            <v>0</v>
          </cell>
          <cell r="AM14">
            <v>0</v>
          </cell>
          <cell r="AN14">
            <v>-0.66521739130434776</v>
          </cell>
          <cell r="AO14">
            <v>3.6551724137931032</v>
          </cell>
          <cell r="AP14">
            <v>-0.42231075697211151</v>
          </cell>
          <cell r="AQ14">
            <v>0</v>
          </cell>
          <cell r="AR14">
            <v>0</v>
          </cell>
          <cell r="AS14">
            <v>4</v>
          </cell>
          <cell r="AT14">
            <v>230</v>
          </cell>
          <cell r="AU14">
            <v>0</v>
          </cell>
          <cell r="AV14">
            <v>0</v>
          </cell>
          <cell r="AW14">
            <v>2</v>
          </cell>
          <cell r="AX14">
            <v>135</v>
          </cell>
          <cell r="AY14">
            <v>2</v>
          </cell>
          <cell r="AZ14">
            <v>145</v>
          </cell>
          <cell r="BA14">
            <v>1</v>
          </cell>
          <cell r="BB14">
            <v>40</v>
          </cell>
        </row>
        <row r="15">
          <cell r="C15" t="str">
            <v>Best Western</v>
          </cell>
          <cell r="D15">
            <v>43</v>
          </cell>
          <cell r="E15">
            <v>20</v>
          </cell>
          <cell r="F15">
            <v>13</v>
          </cell>
          <cell r="G15">
            <v>33</v>
          </cell>
          <cell r="H15">
            <v>18</v>
          </cell>
          <cell r="I15">
            <v>2623</v>
          </cell>
          <cell r="J15">
            <v>1228</v>
          </cell>
          <cell r="K15">
            <v>905</v>
          </cell>
          <cell r="L15">
            <v>2133</v>
          </cell>
          <cell r="M15">
            <v>1097</v>
          </cell>
          <cell r="N15" t="str">
            <v>Best Western</v>
          </cell>
          <cell r="O15">
            <v>48</v>
          </cell>
          <cell r="P15">
            <v>27</v>
          </cell>
          <cell r="Q15">
            <v>11</v>
          </cell>
          <cell r="R15">
            <v>38</v>
          </cell>
          <cell r="S15">
            <v>11</v>
          </cell>
          <cell r="T15">
            <v>2833</v>
          </cell>
          <cell r="U15">
            <v>1679</v>
          </cell>
          <cell r="V15">
            <v>779</v>
          </cell>
          <cell r="W15">
            <v>2458</v>
          </cell>
          <cell r="X15">
            <v>708</v>
          </cell>
          <cell r="Y15">
            <v>-5</v>
          </cell>
          <cell r="Z15">
            <v>-7</v>
          </cell>
          <cell r="AA15">
            <v>2</v>
          </cell>
          <cell r="AB15">
            <v>-5</v>
          </cell>
          <cell r="AC15">
            <v>7</v>
          </cell>
          <cell r="AD15">
            <v>-210</v>
          </cell>
          <cell r="AE15">
            <v>-451</v>
          </cell>
          <cell r="AF15">
            <v>126</v>
          </cell>
          <cell r="AG15">
            <v>-325</v>
          </cell>
          <cell r="AH15">
            <v>389</v>
          </cell>
          <cell r="AI15">
            <v>-0.10416666666666663</v>
          </cell>
          <cell r="AJ15">
            <v>-0.2592592592592593</v>
          </cell>
          <cell r="AK15">
            <v>0.18181818181818188</v>
          </cell>
          <cell r="AL15">
            <v>-0.13157894736842102</v>
          </cell>
          <cell r="AM15">
            <v>0.63636363636363646</v>
          </cell>
          <cell r="AN15">
            <v>-7.4126367807977434E-2</v>
          </cell>
          <cell r="AO15">
            <v>-0.26861226920786185</v>
          </cell>
          <cell r="AP15">
            <v>0.16174582798459558</v>
          </cell>
          <cell r="AQ15">
            <v>-0.13222131814483318</v>
          </cell>
          <cell r="AR15">
            <v>0.54943502824858759</v>
          </cell>
          <cell r="AS15">
            <v>49</v>
          </cell>
          <cell r="AT15">
            <v>2923</v>
          </cell>
          <cell r="AU15">
            <v>10</v>
          </cell>
          <cell r="AV15">
            <v>645</v>
          </cell>
          <cell r="AW15">
            <v>21</v>
          </cell>
          <cell r="AX15">
            <v>1256</v>
          </cell>
          <cell r="AY15">
            <v>11</v>
          </cell>
          <cell r="AZ15">
            <v>777</v>
          </cell>
          <cell r="BA15">
            <v>19</v>
          </cell>
          <cell r="BB15">
            <v>1197</v>
          </cell>
        </row>
        <row r="16">
          <cell r="C16" t="str">
            <v>Bradford Homesuites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80</v>
          </cell>
          <cell r="N16" t="str">
            <v>Bradford Homesuites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80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1</v>
          </cell>
          <cell r="BB16">
            <v>80</v>
          </cell>
        </row>
        <row r="17">
          <cell r="C17" t="str">
            <v>Budget Host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51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Budget Host</v>
          </cell>
          <cell r="O17">
            <v>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29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22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0.75862068965517238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  <cell r="AT17">
            <v>51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</row>
        <row r="18">
          <cell r="C18" t="str">
            <v>Budget Suites of America</v>
          </cell>
          <cell r="N18" t="str">
            <v>Budget Suites of America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</row>
        <row r="19">
          <cell r="C19" t="str">
            <v>Cambridge Suites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100</v>
          </cell>
          <cell r="L19">
            <v>100</v>
          </cell>
          <cell r="M19">
            <v>0</v>
          </cell>
          <cell r="N19" t="str">
            <v>Cambridge Suites</v>
          </cell>
          <cell r="O19">
            <v>0</v>
          </cell>
          <cell r="P19">
            <v>0</v>
          </cell>
          <cell r="Q19">
            <v>1</v>
          </cell>
          <cell r="R19">
            <v>1</v>
          </cell>
          <cell r="S19">
            <v>0</v>
          </cell>
          <cell r="T19">
            <v>0</v>
          </cell>
          <cell r="U19">
            <v>0</v>
          </cell>
          <cell r="V19">
            <v>100</v>
          </cell>
          <cell r="W19">
            <v>100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</v>
          </cell>
          <cell r="AZ19">
            <v>100</v>
          </cell>
          <cell r="BA19">
            <v>0</v>
          </cell>
          <cell r="BB19">
            <v>0</v>
          </cell>
        </row>
        <row r="20">
          <cell r="C20" t="str">
            <v>Candlewood Hotel</v>
          </cell>
          <cell r="D20">
            <v>9</v>
          </cell>
          <cell r="E20">
            <v>2</v>
          </cell>
          <cell r="F20">
            <v>20</v>
          </cell>
          <cell r="G20">
            <v>22</v>
          </cell>
          <cell r="H20">
            <v>2</v>
          </cell>
          <cell r="I20">
            <v>958</v>
          </cell>
          <cell r="J20">
            <v>176</v>
          </cell>
          <cell r="K20">
            <v>1928</v>
          </cell>
          <cell r="L20">
            <v>2104</v>
          </cell>
          <cell r="M20">
            <v>180</v>
          </cell>
          <cell r="N20" t="str">
            <v>Candlewood Suites</v>
          </cell>
          <cell r="O20">
            <v>12</v>
          </cell>
          <cell r="P20">
            <v>3</v>
          </cell>
          <cell r="Q20">
            <v>18</v>
          </cell>
          <cell r="R20">
            <v>21</v>
          </cell>
          <cell r="S20">
            <v>5</v>
          </cell>
          <cell r="T20">
            <v>1412</v>
          </cell>
          <cell r="U20">
            <v>276</v>
          </cell>
          <cell r="V20">
            <v>1671</v>
          </cell>
          <cell r="W20">
            <v>1947</v>
          </cell>
          <cell r="X20">
            <v>440</v>
          </cell>
          <cell r="Y20">
            <v>-3</v>
          </cell>
          <cell r="Z20">
            <v>-1</v>
          </cell>
          <cell r="AA20">
            <v>2</v>
          </cell>
          <cell r="AB20">
            <v>1</v>
          </cell>
          <cell r="AC20">
            <v>-3</v>
          </cell>
          <cell r="AD20">
            <v>-454</v>
          </cell>
          <cell r="AE20">
            <v>-100</v>
          </cell>
          <cell r="AF20">
            <v>257</v>
          </cell>
          <cell r="AG20">
            <v>157</v>
          </cell>
          <cell r="AH20">
            <v>-260</v>
          </cell>
          <cell r="AI20">
            <v>-0.25</v>
          </cell>
          <cell r="AJ20">
            <v>-0.33333333333333337</v>
          </cell>
          <cell r="AK20">
            <v>0.11111111111111116</v>
          </cell>
          <cell r="AL20">
            <v>4.7619047619047672E-2</v>
          </cell>
          <cell r="AM20">
            <v>-0.6</v>
          </cell>
          <cell r="AN20">
            <v>-0.32152974504249288</v>
          </cell>
          <cell r="AO20">
            <v>-0.3623188405797102</v>
          </cell>
          <cell r="AP20">
            <v>0.15380011968880902</v>
          </cell>
          <cell r="AQ20">
            <v>8.0636877247046712E-2</v>
          </cell>
          <cell r="AR20">
            <v>-0.59090909090909083</v>
          </cell>
          <cell r="AS20">
            <v>12</v>
          </cell>
          <cell r="AT20">
            <v>1412</v>
          </cell>
          <cell r="AU20">
            <v>1</v>
          </cell>
          <cell r="AV20">
            <v>100</v>
          </cell>
          <cell r="AW20">
            <v>2</v>
          </cell>
          <cell r="AX20">
            <v>176</v>
          </cell>
          <cell r="AY20">
            <v>18</v>
          </cell>
          <cell r="AZ20">
            <v>1728</v>
          </cell>
          <cell r="BA20">
            <v>4</v>
          </cell>
          <cell r="BB20">
            <v>380</v>
          </cell>
        </row>
        <row r="21">
          <cell r="C21" t="str">
            <v>Casino</v>
          </cell>
          <cell r="D21">
            <v>7</v>
          </cell>
          <cell r="E21">
            <v>12</v>
          </cell>
          <cell r="F21">
            <v>6</v>
          </cell>
          <cell r="G21">
            <v>18</v>
          </cell>
          <cell r="H21">
            <v>7</v>
          </cell>
          <cell r="I21">
            <v>3400</v>
          </cell>
          <cell r="J21">
            <v>6589</v>
          </cell>
          <cell r="K21">
            <v>4907</v>
          </cell>
          <cell r="L21">
            <v>11496</v>
          </cell>
          <cell r="M21">
            <v>4804</v>
          </cell>
          <cell r="N21" t="str">
            <v>Casino</v>
          </cell>
          <cell r="O21">
            <v>8</v>
          </cell>
          <cell r="P21">
            <v>12</v>
          </cell>
          <cell r="Q21">
            <v>6</v>
          </cell>
          <cell r="R21">
            <v>18</v>
          </cell>
          <cell r="S21">
            <v>5</v>
          </cell>
          <cell r="T21">
            <v>3154</v>
          </cell>
          <cell r="U21">
            <v>7396</v>
          </cell>
          <cell r="V21">
            <v>4905</v>
          </cell>
          <cell r="W21">
            <v>12301</v>
          </cell>
          <cell r="X21">
            <v>2210</v>
          </cell>
          <cell r="Y21">
            <v>-1</v>
          </cell>
          <cell r="Z21">
            <v>0</v>
          </cell>
          <cell r="AA21">
            <v>0</v>
          </cell>
          <cell r="AB21">
            <v>0</v>
          </cell>
          <cell r="AC21">
            <v>2</v>
          </cell>
          <cell r="AD21">
            <v>246</v>
          </cell>
          <cell r="AE21">
            <v>-807</v>
          </cell>
          <cell r="AF21">
            <v>2</v>
          </cell>
          <cell r="AG21">
            <v>-805</v>
          </cell>
          <cell r="AH21">
            <v>2594</v>
          </cell>
          <cell r="AI21">
            <v>-0.125</v>
          </cell>
          <cell r="AJ21">
            <v>0</v>
          </cell>
          <cell r="AK21">
            <v>0</v>
          </cell>
          <cell r="AL21">
            <v>0</v>
          </cell>
          <cell r="AM21">
            <v>0.39999999999999991</v>
          </cell>
          <cell r="AN21">
            <v>7.7996195307545868E-2</v>
          </cell>
          <cell r="AO21">
            <v>-0.10911303407247164</v>
          </cell>
          <cell r="AP21">
            <v>4.0774719673808413E-4</v>
          </cell>
          <cell r="AQ21">
            <v>-6.5441833997236021E-2</v>
          </cell>
          <cell r="AR21">
            <v>1.1737556561085971</v>
          </cell>
          <cell r="AS21">
            <v>8</v>
          </cell>
          <cell r="AT21">
            <v>3154</v>
          </cell>
          <cell r="AU21">
            <v>2</v>
          </cell>
          <cell r="AV21">
            <v>1009</v>
          </cell>
          <cell r="AW21">
            <v>10</v>
          </cell>
          <cell r="AX21">
            <v>4188</v>
          </cell>
          <cell r="AY21">
            <v>3</v>
          </cell>
          <cell r="AZ21">
            <v>2651</v>
          </cell>
          <cell r="BA21">
            <v>12</v>
          </cell>
          <cell r="BB21">
            <v>9461</v>
          </cell>
        </row>
        <row r="22">
          <cell r="C22" t="str">
            <v>Clarion</v>
          </cell>
          <cell r="D22">
            <v>4</v>
          </cell>
          <cell r="E22">
            <v>1</v>
          </cell>
          <cell r="F22">
            <v>0</v>
          </cell>
          <cell r="G22">
            <v>1</v>
          </cell>
          <cell r="H22">
            <v>0</v>
          </cell>
          <cell r="I22">
            <v>295</v>
          </cell>
          <cell r="J22">
            <v>57</v>
          </cell>
          <cell r="K22">
            <v>0</v>
          </cell>
          <cell r="L22">
            <v>57</v>
          </cell>
          <cell r="M22">
            <v>0</v>
          </cell>
          <cell r="N22" t="str">
            <v>Clarion</v>
          </cell>
          <cell r="O22">
            <v>6</v>
          </cell>
          <cell r="P22">
            <v>1</v>
          </cell>
          <cell r="Q22">
            <v>0</v>
          </cell>
          <cell r="R22">
            <v>1</v>
          </cell>
          <cell r="S22">
            <v>1</v>
          </cell>
          <cell r="T22">
            <v>526</v>
          </cell>
          <cell r="U22">
            <v>57</v>
          </cell>
          <cell r="V22">
            <v>0</v>
          </cell>
          <cell r="W22">
            <v>57</v>
          </cell>
          <cell r="X22">
            <v>60</v>
          </cell>
          <cell r="Y22">
            <v>-2</v>
          </cell>
          <cell r="Z22">
            <v>0</v>
          </cell>
          <cell r="AA22">
            <v>0</v>
          </cell>
          <cell r="AB22">
            <v>0</v>
          </cell>
          <cell r="AC22">
            <v>-1</v>
          </cell>
          <cell r="AD22">
            <v>-231</v>
          </cell>
          <cell r="AE22">
            <v>0</v>
          </cell>
          <cell r="AF22">
            <v>0</v>
          </cell>
          <cell r="AG22">
            <v>0</v>
          </cell>
          <cell r="AH22">
            <v>-60</v>
          </cell>
          <cell r="AI22">
            <v>-0.33333333333333337</v>
          </cell>
          <cell r="AJ22">
            <v>0</v>
          </cell>
          <cell r="AK22">
            <v>0</v>
          </cell>
          <cell r="AL22">
            <v>0</v>
          </cell>
          <cell r="AM22" t="str">
            <v>-na-</v>
          </cell>
          <cell r="AN22">
            <v>-0.43916349809885935</v>
          </cell>
          <cell r="AO22">
            <v>0</v>
          </cell>
          <cell r="AP22">
            <v>0</v>
          </cell>
          <cell r="AQ22">
            <v>0</v>
          </cell>
          <cell r="AR22" t="str">
            <v>-na-</v>
          </cell>
          <cell r="AS22">
            <v>6</v>
          </cell>
          <cell r="AT22">
            <v>526</v>
          </cell>
          <cell r="AU22">
            <v>0</v>
          </cell>
          <cell r="AV22">
            <v>0</v>
          </cell>
          <cell r="AW22">
            <v>1</v>
          </cell>
          <cell r="AX22">
            <v>57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</row>
        <row r="23">
          <cell r="C23" t="str">
            <v>Club Hotel by Doubletree</v>
          </cell>
          <cell r="D23">
            <v>1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110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Club Hotel by Doubletree</v>
          </cell>
          <cell r="O23">
            <v>1</v>
          </cell>
          <cell r="P23">
            <v>0</v>
          </cell>
          <cell r="Q23">
            <v>0</v>
          </cell>
          <cell r="R23">
            <v>0</v>
          </cell>
          <cell r="S23">
            <v>1</v>
          </cell>
          <cell r="T23">
            <v>110</v>
          </cell>
          <cell r="U23">
            <v>0</v>
          </cell>
          <cell r="V23">
            <v>0</v>
          </cell>
          <cell r="W23">
            <v>0</v>
          </cell>
          <cell r="X23">
            <v>106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-1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-106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 t="str">
            <v>-na-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 t="str">
            <v>-na-</v>
          </cell>
          <cell r="AS23">
            <v>1</v>
          </cell>
          <cell r="AT23">
            <v>110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</row>
        <row r="24">
          <cell r="C24" t="str">
            <v>ClubHouse Inn</v>
          </cell>
          <cell r="N24" t="str">
            <v>ClubHouse Inn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</row>
        <row r="25">
          <cell r="C25" t="str">
            <v>Comfort Inn</v>
          </cell>
          <cell r="D25">
            <v>29</v>
          </cell>
          <cell r="E25">
            <v>16</v>
          </cell>
          <cell r="F25">
            <v>8</v>
          </cell>
          <cell r="G25">
            <v>24</v>
          </cell>
          <cell r="H25">
            <v>6</v>
          </cell>
          <cell r="I25">
            <v>1982</v>
          </cell>
          <cell r="J25">
            <v>1118</v>
          </cell>
          <cell r="K25">
            <v>619</v>
          </cell>
          <cell r="L25">
            <v>1737</v>
          </cell>
          <cell r="M25">
            <v>370</v>
          </cell>
          <cell r="N25" t="str">
            <v>Comfort Inn</v>
          </cell>
          <cell r="O25">
            <v>30</v>
          </cell>
          <cell r="P25">
            <v>19</v>
          </cell>
          <cell r="Q25">
            <v>7</v>
          </cell>
          <cell r="R25">
            <v>26</v>
          </cell>
          <cell r="S25">
            <v>8</v>
          </cell>
          <cell r="T25">
            <v>1943</v>
          </cell>
          <cell r="U25">
            <v>1317</v>
          </cell>
          <cell r="V25">
            <v>526</v>
          </cell>
          <cell r="W25">
            <v>1843</v>
          </cell>
          <cell r="X25">
            <v>530</v>
          </cell>
          <cell r="Y25">
            <v>-1</v>
          </cell>
          <cell r="Z25">
            <v>-3</v>
          </cell>
          <cell r="AA25">
            <v>1</v>
          </cell>
          <cell r="AB25">
            <v>-2</v>
          </cell>
          <cell r="AC25">
            <v>-2</v>
          </cell>
          <cell r="AD25">
            <v>39</v>
          </cell>
          <cell r="AE25">
            <v>-199</v>
          </cell>
          <cell r="AF25">
            <v>93</v>
          </cell>
          <cell r="AG25">
            <v>-106</v>
          </cell>
          <cell r="AH25">
            <v>-160</v>
          </cell>
          <cell r="AI25">
            <v>-3.3333333333333326E-2</v>
          </cell>
          <cell r="AJ25">
            <v>-0.15789473684210531</v>
          </cell>
          <cell r="AK25">
            <v>0.14285714285714279</v>
          </cell>
          <cell r="AL25">
            <v>-7.6923076923076872E-2</v>
          </cell>
          <cell r="AM25">
            <v>-0.25</v>
          </cell>
          <cell r="AN25">
            <v>2.0072053525476141E-2</v>
          </cell>
          <cell r="AO25">
            <v>-0.15110098709187547</v>
          </cell>
          <cell r="AP25">
            <v>0.17680608365019013</v>
          </cell>
          <cell r="AQ25">
            <v>-5.7514921323928325E-2</v>
          </cell>
          <cell r="AR25">
            <v>-0.30188679245283023</v>
          </cell>
          <cell r="AS25">
            <v>30</v>
          </cell>
          <cell r="AT25">
            <v>1943</v>
          </cell>
          <cell r="AU25">
            <v>4</v>
          </cell>
          <cell r="AV25">
            <v>348</v>
          </cell>
          <cell r="AW25">
            <v>16</v>
          </cell>
          <cell r="AX25">
            <v>1100</v>
          </cell>
          <cell r="AY25">
            <v>5</v>
          </cell>
          <cell r="AZ25">
            <v>387</v>
          </cell>
          <cell r="BA25">
            <v>9</v>
          </cell>
          <cell r="BB25">
            <v>620</v>
          </cell>
        </row>
        <row r="26">
          <cell r="C26" t="str">
            <v>Comfort Suites</v>
          </cell>
          <cell r="D26">
            <v>35</v>
          </cell>
          <cell r="E26">
            <v>22</v>
          </cell>
          <cell r="F26">
            <v>21</v>
          </cell>
          <cell r="G26">
            <v>43</v>
          </cell>
          <cell r="H26">
            <v>19</v>
          </cell>
          <cell r="I26">
            <v>2805</v>
          </cell>
          <cell r="J26">
            <v>1643</v>
          </cell>
          <cell r="K26">
            <v>1618</v>
          </cell>
          <cell r="L26">
            <v>3261</v>
          </cell>
          <cell r="M26">
            <v>1486</v>
          </cell>
          <cell r="N26" t="str">
            <v>Comfort Suites</v>
          </cell>
          <cell r="O26">
            <v>33</v>
          </cell>
          <cell r="P26">
            <v>23</v>
          </cell>
          <cell r="Q26">
            <v>21</v>
          </cell>
          <cell r="R26">
            <v>44</v>
          </cell>
          <cell r="S26">
            <v>20</v>
          </cell>
          <cell r="T26">
            <v>2659</v>
          </cell>
          <cell r="U26">
            <v>1720</v>
          </cell>
          <cell r="V26">
            <v>1610</v>
          </cell>
          <cell r="W26">
            <v>3330</v>
          </cell>
          <cell r="X26">
            <v>1709</v>
          </cell>
          <cell r="Y26">
            <v>2</v>
          </cell>
          <cell r="Z26">
            <v>-1</v>
          </cell>
          <cell r="AA26">
            <v>0</v>
          </cell>
          <cell r="AB26">
            <v>-1</v>
          </cell>
          <cell r="AC26">
            <v>-1</v>
          </cell>
          <cell r="AD26">
            <v>146</v>
          </cell>
          <cell r="AE26">
            <v>-77</v>
          </cell>
          <cell r="AF26">
            <v>8</v>
          </cell>
          <cell r="AG26">
            <v>-69</v>
          </cell>
          <cell r="AH26">
            <v>-223</v>
          </cell>
          <cell r="AI26">
            <v>6.0606060606060552E-2</v>
          </cell>
          <cell r="AJ26">
            <v>-4.3478260869565188E-2</v>
          </cell>
          <cell r="AK26">
            <v>0</v>
          </cell>
          <cell r="AL26">
            <v>-2.2727272727272707E-2</v>
          </cell>
          <cell r="AM26">
            <v>-5.0000000000000044E-2</v>
          </cell>
          <cell r="AN26">
            <v>5.4907860097781036E-2</v>
          </cell>
          <cell r="AO26">
            <v>-4.4767441860465107E-2</v>
          </cell>
          <cell r="AP26">
            <v>4.9689440993789802E-3</v>
          </cell>
          <cell r="AQ26">
            <v>-2.0720720720720731E-2</v>
          </cell>
          <cell r="AR26">
            <v>-0.13048566413107077</v>
          </cell>
          <cell r="AS26">
            <v>32</v>
          </cell>
          <cell r="AT26">
            <v>2593</v>
          </cell>
          <cell r="AU26">
            <v>9</v>
          </cell>
          <cell r="AV26">
            <v>625</v>
          </cell>
          <cell r="AW26">
            <v>17</v>
          </cell>
          <cell r="AX26">
            <v>1290</v>
          </cell>
          <cell r="AY26">
            <v>25</v>
          </cell>
          <cell r="AZ26">
            <v>1870</v>
          </cell>
          <cell r="BA26">
            <v>20</v>
          </cell>
          <cell r="BB26">
            <v>1587</v>
          </cell>
        </row>
        <row r="27">
          <cell r="C27" t="str">
            <v>Country Hearth Inn</v>
          </cell>
          <cell r="D27">
            <v>3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121</v>
          </cell>
          <cell r="J27">
            <v>100</v>
          </cell>
          <cell r="K27">
            <v>0</v>
          </cell>
          <cell r="L27">
            <v>100</v>
          </cell>
          <cell r="M27">
            <v>0</v>
          </cell>
          <cell r="N27" t="str">
            <v>Country Hearth Inn</v>
          </cell>
          <cell r="O27">
            <v>6</v>
          </cell>
          <cell r="P27">
            <v>1</v>
          </cell>
          <cell r="Q27">
            <v>0</v>
          </cell>
          <cell r="R27">
            <v>1</v>
          </cell>
          <cell r="S27">
            <v>0</v>
          </cell>
          <cell r="T27">
            <v>241</v>
          </cell>
          <cell r="U27">
            <v>100</v>
          </cell>
          <cell r="V27">
            <v>0</v>
          </cell>
          <cell r="W27">
            <v>100</v>
          </cell>
          <cell r="X27">
            <v>0</v>
          </cell>
          <cell r="Y27">
            <v>-3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-120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-0.5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-0.49792531120331951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6</v>
          </cell>
          <cell r="AT27">
            <v>241</v>
          </cell>
          <cell r="AU27">
            <v>0</v>
          </cell>
          <cell r="AV27">
            <v>0</v>
          </cell>
          <cell r="AW27">
            <v>1</v>
          </cell>
          <cell r="AX27">
            <v>100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</row>
        <row r="28">
          <cell r="C28" t="str">
            <v>Country Inn &amp; Suites</v>
          </cell>
          <cell r="D28">
            <v>40</v>
          </cell>
          <cell r="E28">
            <v>18</v>
          </cell>
          <cell r="F28">
            <v>32</v>
          </cell>
          <cell r="G28">
            <v>50</v>
          </cell>
          <cell r="H28">
            <v>2</v>
          </cell>
          <cell r="I28">
            <v>3090</v>
          </cell>
          <cell r="J28">
            <v>1576</v>
          </cell>
          <cell r="K28">
            <v>2560</v>
          </cell>
          <cell r="L28">
            <v>4136</v>
          </cell>
          <cell r="M28">
            <v>200</v>
          </cell>
          <cell r="N28" t="str">
            <v>Country Inn &amp; Suites</v>
          </cell>
          <cell r="O28">
            <v>46</v>
          </cell>
          <cell r="P28">
            <v>20</v>
          </cell>
          <cell r="Q28">
            <v>33</v>
          </cell>
          <cell r="R28">
            <v>53</v>
          </cell>
          <cell r="S28">
            <v>0</v>
          </cell>
          <cell r="T28">
            <v>3529</v>
          </cell>
          <cell r="U28">
            <v>1657</v>
          </cell>
          <cell r="V28">
            <v>2730</v>
          </cell>
          <cell r="W28">
            <v>4387</v>
          </cell>
          <cell r="X28">
            <v>0</v>
          </cell>
          <cell r="Y28">
            <v>-6</v>
          </cell>
          <cell r="Z28">
            <v>-2</v>
          </cell>
          <cell r="AA28">
            <v>-1</v>
          </cell>
          <cell r="AB28">
            <v>-3</v>
          </cell>
          <cell r="AC28">
            <v>2</v>
          </cell>
          <cell r="AD28">
            <v>-439</v>
          </cell>
          <cell r="AE28">
            <v>-81</v>
          </cell>
          <cell r="AF28">
            <v>-170</v>
          </cell>
          <cell r="AG28">
            <v>-251</v>
          </cell>
          <cell r="AH28">
            <v>200</v>
          </cell>
          <cell r="AI28">
            <v>-0.13043478260869568</v>
          </cell>
          <cell r="AJ28">
            <v>-9.9999999999999978E-2</v>
          </cell>
          <cell r="AK28">
            <v>-3.0303030303030276E-2</v>
          </cell>
          <cell r="AL28">
            <v>-5.6603773584905648E-2</v>
          </cell>
          <cell r="AM28" t="str">
            <v>-na-</v>
          </cell>
          <cell r="AN28">
            <v>-0.12439784641541518</v>
          </cell>
          <cell r="AO28">
            <v>-4.8883524441762249E-2</v>
          </cell>
          <cell r="AP28">
            <v>-6.2271062271062272E-2</v>
          </cell>
          <cell r="AQ28">
            <v>-5.7214497378618612E-2</v>
          </cell>
          <cell r="AR28" t="str">
            <v>-na-</v>
          </cell>
          <cell r="AS28">
            <v>46</v>
          </cell>
          <cell r="AT28">
            <v>3529</v>
          </cell>
          <cell r="AU28">
            <v>5</v>
          </cell>
          <cell r="AV28">
            <v>355</v>
          </cell>
          <cell r="AW28">
            <v>17</v>
          </cell>
          <cell r="AX28">
            <v>1366</v>
          </cell>
          <cell r="AY28">
            <v>26</v>
          </cell>
          <cell r="AZ28">
            <v>1988</v>
          </cell>
          <cell r="BA28">
            <v>9</v>
          </cell>
          <cell r="BB28">
            <v>982</v>
          </cell>
        </row>
        <row r="29">
          <cell r="C29" t="str">
            <v>Courtyard by Marriott</v>
          </cell>
          <cell r="D29">
            <v>27</v>
          </cell>
          <cell r="E29">
            <v>29</v>
          </cell>
          <cell r="F29">
            <v>35</v>
          </cell>
          <cell r="G29">
            <v>64</v>
          </cell>
          <cell r="H29">
            <v>22</v>
          </cell>
          <cell r="I29">
            <v>4034</v>
          </cell>
          <cell r="J29">
            <v>4012</v>
          </cell>
          <cell r="K29">
            <v>4723</v>
          </cell>
          <cell r="L29">
            <v>8735</v>
          </cell>
          <cell r="M29">
            <v>3378</v>
          </cell>
          <cell r="N29" t="str">
            <v>Courtyard by Marriott</v>
          </cell>
          <cell r="O29">
            <v>28</v>
          </cell>
          <cell r="P29">
            <v>32</v>
          </cell>
          <cell r="Q29">
            <v>47</v>
          </cell>
          <cell r="R29">
            <v>79</v>
          </cell>
          <cell r="S29">
            <v>23</v>
          </cell>
          <cell r="T29">
            <v>4375</v>
          </cell>
          <cell r="U29">
            <v>4557</v>
          </cell>
          <cell r="V29">
            <v>6050</v>
          </cell>
          <cell r="W29">
            <v>10607</v>
          </cell>
          <cell r="X29">
            <v>4197</v>
          </cell>
          <cell r="Y29">
            <v>-1</v>
          </cell>
          <cell r="Z29">
            <v>-3</v>
          </cell>
          <cell r="AA29">
            <v>-12</v>
          </cell>
          <cell r="AB29">
            <v>-15</v>
          </cell>
          <cell r="AC29">
            <v>-1</v>
          </cell>
          <cell r="AD29">
            <v>-341</v>
          </cell>
          <cell r="AE29">
            <v>-545</v>
          </cell>
          <cell r="AF29">
            <v>-1327</v>
          </cell>
          <cell r="AG29">
            <v>-1872</v>
          </cell>
          <cell r="AH29">
            <v>-819</v>
          </cell>
          <cell r="AI29">
            <v>-3.5714285714285698E-2</v>
          </cell>
          <cell r="AJ29">
            <v>-9.375E-2</v>
          </cell>
          <cell r="AK29">
            <v>-0.25531914893617025</v>
          </cell>
          <cell r="AL29">
            <v>-0.189873417721519</v>
          </cell>
          <cell r="AM29">
            <v>-4.3478260869565188E-2</v>
          </cell>
          <cell r="AN29">
            <v>-7.7942857142857092E-2</v>
          </cell>
          <cell r="AO29">
            <v>-0.119596225587009</v>
          </cell>
          <cell r="AP29">
            <v>-0.21933884297520656</v>
          </cell>
          <cell r="AQ29">
            <v>-0.17648722541717732</v>
          </cell>
          <cell r="AR29">
            <v>-0.19513938527519659</v>
          </cell>
          <cell r="AS29">
            <v>28</v>
          </cell>
          <cell r="AT29">
            <v>4375</v>
          </cell>
          <cell r="AU29">
            <v>7</v>
          </cell>
          <cell r="AV29">
            <v>1015</v>
          </cell>
          <cell r="AW29">
            <v>20</v>
          </cell>
          <cell r="AX29">
            <v>2781</v>
          </cell>
          <cell r="AY29">
            <v>25</v>
          </cell>
          <cell r="AZ29">
            <v>3207</v>
          </cell>
          <cell r="BA29">
            <v>41</v>
          </cell>
          <cell r="BB29">
            <v>6125</v>
          </cell>
        </row>
        <row r="30">
          <cell r="C30" t="str">
            <v>Crossland Economy Studios</v>
          </cell>
          <cell r="N30" t="str">
            <v>Crossland Economy Studios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</row>
        <row r="31">
          <cell r="C31" t="str">
            <v>Crowne Plaza</v>
          </cell>
          <cell r="D31">
            <v>4</v>
          </cell>
          <cell r="E31">
            <v>4</v>
          </cell>
          <cell r="F31">
            <v>2</v>
          </cell>
          <cell r="G31">
            <v>6</v>
          </cell>
          <cell r="H31">
            <v>0</v>
          </cell>
          <cell r="I31">
            <v>840</v>
          </cell>
          <cell r="J31">
            <v>1433</v>
          </cell>
          <cell r="K31">
            <v>325</v>
          </cell>
          <cell r="L31">
            <v>1758</v>
          </cell>
          <cell r="M31">
            <v>0</v>
          </cell>
          <cell r="N31" t="str">
            <v>Crowne Plaza</v>
          </cell>
          <cell r="O31">
            <v>3</v>
          </cell>
          <cell r="P31">
            <v>5</v>
          </cell>
          <cell r="Q31">
            <v>2</v>
          </cell>
          <cell r="R31">
            <v>7</v>
          </cell>
          <cell r="S31">
            <v>0</v>
          </cell>
          <cell r="T31">
            <v>703</v>
          </cell>
          <cell r="U31">
            <v>1570</v>
          </cell>
          <cell r="V31">
            <v>325</v>
          </cell>
          <cell r="W31">
            <v>1895</v>
          </cell>
          <cell r="X31">
            <v>0</v>
          </cell>
          <cell r="Y31">
            <v>1</v>
          </cell>
          <cell r="Z31">
            <v>-1</v>
          </cell>
          <cell r="AA31">
            <v>0</v>
          </cell>
          <cell r="AB31">
            <v>-1</v>
          </cell>
          <cell r="AC31">
            <v>0</v>
          </cell>
          <cell r="AD31">
            <v>137</v>
          </cell>
          <cell r="AE31">
            <v>-137</v>
          </cell>
          <cell r="AF31">
            <v>0</v>
          </cell>
          <cell r="AG31">
            <v>-137</v>
          </cell>
          <cell r="AH31">
            <v>0</v>
          </cell>
          <cell r="AI31">
            <v>0.33333333333333326</v>
          </cell>
          <cell r="AJ31">
            <v>-0.19999999999999996</v>
          </cell>
          <cell r="AK31">
            <v>0</v>
          </cell>
          <cell r="AL31">
            <v>-0.1428571428571429</v>
          </cell>
          <cell r="AM31">
            <v>0</v>
          </cell>
          <cell r="AN31">
            <v>0.19487908961593181</v>
          </cell>
          <cell r="AO31">
            <v>-8.7261146496815267E-2</v>
          </cell>
          <cell r="AP31">
            <v>0</v>
          </cell>
          <cell r="AQ31">
            <v>-7.2295514511873327E-2</v>
          </cell>
          <cell r="AR31">
            <v>0</v>
          </cell>
          <cell r="AS31">
            <v>3</v>
          </cell>
          <cell r="AT31">
            <v>703</v>
          </cell>
          <cell r="AU31">
            <v>1</v>
          </cell>
          <cell r="AV31">
            <v>137</v>
          </cell>
          <cell r="AW31">
            <v>4</v>
          </cell>
          <cell r="AX31">
            <v>1433</v>
          </cell>
          <cell r="AY31">
            <v>1</v>
          </cell>
          <cell r="AZ31">
            <v>125</v>
          </cell>
          <cell r="BA31">
            <v>1</v>
          </cell>
          <cell r="BB31">
            <v>200</v>
          </cell>
        </row>
        <row r="32">
          <cell r="C32" t="str">
            <v>Days Inn</v>
          </cell>
          <cell r="D32">
            <v>11</v>
          </cell>
          <cell r="E32">
            <v>4</v>
          </cell>
          <cell r="F32">
            <v>8</v>
          </cell>
          <cell r="G32">
            <v>12</v>
          </cell>
          <cell r="H32">
            <v>21</v>
          </cell>
          <cell r="I32">
            <v>548</v>
          </cell>
          <cell r="J32">
            <v>296</v>
          </cell>
          <cell r="K32">
            <v>508</v>
          </cell>
          <cell r="L32">
            <v>804</v>
          </cell>
          <cell r="M32">
            <v>2255</v>
          </cell>
          <cell r="N32" t="str">
            <v>Days Inn</v>
          </cell>
          <cell r="O32">
            <v>13</v>
          </cell>
          <cell r="P32">
            <v>4</v>
          </cell>
          <cell r="Q32">
            <v>9</v>
          </cell>
          <cell r="R32">
            <v>13</v>
          </cell>
          <cell r="S32">
            <v>20</v>
          </cell>
          <cell r="T32">
            <v>606</v>
          </cell>
          <cell r="U32">
            <v>267</v>
          </cell>
          <cell r="V32">
            <v>602</v>
          </cell>
          <cell r="W32">
            <v>869</v>
          </cell>
          <cell r="X32">
            <v>2344</v>
          </cell>
          <cell r="Y32">
            <v>-2</v>
          </cell>
          <cell r="Z32">
            <v>0</v>
          </cell>
          <cell r="AA32">
            <v>-1</v>
          </cell>
          <cell r="AB32">
            <v>-1</v>
          </cell>
          <cell r="AC32">
            <v>1</v>
          </cell>
          <cell r="AD32">
            <v>-58</v>
          </cell>
          <cell r="AE32">
            <v>29</v>
          </cell>
          <cell r="AF32">
            <v>-94</v>
          </cell>
          <cell r="AG32">
            <v>-65</v>
          </cell>
          <cell r="AH32">
            <v>-89</v>
          </cell>
          <cell r="AI32">
            <v>-0.15384615384615385</v>
          </cell>
          <cell r="AJ32">
            <v>0</v>
          </cell>
          <cell r="AK32">
            <v>-0.11111111111111116</v>
          </cell>
          <cell r="AL32">
            <v>-7.6923076923076872E-2</v>
          </cell>
          <cell r="AM32">
            <v>5.0000000000000044E-2</v>
          </cell>
          <cell r="AN32">
            <v>-9.5709570957095758E-2</v>
          </cell>
          <cell r="AO32">
            <v>0.10861423220973787</v>
          </cell>
          <cell r="AP32">
            <v>-0.15614617940199338</v>
          </cell>
          <cell r="AQ32">
            <v>-7.4798619102416586E-2</v>
          </cell>
          <cell r="AR32">
            <v>-3.7969283276450549E-2</v>
          </cell>
          <cell r="AS32">
            <v>13</v>
          </cell>
          <cell r="AT32">
            <v>606</v>
          </cell>
          <cell r="AU32">
            <v>1</v>
          </cell>
          <cell r="AV32">
            <v>62</v>
          </cell>
          <cell r="AW32">
            <v>3</v>
          </cell>
          <cell r="AX32">
            <v>194</v>
          </cell>
          <cell r="AY32">
            <v>5</v>
          </cell>
          <cell r="AZ32">
            <v>400</v>
          </cell>
          <cell r="BA32">
            <v>25</v>
          </cell>
          <cell r="BB32">
            <v>2465</v>
          </cell>
        </row>
        <row r="33">
          <cell r="C33" t="str">
            <v>Doubletree Hotel</v>
          </cell>
          <cell r="D33">
            <v>2</v>
          </cell>
          <cell r="E33">
            <v>0</v>
          </cell>
          <cell r="F33">
            <v>3</v>
          </cell>
          <cell r="G33">
            <v>3</v>
          </cell>
          <cell r="H33">
            <v>0</v>
          </cell>
          <cell r="I33">
            <v>401</v>
          </cell>
          <cell r="J33">
            <v>0</v>
          </cell>
          <cell r="K33">
            <v>1754</v>
          </cell>
          <cell r="L33">
            <v>1754</v>
          </cell>
          <cell r="M33">
            <v>0</v>
          </cell>
          <cell r="N33" t="str">
            <v>Doubletree Hotel</v>
          </cell>
          <cell r="O33">
            <v>2</v>
          </cell>
          <cell r="P33">
            <v>2</v>
          </cell>
          <cell r="Q33">
            <v>4</v>
          </cell>
          <cell r="R33">
            <v>6</v>
          </cell>
          <cell r="S33">
            <v>0</v>
          </cell>
          <cell r="T33">
            <v>549</v>
          </cell>
          <cell r="U33">
            <v>501</v>
          </cell>
          <cell r="V33">
            <v>1973</v>
          </cell>
          <cell r="W33">
            <v>2474</v>
          </cell>
          <cell r="X33">
            <v>0</v>
          </cell>
          <cell r="Y33">
            <v>0</v>
          </cell>
          <cell r="Z33">
            <v>-2</v>
          </cell>
          <cell r="AA33">
            <v>-1</v>
          </cell>
          <cell r="AB33">
            <v>-3</v>
          </cell>
          <cell r="AC33">
            <v>0</v>
          </cell>
          <cell r="AD33">
            <v>-148</v>
          </cell>
          <cell r="AE33">
            <v>-501</v>
          </cell>
          <cell r="AF33">
            <v>-219</v>
          </cell>
          <cell r="AG33">
            <v>-720</v>
          </cell>
          <cell r="AH33">
            <v>0</v>
          </cell>
          <cell r="AI33">
            <v>0</v>
          </cell>
          <cell r="AJ33" t="str">
            <v>-na-</v>
          </cell>
          <cell r="AK33">
            <v>-0.25</v>
          </cell>
          <cell r="AL33">
            <v>-0.5</v>
          </cell>
          <cell r="AM33">
            <v>0</v>
          </cell>
          <cell r="AN33">
            <v>-0.26958105646630237</v>
          </cell>
          <cell r="AO33" t="str">
            <v>-na-</v>
          </cell>
          <cell r="AP33">
            <v>-0.11099847947288388</v>
          </cell>
          <cell r="AQ33">
            <v>-0.29102667744543254</v>
          </cell>
          <cell r="AR33">
            <v>0</v>
          </cell>
          <cell r="AS33">
            <v>2</v>
          </cell>
          <cell r="AT33">
            <v>549</v>
          </cell>
          <cell r="AU33">
            <v>1</v>
          </cell>
          <cell r="AV33">
            <v>256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3</v>
          </cell>
          <cell r="BB33">
            <v>1754</v>
          </cell>
        </row>
        <row r="34">
          <cell r="C34" t="str">
            <v>Drury Inn</v>
          </cell>
          <cell r="D34">
            <v>3</v>
          </cell>
          <cell r="E34">
            <v>5</v>
          </cell>
          <cell r="F34">
            <v>4</v>
          </cell>
          <cell r="G34">
            <v>9</v>
          </cell>
          <cell r="H34">
            <v>2</v>
          </cell>
          <cell r="I34">
            <v>384</v>
          </cell>
          <cell r="J34">
            <v>887</v>
          </cell>
          <cell r="K34">
            <v>512</v>
          </cell>
          <cell r="L34">
            <v>1399</v>
          </cell>
          <cell r="M34">
            <v>283</v>
          </cell>
          <cell r="N34" t="str">
            <v>Drury Inn</v>
          </cell>
          <cell r="O34">
            <v>4</v>
          </cell>
          <cell r="P34">
            <v>4</v>
          </cell>
          <cell r="Q34">
            <v>5</v>
          </cell>
          <cell r="R34">
            <v>9</v>
          </cell>
          <cell r="S34">
            <v>1</v>
          </cell>
          <cell r="T34">
            <v>544</v>
          </cell>
          <cell r="U34">
            <v>720</v>
          </cell>
          <cell r="V34">
            <v>750</v>
          </cell>
          <cell r="W34">
            <v>1470</v>
          </cell>
          <cell r="X34">
            <v>149</v>
          </cell>
          <cell r="Y34">
            <v>-1</v>
          </cell>
          <cell r="Z34">
            <v>1</v>
          </cell>
          <cell r="AA34">
            <v>-1</v>
          </cell>
          <cell r="AB34">
            <v>0</v>
          </cell>
          <cell r="AC34">
            <v>1</v>
          </cell>
          <cell r="AD34">
            <v>-160</v>
          </cell>
          <cell r="AE34">
            <v>167</v>
          </cell>
          <cell r="AF34">
            <v>-238</v>
          </cell>
          <cell r="AG34">
            <v>-71</v>
          </cell>
          <cell r="AH34">
            <v>134</v>
          </cell>
          <cell r="AI34">
            <v>-0.25</v>
          </cell>
          <cell r="AJ34">
            <v>0.25</v>
          </cell>
          <cell r="AK34">
            <v>-0.19999999999999996</v>
          </cell>
          <cell r="AL34">
            <v>0</v>
          </cell>
          <cell r="AM34">
            <v>1</v>
          </cell>
          <cell r="AN34">
            <v>-0.29411764705882348</v>
          </cell>
          <cell r="AO34">
            <v>0.23194444444444451</v>
          </cell>
          <cell r="AP34">
            <v>-0.31733333333333336</v>
          </cell>
          <cell r="AQ34">
            <v>-4.8299319727891143E-2</v>
          </cell>
          <cell r="AR34">
            <v>0.89932885906040272</v>
          </cell>
          <cell r="AS34">
            <v>4</v>
          </cell>
          <cell r="AT34">
            <v>544</v>
          </cell>
          <cell r="AU34">
            <v>0</v>
          </cell>
          <cell r="AV34">
            <v>0</v>
          </cell>
          <cell r="AW34">
            <v>3</v>
          </cell>
          <cell r="AX34">
            <v>534</v>
          </cell>
          <cell r="AY34">
            <v>3</v>
          </cell>
          <cell r="AZ34">
            <v>416</v>
          </cell>
          <cell r="BA34">
            <v>5</v>
          </cell>
          <cell r="BB34">
            <v>732</v>
          </cell>
        </row>
        <row r="35">
          <cell r="C35" t="str">
            <v>Econo Lodge</v>
          </cell>
          <cell r="D35">
            <v>4</v>
          </cell>
          <cell r="E35">
            <v>1</v>
          </cell>
          <cell r="F35">
            <v>1</v>
          </cell>
          <cell r="G35">
            <v>2</v>
          </cell>
          <cell r="H35">
            <v>4</v>
          </cell>
          <cell r="I35">
            <v>201</v>
          </cell>
          <cell r="J35">
            <v>35</v>
          </cell>
          <cell r="K35">
            <v>42</v>
          </cell>
          <cell r="L35">
            <v>77</v>
          </cell>
          <cell r="M35">
            <v>180</v>
          </cell>
          <cell r="N35" t="str">
            <v>Econo Lodge</v>
          </cell>
          <cell r="O35">
            <v>3</v>
          </cell>
          <cell r="P35">
            <v>2</v>
          </cell>
          <cell r="Q35">
            <v>1</v>
          </cell>
          <cell r="R35">
            <v>3</v>
          </cell>
          <cell r="S35">
            <v>4</v>
          </cell>
          <cell r="T35">
            <v>155</v>
          </cell>
          <cell r="U35">
            <v>85</v>
          </cell>
          <cell r="V35">
            <v>42</v>
          </cell>
          <cell r="W35">
            <v>127</v>
          </cell>
          <cell r="X35">
            <v>180</v>
          </cell>
          <cell r="Y35">
            <v>1</v>
          </cell>
          <cell r="Z35">
            <v>-1</v>
          </cell>
          <cell r="AA35">
            <v>0</v>
          </cell>
          <cell r="AB35">
            <v>-1</v>
          </cell>
          <cell r="AC35">
            <v>0</v>
          </cell>
          <cell r="AD35">
            <v>46</v>
          </cell>
          <cell r="AE35">
            <v>-50</v>
          </cell>
          <cell r="AF35">
            <v>0</v>
          </cell>
          <cell r="AG35">
            <v>-50</v>
          </cell>
          <cell r="AH35">
            <v>0</v>
          </cell>
          <cell r="AI35">
            <v>0.33333333333333326</v>
          </cell>
          <cell r="AJ35">
            <v>-0.5</v>
          </cell>
          <cell r="AK35">
            <v>0</v>
          </cell>
          <cell r="AL35">
            <v>-0.33333333333333337</v>
          </cell>
          <cell r="AM35">
            <v>0</v>
          </cell>
          <cell r="AN35">
            <v>0.29677419354838719</v>
          </cell>
          <cell r="AO35">
            <v>-0.58823529411764708</v>
          </cell>
          <cell r="AP35">
            <v>0</v>
          </cell>
          <cell r="AQ35">
            <v>-0.39370078740157477</v>
          </cell>
          <cell r="AR35">
            <v>0</v>
          </cell>
          <cell r="AS35">
            <v>3</v>
          </cell>
          <cell r="AT35">
            <v>155</v>
          </cell>
          <cell r="AU35">
            <v>2</v>
          </cell>
          <cell r="AV35">
            <v>82</v>
          </cell>
          <cell r="AW35">
            <v>1</v>
          </cell>
          <cell r="AX35">
            <v>35</v>
          </cell>
          <cell r="AY35">
            <v>1</v>
          </cell>
          <cell r="AZ35">
            <v>42</v>
          </cell>
          <cell r="BA35">
            <v>4</v>
          </cell>
          <cell r="BB35">
            <v>180</v>
          </cell>
        </row>
        <row r="36">
          <cell r="C36" t="str">
            <v>Embassy Suites</v>
          </cell>
          <cell r="D36">
            <v>6</v>
          </cell>
          <cell r="E36">
            <v>5</v>
          </cell>
          <cell r="F36">
            <v>14</v>
          </cell>
          <cell r="G36">
            <v>19</v>
          </cell>
          <cell r="H36">
            <v>2</v>
          </cell>
          <cell r="I36">
            <v>1707</v>
          </cell>
          <cell r="J36">
            <v>1093</v>
          </cell>
          <cell r="K36">
            <v>3088</v>
          </cell>
          <cell r="L36">
            <v>4181</v>
          </cell>
          <cell r="M36">
            <v>449</v>
          </cell>
          <cell r="N36" t="str">
            <v>Embassy Suites</v>
          </cell>
          <cell r="O36">
            <v>7</v>
          </cell>
          <cell r="P36">
            <v>5</v>
          </cell>
          <cell r="Q36">
            <v>12</v>
          </cell>
          <cell r="R36">
            <v>17</v>
          </cell>
          <cell r="S36">
            <v>8</v>
          </cell>
          <cell r="T36">
            <v>1862</v>
          </cell>
          <cell r="U36">
            <v>1093</v>
          </cell>
          <cell r="V36">
            <v>2705</v>
          </cell>
          <cell r="W36">
            <v>3798</v>
          </cell>
          <cell r="X36">
            <v>1699</v>
          </cell>
          <cell r="Y36">
            <v>-1</v>
          </cell>
          <cell r="Z36">
            <v>0</v>
          </cell>
          <cell r="AA36">
            <v>2</v>
          </cell>
          <cell r="AB36">
            <v>2</v>
          </cell>
          <cell r="AC36">
            <v>-6</v>
          </cell>
          <cell r="AD36">
            <v>-155</v>
          </cell>
          <cell r="AE36">
            <v>0</v>
          </cell>
          <cell r="AF36">
            <v>383</v>
          </cell>
          <cell r="AG36">
            <v>383</v>
          </cell>
          <cell r="AH36">
            <v>-1250</v>
          </cell>
          <cell r="AI36">
            <v>-0.1428571428571429</v>
          </cell>
          <cell r="AJ36">
            <v>0</v>
          </cell>
          <cell r="AK36">
            <v>0.16666666666666674</v>
          </cell>
          <cell r="AL36">
            <v>0.11764705882352944</v>
          </cell>
          <cell r="AM36">
            <v>-0.75</v>
          </cell>
          <cell r="AN36">
            <v>-8.324382384532758E-2</v>
          </cell>
          <cell r="AO36">
            <v>0</v>
          </cell>
          <cell r="AP36">
            <v>0.14158964879852132</v>
          </cell>
          <cell r="AQ36">
            <v>0.10084254870984721</v>
          </cell>
          <cell r="AR36">
            <v>-0.73572689817539727</v>
          </cell>
          <cell r="AS36">
            <v>7</v>
          </cell>
          <cell r="AT36">
            <v>1862</v>
          </cell>
          <cell r="AU36">
            <v>0</v>
          </cell>
          <cell r="AV36">
            <v>0</v>
          </cell>
          <cell r="AW36">
            <v>2</v>
          </cell>
          <cell r="AX36">
            <v>398</v>
          </cell>
          <cell r="AY36">
            <v>4</v>
          </cell>
          <cell r="AZ36">
            <v>845</v>
          </cell>
          <cell r="BA36">
            <v>15</v>
          </cell>
          <cell r="BB36">
            <v>3387</v>
          </cell>
        </row>
        <row r="37">
          <cell r="C37" t="str">
            <v>Extended Stay America</v>
          </cell>
          <cell r="D37">
            <v>41</v>
          </cell>
          <cell r="E37">
            <v>8</v>
          </cell>
          <cell r="F37">
            <v>12</v>
          </cell>
          <cell r="G37">
            <v>20</v>
          </cell>
          <cell r="H37">
            <v>0</v>
          </cell>
          <cell r="I37">
            <v>4367</v>
          </cell>
          <cell r="J37">
            <v>912</v>
          </cell>
          <cell r="K37">
            <v>1332</v>
          </cell>
          <cell r="L37">
            <v>2244</v>
          </cell>
          <cell r="M37">
            <v>0</v>
          </cell>
          <cell r="N37" t="str">
            <v>Extended Stay America</v>
          </cell>
          <cell r="O37">
            <v>34</v>
          </cell>
          <cell r="P37">
            <v>22</v>
          </cell>
          <cell r="Q37">
            <v>11</v>
          </cell>
          <cell r="R37">
            <v>33</v>
          </cell>
          <cell r="S37">
            <v>0</v>
          </cell>
          <cell r="T37">
            <v>3639</v>
          </cell>
          <cell r="U37">
            <v>2431</v>
          </cell>
          <cell r="V37">
            <v>1220</v>
          </cell>
          <cell r="W37">
            <v>3651</v>
          </cell>
          <cell r="X37">
            <v>0</v>
          </cell>
          <cell r="Y37">
            <v>7</v>
          </cell>
          <cell r="Z37">
            <v>-14</v>
          </cell>
          <cell r="AA37">
            <v>1</v>
          </cell>
          <cell r="AB37">
            <v>-13</v>
          </cell>
          <cell r="AC37">
            <v>0</v>
          </cell>
          <cell r="AD37">
            <v>728</v>
          </cell>
          <cell r="AE37">
            <v>-1519</v>
          </cell>
          <cell r="AF37">
            <v>112</v>
          </cell>
          <cell r="AG37">
            <v>-1407</v>
          </cell>
          <cell r="AH37">
            <v>0</v>
          </cell>
          <cell r="AI37">
            <v>0.20588235294117641</v>
          </cell>
          <cell r="AJ37">
            <v>-0.63636363636363635</v>
          </cell>
          <cell r="AK37">
            <v>9.0909090909090828E-2</v>
          </cell>
          <cell r="AL37">
            <v>-0.39393939393939392</v>
          </cell>
          <cell r="AM37">
            <v>0</v>
          </cell>
          <cell r="AN37">
            <v>0.20005496015388835</v>
          </cell>
          <cell r="AO37">
            <v>-0.62484574249280134</v>
          </cell>
          <cell r="AP37">
            <v>9.1803278688524559E-2</v>
          </cell>
          <cell r="AQ37">
            <v>-0.38537387017255542</v>
          </cell>
          <cell r="AR37">
            <v>0</v>
          </cell>
          <cell r="AS37">
            <v>34</v>
          </cell>
          <cell r="AT37">
            <v>3639</v>
          </cell>
          <cell r="AU37">
            <v>14</v>
          </cell>
          <cell r="AV37">
            <v>1547</v>
          </cell>
          <cell r="AW37">
            <v>8</v>
          </cell>
          <cell r="AX37">
            <v>912</v>
          </cell>
          <cell r="AY37">
            <v>5</v>
          </cell>
          <cell r="AZ37">
            <v>556</v>
          </cell>
          <cell r="BA37">
            <v>7</v>
          </cell>
          <cell r="BB37">
            <v>776</v>
          </cell>
        </row>
        <row r="38">
          <cell r="C38" t="str">
            <v>Fairfield Inn</v>
          </cell>
          <cell r="D38">
            <v>21</v>
          </cell>
          <cell r="E38">
            <v>19</v>
          </cell>
          <cell r="F38">
            <v>18</v>
          </cell>
          <cell r="G38">
            <v>37</v>
          </cell>
          <cell r="H38">
            <v>12</v>
          </cell>
          <cell r="I38">
            <v>1961</v>
          </cell>
          <cell r="J38">
            <v>1782</v>
          </cell>
          <cell r="K38">
            <v>1696</v>
          </cell>
          <cell r="L38">
            <v>3478</v>
          </cell>
          <cell r="M38">
            <v>1064</v>
          </cell>
          <cell r="N38" t="str">
            <v>Fairfield Inn</v>
          </cell>
          <cell r="O38">
            <v>21</v>
          </cell>
          <cell r="P38">
            <v>22</v>
          </cell>
          <cell r="Q38">
            <v>21</v>
          </cell>
          <cell r="R38">
            <v>43</v>
          </cell>
          <cell r="S38">
            <v>9</v>
          </cell>
          <cell r="T38">
            <v>2064</v>
          </cell>
          <cell r="U38">
            <v>1991</v>
          </cell>
          <cell r="V38">
            <v>1966</v>
          </cell>
          <cell r="W38">
            <v>3957</v>
          </cell>
          <cell r="X38">
            <v>732</v>
          </cell>
          <cell r="Y38">
            <v>0</v>
          </cell>
          <cell r="Z38">
            <v>-3</v>
          </cell>
          <cell r="AA38">
            <v>-3</v>
          </cell>
          <cell r="AB38">
            <v>-6</v>
          </cell>
          <cell r="AC38">
            <v>3</v>
          </cell>
          <cell r="AD38">
            <v>-103</v>
          </cell>
          <cell r="AE38">
            <v>-209</v>
          </cell>
          <cell r="AF38">
            <v>-270</v>
          </cell>
          <cell r="AG38">
            <v>-479</v>
          </cell>
          <cell r="AH38">
            <v>332</v>
          </cell>
          <cell r="AI38">
            <v>0</v>
          </cell>
          <cell r="AJ38">
            <v>-0.13636363636363635</v>
          </cell>
          <cell r="AK38">
            <v>-0.1428571428571429</v>
          </cell>
          <cell r="AL38">
            <v>-0.13953488372093026</v>
          </cell>
          <cell r="AM38">
            <v>0.33333333333333326</v>
          </cell>
          <cell r="AN38">
            <v>-4.9903100775193776E-2</v>
          </cell>
          <cell r="AO38">
            <v>-0.10497237569060769</v>
          </cell>
          <cell r="AP38">
            <v>-0.13733468972533058</v>
          </cell>
          <cell r="AQ38">
            <v>-0.12105130149102861</v>
          </cell>
          <cell r="AR38">
            <v>0.45355191256830607</v>
          </cell>
          <cell r="AS38">
            <v>21</v>
          </cell>
          <cell r="AT38">
            <v>2064</v>
          </cell>
          <cell r="AU38">
            <v>5</v>
          </cell>
          <cell r="AV38">
            <v>383</v>
          </cell>
          <cell r="AW38">
            <v>19</v>
          </cell>
          <cell r="AX38">
            <v>1765</v>
          </cell>
          <cell r="AY38">
            <v>15</v>
          </cell>
          <cell r="AZ38">
            <v>1426</v>
          </cell>
          <cell r="BA38">
            <v>15</v>
          </cell>
          <cell r="BB38">
            <v>1351</v>
          </cell>
        </row>
        <row r="39">
          <cell r="C39" t="str">
            <v>Fairmont Hotel</v>
          </cell>
          <cell r="D39">
            <v>1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264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str">
            <v>Fairmont Hotel</v>
          </cell>
          <cell r="O39">
            <v>0</v>
          </cell>
          <cell r="P39">
            <v>1</v>
          </cell>
          <cell r="Q39">
            <v>0</v>
          </cell>
          <cell r="R39">
            <v>1</v>
          </cell>
          <cell r="S39">
            <v>0</v>
          </cell>
          <cell r="T39">
            <v>0</v>
          </cell>
          <cell r="U39">
            <v>264</v>
          </cell>
          <cell r="V39">
            <v>0</v>
          </cell>
          <cell r="W39">
            <v>264</v>
          </cell>
          <cell r="X39">
            <v>0</v>
          </cell>
          <cell r="Y39">
            <v>1</v>
          </cell>
          <cell r="Z39">
            <v>-1</v>
          </cell>
          <cell r="AA39">
            <v>0</v>
          </cell>
          <cell r="AB39">
            <v>-1</v>
          </cell>
          <cell r="AC39">
            <v>0</v>
          </cell>
          <cell r="AD39">
            <v>264</v>
          </cell>
          <cell r="AE39">
            <v>-264</v>
          </cell>
          <cell r="AF39">
            <v>0</v>
          </cell>
          <cell r="AG39">
            <v>-264</v>
          </cell>
          <cell r="AH39">
            <v>0</v>
          </cell>
          <cell r="AI39" t="str">
            <v>-na-</v>
          </cell>
          <cell r="AJ39" t="str">
            <v>-na-</v>
          </cell>
          <cell r="AK39">
            <v>0</v>
          </cell>
          <cell r="AL39" t="str">
            <v>-na-</v>
          </cell>
          <cell r="AM39">
            <v>0</v>
          </cell>
          <cell r="AN39" t="str">
            <v>-na-</v>
          </cell>
          <cell r="AO39" t="str">
            <v>-na-</v>
          </cell>
          <cell r="AP39">
            <v>0</v>
          </cell>
          <cell r="AQ39" t="str">
            <v>-na-</v>
          </cell>
          <cell r="AR39">
            <v>0</v>
          </cell>
          <cell r="AS39">
            <v>0</v>
          </cell>
          <cell r="AT39">
            <v>0</v>
          </cell>
          <cell r="AU39">
            <v>1</v>
          </cell>
          <cell r="AV39">
            <v>264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</row>
        <row r="40">
          <cell r="C40" t="str">
            <v>Family Inns of America</v>
          </cell>
          <cell r="D40">
            <v>0</v>
          </cell>
          <cell r="E40">
            <v>1</v>
          </cell>
          <cell r="F40">
            <v>0</v>
          </cell>
          <cell r="G40">
            <v>1</v>
          </cell>
          <cell r="H40">
            <v>0</v>
          </cell>
          <cell r="I40">
            <v>0</v>
          </cell>
          <cell r="J40">
            <v>150</v>
          </cell>
          <cell r="K40">
            <v>0</v>
          </cell>
          <cell r="L40">
            <v>150</v>
          </cell>
          <cell r="M40">
            <v>0</v>
          </cell>
          <cell r="N40" t="str">
            <v>Family Inns of America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</v>
          </cell>
          <cell r="AA40">
            <v>0</v>
          </cell>
          <cell r="AB40">
            <v>1</v>
          </cell>
          <cell r="AC40">
            <v>0</v>
          </cell>
          <cell r="AD40">
            <v>0</v>
          </cell>
          <cell r="AE40">
            <v>150</v>
          </cell>
          <cell r="AF40">
            <v>0</v>
          </cell>
          <cell r="AG40">
            <v>150</v>
          </cell>
          <cell r="AH40">
            <v>0</v>
          </cell>
          <cell r="AI40">
            <v>0</v>
          </cell>
          <cell r="AJ40" t="str">
            <v>-na-</v>
          </cell>
          <cell r="AK40">
            <v>0</v>
          </cell>
          <cell r="AL40" t="str">
            <v>-na-</v>
          </cell>
          <cell r="AM40">
            <v>0</v>
          </cell>
          <cell r="AN40">
            <v>0</v>
          </cell>
          <cell r="AO40" t="str">
            <v>-na-</v>
          </cell>
          <cell r="AP40">
            <v>0</v>
          </cell>
          <cell r="AQ40" t="str">
            <v>-na-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1</v>
          </cell>
          <cell r="AX40">
            <v>150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</row>
        <row r="41">
          <cell r="C41" t="str">
            <v>Four Points Hotel</v>
          </cell>
          <cell r="D41">
            <v>3</v>
          </cell>
          <cell r="E41">
            <v>2</v>
          </cell>
          <cell r="F41">
            <v>3</v>
          </cell>
          <cell r="G41">
            <v>5</v>
          </cell>
          <cell r="H41">
            <v>0</v>
          </cell>
          <cell r="I41">
            <v>391</v>
          </cell>
          <cell r="J41">
            <v>283</v>
          </cell>
          <cell r="K41">
            <v>300</v>
          </cell>
          <cell r="L41">
            <v>583</v>
          </cell>
          <cell r="M41">
            <v>0</v>
          </cell>
          <cell r="N41" t="str">
            <v>Four Points Hotel</v>
          </cell>
          <cell r="O41">
            <v>2</v>
          </cell>
          <cell r="P41">
            <v>2</v>
          </cell>
          <cell r="Q41">
            <v>2</v>
          </cell>
          <cell r="R41">
            <v>4</v>
          </cell>
          <cell r="S41">
            <v>0</v>
          </cell>
          <cell r="T41">
            <v>268</v>
          </cell>
          <cell r="U41">
            <v>249</v>
          </cell>
          <cell r="V41">
            <v>200</v>
          </cell>
          <cell r="W41">
            <v>449</v>
          </cell>
          <cell r="X41">
            <v>0</v>
          </cell>
          <cell r="Y41">
            <v>1</v>
          </cell>
          <cell r="Z41">
            <v>0</v>
          </cell>
          <cell r="AA41">
            <v>1</v>
          </cell>
          <cell r="AB41">
            <v>1</v>
          </cell>
          <cell r="AC41">
            <v>0</v>
          </cell>
          <cell r="AD41">
            <v>123</v>
          </cell>
          <cell r="AE41">
            <v>34</v>
          </cell>
          <cell r="AF41">
            <v>100</v>
          </cell>
          <cell r="AG41">
            <v>134</v>
          </cell>
          <cell r="AH41">
            <v>0</v>
          </cell>
          <cell r="AI41">
            <v>0.5</v>
          </cell>
          <cell r="AJ41">
            <v>0</v>
          </cell>
          <cell r="AK41">
            <v>0.5</v>
          </cell>
          <cell r="AL41">
            <v>0.25</v>
          </cell>
          <cell r="AM41">
            <v>0</v>
          </cell>
          <cell r="AN41">
            <v>0.45895522388059695</v>
          </cell>
          <cell r="AO41">
            <v>0.13654618473895574</v>
          </cell>
          <cell r="AP41">
            <v>0.5</v>
          </cell>
          <cell r="AQ41">
            <v>0.2984409799554566</v>
          </cell>
          <cell r="AR41">
            <v>0</v>
          </cell>
          <cell r="AS41">
            <v>2</v>
          </cell>
          <cell r="AT41">
            <v>268</v>
          </cell>
          <cell r="AU41">
            <v>1</v>
          </cell>
          <cell r="AV41">
            <v>123</v>
          </cell>
          <cell r="AW41">
            <v>1</v>
          </cell>
          <cell r="AX41">
            <v>125</v>
          </cell>
          <cell r="AY41">
            <v>4</v>
          </cell>
          <cell r="AZ41">
            <v>458</v>
          </cell>
          <cell r="BA41">
            <v>0</v>
          </cell>
          <cell r="BB41">
            <v>0</v>
          </cell>
        </row>
        <row r="42">
          <cell r="C42" t="str">
            <v>Four Seasons</v>
          </cell>
          <cell r="D42">
            <v>1</v>
          </cell>
          <cell r="E42">
            <v>2</v>
          </cell>
          <cell r="F42">
            <v>0</v>
          </cell>
          <cell r="G42">
            <v>2</v>
          </cell>
          <cell r="H42">
            <v>0</v>
          </cell>
          <cell r="I42">
            <v>277</v>
          </cell>
          <cell r="J42">
            <v>347</v>
          </cell>
          <cell r="K42">
            <v>0</v>
          </cell>
          <cell r="L42">
            <v>347</v>
          </cell>
          <cell r="M42">
            <v>0</v>
          </cell>
          <cell r="N42" t="str">
            <v>Four Seasons</v>
          </cell>
          <cell r="O42">
            <v>1</v>
          </cell>
          <cell r="P42">
            <v>2</v>
          </cell>
          <cell r="Q42">
            <v>0</v>
          </cell>
          <cell r="R42">
            <v>2</v>
          </cell>
          <cell r="S42">
            <v>0</v>
          </cell>
          <cell r="T42">
            <v>277</v>
          </cell>
          <cell r="U42">
            <v>347</v>
          </cell>
          <cell r="V42">
            <v>0</v>
          </cell>
          <cell r="W42">
            <v>347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1</v>
          </cell>
          <cell r="AT42">
            <v>277</v>
          </cell>
          <cell r="AU42">
            <v>0</v>
          </cell>
          <cell r="AV42">
            <v>0</v>
          </cell>
          <cell r="AW42">
            <v>1</v>
          </cell>
          <cell r="AX42">
            <v>222</v>
          </cell>
          <cell r="AY42">
            <v>1</v>
          </cell>
          <cell r="AZ42">
            <v>125</v>
          </cell>
          <cell r="BA42">
            <v>0</v>
          </cell>
          <cell r="BB42">
            <v>0</v>
          </cell>
        </row>
        <row r="43">
          <cell r="C43" t="str">
            <v>Friendship Inn</v>
          </cell>
          <cell r="N43" t="str">
            <v>Friendship Inn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</row>
        <row r="44">
          <cell r="C44" t="str">
            <v>GuestHouse Inns</v>
          </cell>
          <cell r="D44">
            <v>2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81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str">
            <v>GuestHouse Inn</v>
          </cell>
          <cell r="O44">
            <v>6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252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-4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-171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-0.66666666666666674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-0.6785714285714286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6</v>
          </cell>
          <cell r="AT44">
            <v>252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</row>
        <row r="45">
          <cell r="C45" t="str">
            <v>Hampton Inn</v>
          </cell>
          <cell r="D45">
            <v>58</v>
          </cell>
          <cell r="E45">
            <v>34</v>
          </cell>
          <cell r="F45">
            <v>36</v>
          </cell>
          <cell r="G45">
            <v>70</v>
          </cell>
          <cell r="H45">
            <v>5</v>
          </cell>
          <cell r="I45">
            <v>4845</v>
          </cell>
          <cell r="J45">
            <v>2851</v>
          </cell>
          <cell r="K45">
            <v>3016</v>
          </cell>
          <cell r="L45">
            <v>5867</v>
          </cell>
          <cell r="M45">
            <v>390</v>
          </cell>
          <cell r="N45" t="str">
            <v>Hampton Inn</v>
          </cell>
          <cell r="O45">
            <v>65</v>
          </cell>
          <cell r="P45">
            <v>39</v>
          </cell>
          <cell r="Q45">
            <v>28</v>
          </cell>
          <cell r="R45">
            <v>67</v>
          </cell>
          <cell r="S45">
            <v>6</v>
          </cell>
          <cell r="T45">
            <v>5509</v>
          </cell>
          <cell r="U45">
            <v>3247</v>
          </cell>
          <cell r="V45">
            <v>2450</v>
          </cell>
          <cell r="W45">
            <v>5697</v>
          </cell>
          <cell r="X45">
            <v>439</v>
          </cell>
          <cell r="Y45">
            <v>-7</v>
          </cell>
          <cell r="Z45">
            <v>-5</v>
          </cell>
          <cell r="AA45">
            <v>8</v>
          </cell>
          <cell r="AB45">
            <v>3</v>
          </cell>
          <cell r="AC45">
            <v>-1</v>
          </cell>
          <cell r="AD45">
            <v>-664</v>
          </cell>
          <cell r="AE45">
            <v>-396</v>
          </cell>
          <cell r="AF45">
            <v>566</v>
          </cell>
          <cell r="AG45">
            <v>170</v>
          </cell>
          <cell r="AH45">
            <v>-49</v>
          </cell>
          <cell r="AI45">
            <v>-0.10769230769230764</v>
          </cell>
          <cell r="AJ45">
            <v>-0.12820512820512819</v>
          </cell>
          <cell r="AK45">
            <v>0.28571428571428581</v>
          </cell>
          <cell r="AL45">
            <v>4.4776119402984982E-2</v>
          </cell>
          <cell r="AM45">
            <v>-0.16666666666666663</v>
          </cell>
          <cell r="AN45">
            <v>-0.12053004174986381</v>
          </cell>
          <cell r="AO45">
            <v>-0.12195873113643363</v>
          </cell>
          <cell r="AP45">
            <v>0.23102040816326541</v>
          </cell>
          <cell r="AQ45">
            <v>2.9840266807091398E-2</v>
          </cell>
          <cell r="AR45">
            <v>-0.11161731207289294</v>
          </cell>
          <cell r="AS45">
            <v>65</v>
          </cell>
          <cell r="AT45">
            <v>5509</v>
          </cell>
          <cell r="AU45">
            <v>10</v>
          </cell>
          <cell r="AV45">
            <v>911</v>
          </cell>
          <cell r="AW45">
            <v>33</v>
          </cell>
          <cell r="AX45">
            <v>2701</v>
          </cell>
          <cell r="AY45">
            <v>28</v>
          </cell>
          <cell r="AZ45">
            <v>2267</v>
          </cell>
          <cell r="BA45">
            <v>14</v>
          </cell>
          <cell r="BB45">
            <v>1289</v>
          </cell>
        </row>
        <row r="46">
          <cell r="C46" t="str">
            <v>Hampton Inn &amp; Suites</v>
          </cell>
          <cell r="D46">
            <v>16</v>
          </cell>
          <cell r="E46">
            <v>29</v>
          </cell>
          <cell r="F46">
            <v>39</v>
          </cell>
          <cell r="G46">
            <v>68</v>
          </cell>
          <cell r="H46">
            <v>2</v>
          </cell>
          <cell r="I46">
            <v>1437</v>
          </cell>
          <cell r="J46">
            <v>2772</v>
          </cell>
          <cell r="K46">
            <v>3762</v>
          </cell>
          <cell r="L46">
            <v>6534</v>
          </cell>
          <cell r="M46">
            <v>235</v>
          </cell>
          <cell r="N46" t="str">
            <v>Hampton Inn &amp; Suites</v>
          </cell>
          <cell r="O46">
            <v>14</v>
          </cell>
          <cell r="P46">
            <v>25</v>
          </cell>
          <cell r="Q46">
            <v>39</v>
          </cell>
          <cell r="R46">
            <v>64</v>
          </cell>
          <cell r="S46">
            <v>7</v>
          </cell>
          <cell r="T46">
            <v>1330</v>
          </cell>
          <cell r="U46">
            <v>2450</v>
          </cell>
          <cell r="V46">
            <v>3820</v>
          </cell>
          <cell r="W46">
            <v>6270</v>
          </cell>
          <cell r="X46">
            <v>739</v>
          </cell>
          <cell r="Y46">
            <v>2</v>
          </cell>
          <cell r="Z46">
            <v>4</v>
          </cell>
          <cell r="AA46">
            <v>0</v>
          </cell>
          <cell r="AB46">
            <v>4</v>
          </cell>
          <cell r="AC46">
            <v>-5</v>
          </cell>
          <cell r="AD46">
            <v>107</v>
          </cell>
          <cell r="AE46">
            <v>322</v>
          </cell>
          <cell r="AF46">
            <v>-58</v>
          </cell>
          <cell r="AG46">
            <v>264</v>
          </cell>
          <cell r="AH46">
            <v>-504</v>
          </cell>
          <cell r="AI46">
            <v>0.14285714285714279</v>
          </cell>
          <cell r="AJ46">
            <v>0.15999999999999992</v>
          </cell>
          <cell r="AK46">
            <v>0</v>
          </cell>
          <cell r="AL46">
            <v>6.25E-2</v>
          </cell>
          <cell r="AM46">
            <v>-0.7142857142857143</v>
          </cell>
          <cell r="AN46">
            <v>8.0451127819548773E-2</v>
          </cell>
          <cell r="AO46">
            <v>0.13142857142857145</v>
          </cell>
          <cell r="AP46">
            <v>-1.5183246073298462E-2</v>
          </cell>
          <cell r="AQ46">
            <v>4.2105263157894646E-2</v>
          </cell>
          <cell r="AR46">
            <v>-0.68200270635994586</v>
          </cell>
          <cell r="AS46">
            <v>14</v>
          </cell>
          <cell r="AT46">
            <v>1330</v>
          </cell>
          <cell r="AU46">
            <v>5</v>
          </cell>
          <cell r="AV46">
            <v>383</v>
          </cell>
          <cell r="AW46">
            <v>22</v>
          </cell>
          <cell r="AX46">
            <v>2127</v>
          </cell>
          <cell r="AY46">
            <v>41</v>
          </cell>
          <cell r="AZ46">
            <v>3868</v>
          </cell>
          <cell r="BA46">
            <v>7</v>
          </cell>
          <cell r="BB46">
            <v>774</v>
          </cell>
        </row>
        <row r="47">
          <cell r="C47" t="str">
            <v>Hawthorn Suites</v>
          </cell>
          <cell r="D47">
            <v>11</v>
          </cell>
          <cell r="E47">
            <v>3</v>
          </cell>
          <cell r="F47">
            <v>18</v>
          </cell>
          <cell r="G47">
            <v>21</v>
          </cell>
          <cell r="H47">
            <v>17</v>
          </cell>
          <cell r="I47">
            <v>914</v>
          </cell>
          <cell r="J47">
            <v>240</v>
          </cell>
          <cell r="K47">
            <v>1503</v>
          </cell>
          <cell r="L47">
            <v>1743</v>
          </cell>
          <cell r="M47">
            <v>1349</v>
          </cell>
          <cell r="N47" t="str">
            <v>Hawthorn Suites</v>
          </cell>
          <cell r="O47">
            <v>8</v>
          </cell>
          <cell r="P47">
            <v>6</v>
          </cell>
          <cell r="Q47">
            <v>24</v>
          </cell>
          <cell r="R47">
            <v>30</v>
          </cell>
          <cell r="S47">
            <v>15</v>
          </cell>
          <cell r="T47">
            <v>691</v>
          </cell>
          <cell r="U47">
            <v>477</v>
          </cell>
          <cell r="V47">
            <v>2252</v>
          </cell>
          <cell r="W47">
            <v>2729</v>
          </cell>
          <cell r="X47">
            <v>1174</v>
          </cell>
          <cell r="Y47">
            <v>3</v>
          </cell>
          <cell r="Z47">
            <v>-3</v>
          </cell>
          <cell r="AA47">
            <v>-6</v>
          </cell>
          <cell r="AB47">
            <v>-9</v>
          </cell>
          <cell r="AC47">
            <v>2</v>
          </cell>
          <cell r="AD47">
            <v>223</v>
          </cell>
          <cell r="AE47">
            <v>-237</v>
          </cell>
          <cell r="AF47">
            <v>-749</v>
          </cell>
          <cell r="AG47">
            <v>-986</v>
          </cell>
          <cell r="AH47">
            <v>175</v>
          </cell>
          <cell r="AI47">
            <v>0.375</v>
          </cell>
          <cell r="AJ47">
            <v>-0.5</v>
          </cell>
          <cell r="AK47">
            <v>-0.25</v>
          </cell>
          <cell r="AL47">
            <v>-0.30000000000000004</v>
          </cell>
          <cell r="AM47">
            <v>0.1333333333333333</v>
          </cell>
          <cell r="AN47">
            <v>0.32272069464544129</v>
          </cell>
          <cell r="AO47">
            <v>-0.49685534591194969</v>
          </cell>
          <cell r="AP47">
            <v>-0.33259325044404975</v>
          </cell>
          <cell r="AQ47">
            <v>-0.36130450714547457</v>
          </cell>
          <cell r="AR47">
            <v>0.14906303236797269</v>
          </cell>
          <cell r="AS47">
            <v>8</v>
          </cell>
          <cell r="AT47">
            <v>691</v>
          </cell>
          <cell r="AU47">
            <v>3</v>
          </cell>
          <cell r="AV47">
            <v>223</v>
          </cell>
          <cell r="AW47">
            <v>1</v>
          </cell>
          <cell r="AX47">
            <v>90</v>
          </cell>
          <cell r="AY47">
            <v>14</v>
          </cell>
          <cell r="AZ47">
            <v>1033</v>
          </cell>
          <cell r="BA47">
            <v>23</v>
          </cell>
          <cell r="BB47">
            <v>1969</v>
          </cell>
        </row>
        <row r="48">
          <cell r="C48" t="str">
            <v>Hawthorn Suites LTD.</v>
          </cell>
          <cell r="D48">
            <v>8</v>
          </cell>
          <cell r="E48">
            <v>7</v>
          </cell>
          <cell r="F48">
            <v>3</v>
          </cell>
          <cell r="G48">
            <v>10</v>
          </cell>
          <cell r="H48">
            <v>11</v>
          </cell>
          <cell r="I48">
            <v>525</v>
          </cell>
          <cell r="J48">
            <v>504</v>
          </cell>
          <cell r="K48">
            <v>232</v>
          </cell>
          <cell r="L48">
            <v>736</v>
          </cell>
          <cell r="M48">
            <v>990</v>
          </cell>
          <cell r="N48" t="str">
            <v>Hawthorn Suites LTD.</v>
          </cell>
          <cell r="O48">
            <v>9</v>
          </cell>
          <cell r="P48">
            <v>8</v>
          </cell>
          <cell r="Q48">
            <v>7</v>
          </cell>
          <cell r="R48">
            <v>15</v>
          </cell>
          <cell r="S48">
            <v>2</v>
          </cell>
          <cell r="T48">
            <v>614</v>
          </cell>
          <cell r="U48">
            <v>554</v>
          </cell>
          <cell r="V48">
            <v>594</v>
          </cell>
          <cell r="W48">
            <v>1148</v>
          </cell>
          <cell r="X48">
            <v>182</v>
          </cell>
          <cell r="Y48">
            <v>-1</v>
          </cell>
          <cell r="Z48">
            <v>-1</v>
          </cell>
          <cell r="AA48">
            <v>-4</v>
          </cell>
          <cell r="AB48">
            <v>-5</v>
          </cell>
          <cell r="AC48">
            <v>9</v>
          </cell>
          <cell r="AD48">
            <v>-89</v>
          </cell>
          <cell r="AE48">
            <v>-50</v>
          </cell>
          <cell r="AF48">
            <v>-362</v>
          </cell>
          <cell r="AG48">
            <v>-412</v>
          </cell>
          <cell r="AH48">
            <v>808</v>
          </cell>
          <cell r="AI48">
            <v>-0.11111111111111116</v>
          </cell>
          <cell r="AJ48">
            <v>-0.125</v>
          </cell>
          <cell r="AK48">
            <v>-0.5714285714285714</v>
          </cell>
          <cell r="AL48">
            <v>-0.33333333333333337</v>
          </cell>
          <cell r="AM48">
            <v>4.5</v>
          </cell>
          <cell r="AN48">
            <v>-0.14495114006514653</v>
          </cell>
          <cell r="AO48">
            <v>-9.0252707581227387E-2</v>
          </cell>
          <cell r="AP48">
            <v>-0.60942760942760943</v>
          </cell>
          <cell r="AQ48">
            <v>-0.35888501742160284</v>
          </cell>
          <cell r="AR48">
            <v>4.4395604395604398</v>
          </cell>
          <cell r="AS48">
            <v>9</v>
          </cell>
          <cell r="AT48">
            <v>614</v>
          </cell>
          <cell r="AU48">
            <v>1</v>
          </cell>
          <cell r="AV48">
            <v>50</v>
          </cell>
          <cell r="AW48">
            <v>7</v>
          </cell>
          <cell r="AX48">
            <v>504</v>
          </cell>
          <cell r="AY48">
            <v>2</v>
          </cell>
          <cell r="AZ48">
            <v>150</v>
          </cell>
          <cell r="BA48">
            <v>12</v>
          </cell>
          <cell r="BB48">
            <v>1072</v>
          </cell>
        </row>
        <row r="49">
          <cell r="C49" t="str">
            <v>Hearthside Inn</v>
          </cell>
          <cell r="D49">
            <v>0</v>
          </cell>
          <cell r="E49">
            <v>1</v>
          </cell>
          <cell r="F49">
            <v>1</v>
          </cell>
          <cell r="G49">
            <v>2</v>
          </cell>
          <cell r="H49">
            <v>0</v>
          </cell>
          <cell r="I49">
            <v>0</v>
          </cell>
          <cell r="J49">
            <v>150</v>
          </cell>
          <cell r="K49">
            <v>63</v>
          </cell>
          <cell r="L49">
            <v>213</v>
          </cell>
          <cell r="M49">
            <v>0</v>
          </cell>
          <cell r="N49" t="str">
            <v>Hearthside Inn</v>
          </cell>
          <cell r="O49">
            <v>0</v>
          </cell>
          <cell r="P49">
            <v>0</v>
          </cell>
          <cell r="Q49">
            <v>2</v>
          </cell>
          <cell r="R49">
            <v>2</v>
          </cell>
          <cell r="S49">
            <v>0</v>
          </cell>
          <cell r="T49">
            <v>0</v>
          </cell>
          <cell r="U49">
            <v>0</v>
          </cell>
          <cell r="V49">
            <v>213</v>
          </cell>
          <cell r="W49">
            <v>213</v>
          </cell>
          <cell r="X49">
            <v>0</v>
          </cell>
          <cell r="Y49">
            <v>0</v>
          </cell>
          <cell r="Z49">
            <v>1</v>
          </cell>
          <cell r="AA49">
            <v>-1</v>
          </cell>
          <cell r="AB49">
            <v>0</v>
          </cell>
          <cell r="AC49">
            <v>0</v>
          </cell>
          <cell r="AD49">
            <v>0</v>
          </cell>
          <cell r="AE49">
            <v>150</v>
          </cell>
          <cell r="AF49">
            <v>-150</v>
          </cell>
          <cell r="AG49">
            <v>0</v>
          </cell>
          <cell r="AH49">
            <v>0</v>
          </cell>
          <cell r="AI49">
            <v>0</v>
          </cell>
          <cell r="AJ49" t="str">
            <v>-na-</v>
          </cell>
          <cell r="AK49">
            <v>-0.5</v>
          </cell>
          <cell r="AL49">
            <v>0</v>
          </cell>
          <cell r="AM49">
            <v>0</v>
          </cell>
          <cell r="AN49">
            <v>0</v>
          </cell>
          <cell r="AO49" t="str">
            <v>-na-</v>
          </cell>
          <cell r="AP49">
            <v>-0.70422535211267601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1</v>
          </cell>
          <cell r="AX49">
            <v>150</v>
          </cell>
          <cell r="AY49">
            <v>1</v>
          </cell>
          <cell r="AZ49">
            <v>63</v>
          </cell>
          <cell r="BA49">
            <v>0</v>
          </cell>
          <cell r="BB49">
            <v>0</v>
          </cell>
        </row>
        <row r="50">
          <cell r="C50" t="str">
            <v>Helmsley Hotel</v>
          </cell>
          <cell r="N50" t="str">
            <v>Helmsley Hotel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</row>
        <row r="51">
          <cell r="C51" t="str">
            <v>Hilton Garden Inn</v>
          </cell>
          <cell r="D51">
            <v>33</v>
          </cell>
          <cell r="E51">
            <v>33</v>
          </cell>
          <cell r="F51">
            <v>62</v>
          </cell>
          <cell r="G51">
            <v>95</v>
          </cell>
          <cell r="H51">
            <v>4</v>
          </cell>
          <cell r="I51">
            <v>4520</v>
          </cell>
          <cell r="J51">
            <v>4243</v>
          </cell>
          <cell r="K51">
            <v>7676</v>
          </cell>
          <cell r="L51">
            <v>11919</v>
          </cell>
          <cell r="M51">
            <v>652</v>
          </cell>
          <cell r="N51" t="str">
            <v>Hilton Garden Inn</v>
          </cell>
          <cell r="O51">
            <v>33</v>
          </cell>
          <cell r="P51">
            <v>37</v>
          </cell>
          <cell r="Q51">
            <v>58</v>
          </cell>
          <cell r="R51">
            <v>95</v>
          </cell>
          <cell r="S51">
            <v>9</v>
          </cell>
          <cell r="T51">
            <v>4315</v>
          </cell>
          <cell r="U51">
            <v>4906</v>
          </cell>
          <cell r="V51">
            <v>7270</v>
          </cell>
          <cell r="W51">
            <v>12176</v>
          </cell>
          <cell r="X51">
            <v>1150</v>
          </cell>
          <cell r="Y51">
            <v>0</v>
          </cell>
          <cell r="Z51">
            <v>-4</v>
          </cell>
          <cell r="AA51">
            <v>4</v>
          </cell>
          <cell r="AB51">
            <v>0</v>
          </cell>
          <cell r="AC51">
            <v>-5</v>
          </cell>
          <cell r="AD51">
            <v>205</v>
          </cell>
          <cell r="AE51">
            <v>-663</v>
          </cell>
          <cell r="AF51">
            <v>406</v>
          </cell>
          <cell r="AG51">
            <v>-257</v>
          </cell>
          <cell r="AH51">
            <v>-498</v>
          </cell>
          <cell r="AI51">
            <v>0</v>
          </cell>
          <cell r="AJ51">
            <v>-0.10810810810810811</v>
          </cell>
          <cell r="AK51">
            <v>6.8965517241379226E-2</v>
          </cell>
          <cell r="AL51">
            <v>0</v>
          </cell>
          <cell r="AM51">
            <v>-0.55555555555555558</v>
          </cell>
          <cell r="AN51">
            <v>4.7508690614136651E-2</v>
          </cell>
          <cell r="AO51">
            <v>-0.13514064410925397</v>
          </cell>
          <cell r="AP51">
            <v>5.5845942228335721E-2</v>
          </cell>
          <cell r="AQ51">
            <v>-2.1107095926412578E-2</v>
          </cell>
          <cell r="AR51">
            <v>-0.43304347826086953</v>
          </cell>
          <cell r="AS51">
            <v>33</v>
          </cell>
          <cell r="AT51">
            <v>4315</v>
          </cell>
          <cell r="AU51">
            <v>6</v>
          </cell>
          <cell r="AV51">
            <v>997</v>
          </cell>
          <cell r="AW51">
            <v>30</v>
          </cell>
          <cell r="AX51">
            <v>3790</v>
          </cell>
          <cell r="AY51">
            <v>40</v>
          </cell>
          <cell r="AZ51">
            <v>4742</v>
          </cell>
          <cell r="BA51">
            <v>29</v>
          </cell>
          <cell r="BB51">
            <v>4039</v>
          </cell>
        </row>
        <row r="52">
          <cell r="C52" t="str">
            <v>Hilton Hotel</v>
          </cell>
          <cell r="D52">
            <v>2</v>
          </cell>
          <cell r="E52">
            <v>5</v>
          </cell>
          <cell r="F52">
            <v>10</v>
          </cell>
          <cell r="G52">
            <v>15</v>
          </cell>
          <cell r="H52">
            <v>3</v>
          </cell>
          <cell r="I52">
            <v>483</v>
          </cell>
          <cell r="J52">
            <v>2760</v>
          </cell>
          <cell r="K52">
            <v>3806</v>
          </cell>
          <cell r="L52">
            <v>6566</v>
          </cell>
          <cell r="M52">
            <v>850</v>
          </cell>
          <cell r="N52" t="str">
            <v>Hilton Hotel</v>
          </cell>
          <cell r="O52">
            <v>6</v>
          </cell>
          <cell r="P52">
            <v>5</v>
          </cell>
          <cell r="Q52">
            <v>7</v>
          </cell>
          <cell r="R52">
            <v>12</v>
          </cell>
          <cell r="S52">
            <v>4</v>
          </cell>
          <cell r="T52">
            <v>1504</v>
          </cell>
          <cell r="U52">
            <v>2760</v>
          </cell>
          <cell r="V52">
            <v>1985</v>
          </cell>
          <cell r="W52">
            <v>4745</v>
          </cell>
          <cell r="X52">
            <v>2221</v>
          </cell>
          <cell r="Y52">
            <v>-4</v>
          </cell>
          <cell r="Z52">
            <v>0</v>
          </cell>
          <cell r="AA52">
            <v>3</v>
          </cell>
          <cell r="AB52">
            <v>3</v>
          </cell>
          <cell r="AC52">
            <v>-1</v>
          </cell>
          <cell r="AD52">
            <v>-1021</v>
          </cell>
          <cell r="AE52">
            <v>0</v>
          </cell>
          <cell r="AF52">
            <v>1821</v>
          </cell>
          <cell r="AG52">
            <v>1821</v>
          </cell>
          <cell r="AH52">
            <v>-1371</v>
          </cell>
          <cell r="AI52">
            <v>-0.66666666666666674</v>
          </cell>
          <cell r="AJ52">
            <v>0</v>
          </cell>
          <cell r="AK52">
            <v>0.4285714285714286</v>
          </cell>
          <cell r="AL52">
            <v>0.25</v>
          </cell>
          <cell r="AM52">
            <v>-0.25</v>
          </cell>
          <cell r="AN52">
            <v>-0.67885638297872342</v>
          </cell>
          <cell r="AO52">
            <v>0</v>
          </cell>
          <cell r="AP52">
            <v>0.91738035264483631</v>
          </cell>
          <cell r="AQ52">
            <v>0.38377239199157009</v>
          </cell>
          <cell r="AR52">
            <v>-0.61728950923007653</v>
          </cell>
          <cell r="AS52">
            <v>6</v>
          </cell>
          <cell r="AT52">
            <v>1504</v>
          </cell>
          <cell r="AU52">
            <v>0</v>
          </cell>
          <cell r="AV52">
            <v>0</v>
          </cell>
          <cell r="AW52">
            <v>3</v>
          </cell>
          <cell r="AX52">
            <v>760</v>
          </cell>
          <cell r="AY52">
            <v>0</v>
          </cell>
          <cell r="AZ52">
            <v>0</v>
          </cell>
          <cell r="BA52">
            <v>15</v>
          </cell>
          <cell r="BB52">
            <v>6656</v>
          </cell>
        </row>
        <row r="53">
          <cell r="C53" t="str">
            <v>Holiday Inn</v>
          </cell>
          <cell r="D53">
            <v>8</v>
          </cell>
          <cell r="E53">
            <v>4</v>
          </cell>
          <cell r="F53">
            <v>12</v>
          </cell>
          <cell r="G53">
            <v>16</v>
          </cell>
          <cell r="H53">
            <v>3</v>
          </cell>
          <cell r="I53">
            <v>1208</v>
          </cell>
          <cell r="J53">
            <v>353</v>
          </cell>
          <cell r="K53">
            <v>1314</v>
          </cell>
          <cell r="L53">
            <v>1667</v>
          </cell>
          <cell r="M53">
            <v>335</v>
          </cell>
          <cell r="N53" t="str">
            <v>Holiday Inn</v>
          </cell>
          <cell r="O53">
            <v>7</v>
          </cell>
          <cell r="P53">
            <v>4</v>
          </cell>
          <cell r="Q53">
            <v>15</v>
          </cell>
          <cell r="R53">
            <v>19</v>
          </cell>
          <cell r="S53">
            <v>2</v>
          </cell>
          <cell r="T53">
            <v>1087</v>
          </cell>
          <cell r="U53">
            <v>392</v>
          </cell>
          <cell r="V53">
            <v>1623</v>
          </cell>
          <cell r="W53">
            <v>2015</v>
          </cell>
          <cell r="X53">
            <v>183</v>
          </cell>
          <cell r="Y53">
            <v>1</v>
          </cell>
          <cell r="Z53">
            <v>0</v>
          </cell>
          <cell r="AA53">
            <v>-3</v>
          </cell>
          <cell r="AB53">
            <v>-3</v>
          </cell>
          <cell r="AC53">
            <v>1</v>
          </cell>
          <cell r="AD53">
            <v>121</v>
          </cell>
          <cell r="AE53">
            <v>-39</v>
          </cell>
          <cell r="AF53">
            <v>-309</v>
          </cell>
          <cell r="AG53">
            <v>-348</v>
          </cell>
          <cell r="AH53">
            <v>152</v>
          </cell>
          <cell r="AI53">
            <v>0.14285714285714279</v>
          </cell>
          <cell r="AJ53">
            <v>0</v>
          </cell>
          <cell r="AK53">
            <v>-0.19999999999999996</v>
          </cell>
          <cell r="AL53">
            <v>-0.15789473684210531</v>
          </cell>
          <cell r="AM53">
            <v>0.5</v>
          </cell>
          <cell r="AN53">
            <v>0.1113155473781049</v>
          </cell>
          <cell r="AO53">
            <v>-9.9489795918367374E-2</v>
          </cell>
          <cell r="AP53">
            <v>-0.19038817005545283</v>
          </cell>
          <cell r="AQ53">
            <v>-0.17270471464019854</v>
          </cell>
          <cell r="AR53">
            <v>0.8306010928961749</v>
          </cell>
          <cell r="AS53">
            <v>7</v>
          </cell>
          <cell r="AT53">
            <v>1087</v>
          </cell>
          <cell r="AU53">
            <v>1</v>
          </cell>
          <cell r="AV53">
            <v>121</v>
          </cell>
          <cell r="AW53">
            <v>4</v>
          </cell>
          <cell r="AX53">
            <v>353</v>
          </cell>
          <cell r="AY53">
            <v>11</v>
          </cell>
          <cell r="AZ53">
            <v>1233</v>
          </cell>
          <cell r="BA53">
            <v>4</v>
          </cell>
          <cell r="BB53">
            <v>416</v>
          </cell>
        </row>
        <row r="54">
          <cell r="C54" t="str">
            <v>Holiday Inn Express</v>
          </cell>
          <cell r="D54">
            <v>100</v>
          </cell>
          <cell r="E54">
            <v>79</v>
          </cell>
          <cell r="F54">
            <v>110</v>
          </cell>
          <cell r="G54">
            <v>189</v>
          </cell>
          <cell r="H54">
            <v>9</v>
          </cell>
          <cell r="I54">
            <v>7395</v>
          </cell>
          <cell r="J54">
            <v>6415</v>
          </cell>
          <cell r="K54">
            <v>8827</v>
          </cell>
          <cell r="L54">
            <v>15242</v>
          </cell>
          <cell r="M54">
            <v>800</v>
          </cell>
          <cell r="N54" t="str">
            <v>Holiday Inn Express</v>
          </cell>
          <cell r="O54">
            <v>118</v>
          </cell>
          <cell r="P54">
            <v>72</v>
          </cell>
          <cell r="Q54">
            <v>113</v>
          </cell>
          <cell r="R54">
            <v>185</v>
          </cell>
          <cell r="S54">
            <v>10</v>
          </cell>
          <cell r="T54">
            <v>9008</v>
          </cell>
          <cell r="U54">
            <v>5714</v>
          </cell>
          <cell r="V54">
            <v>9040</v>
          </cell>
          <cell r="W54">
            <v>14754</v>
          </cell>
          <cell r="X54">
            <v>1014</v>
          </cell>
          <cell r="Y54">
            <v>-18</v>
          </cell>
          <cell r="Z54">
            <v>7</v>
          </cell>
          <cell r="AA54">
            <v>-3</v>
          </cell>
          <cell r="AB54">
            <v>4</v>
          </cell>
          <cell r="AC54">
            <v>-1</v>
          </cell>
          <cell r="AD54">
            <v>-1613</v>
          </cell>
          <cell r="AE54">
            <v>701</v>
          </cell>
          <cell r="AF54">
            <v>-213</v>
          </cell>
          <cell r="AG54">
            <v>488</v>
          </cell>
          <cell r="AH54">
            <v>-214</v>
          </cell>
          <cell r="AI54">
            <v>-0.15254237288135597</v>
          </cell>
          <cell r="AJ54">
            <v>9.7222222222222321E-2</v>
          </cell>
          <cell r="AK54">
            <v>-2.6548672566371723E-2</v>
          </cell>
          <cell r="AL54">
            <v>2.1621621621621623E-2</v>
          </cell>
          <cell r="AM54">
            <v>-9.9999999999999978E-2</v>
          </cell>
          <cell r="AN54">
            <v>-0.17906305506216691</v>
          </cell>
          <cell r="AO54">
            <v>0.12268113405670289</v>
          </cell>
          <cell r="AP54">
            <v>-2.3561946902654896E-2</v>
          </cell>
          <cell r="AQ54">
            <v>3.3075776060729201E-2</v>
          </cell>
          <cell r="AR54">
            <v>-0.21104536489151871</v>
          </cell>
          <cell r="AS54">
            <v>119</v>
          </cell>
          <cell r="AT54">
            <v>9070</v>
          </cell>
          <cell r="AU54">
            <v>12</v>
          </cell>
          <cell r="AV54">
            <v>849</v>
          </cell>
          <cell r="AW54">
            <v>84</v>
          </cell>
          <cell r="AX54">
            <v>6683</v>
          </cell>
          <cell r="AY54">
            <v>96</v>
          </cell>
          <cell r="AZ54">
            <v>7786</v>
          </cell>
          <cell r="BA54">
            <v>18</v>
          </cell>
          <cell r="BB54">
            <v>1573</v>
          </cell>
        </row>
        <row r="55">
          <cell r="C55" t="str">
            <v>Holiday Inn Select</v>
          </cell>
          <cell r="D55">
            <v>0</v>
          </cell>
          <cell r="E55">
            <v>4</v>
          </cell>
          <cell r="F55">
            <v>2</v>
          </cell>
          <cell r="G55">
            <v>6</v>
          </cell>
          <cell r="H55">
            <v>1</v>
          </cell>
          <cell r="I55">
            <v>0</v>
          </cell>
          <cell r="J55">
            <v>723</v>
          </cell>
          <cell r="K55">
            <v>502</v>
          </cell>
          <cell r="L55">
            <v>1225</v>
          </cell>
          <cell r="M55">
            <v>118</v>
          </cell>
          <cell r="N55" t="str">
            <v>Holiday Inn Select</v>
          </cell>
          <cell r="O55">
            <v>0</v>
          </cell>
          <cell r="P55">
            <v>4</v>
          </cell>
          <cell r="Q55">
            <v>3</v>
          </cell>
          <cell r="R55">
            <v>7</v>
          </cell>
          <cell r="S55">
            <v>0</v>
          </cell>
          <cell r="T55">
            <v>0</v>
          </cell>
          <cell r="U55">
            <v>721</v>
          </cell>
          <cell r="V55">
            <v>630</v>
          </cell>
          <cell r="W55">
            <v>1351</v>
          </cell>
          <cell r="X55">
            <v>0</v>
          </cell>
          <cell r="Y55">
            <v>0</v>
          </cell>
          <cell r="Z55">
            <v>0</v>
          </cell>
          <cell r="AA55">
            <v>-1</v>
          </cell>
          <cell r="AB55">
            <v>-1</v>
          </cell>
          <cell r="AC55">
            <v>1</v>
          </cell>
          <cell r="AD55">
            <v>0</v>
          </cell>
          <cell r="AE55">
            <v>2</v>
          </cell>
          <cell r="AF55">
            <v>-128</v>
          </cell>
          <cell r="AG55">
            <v>-126</v>
          </cell>
          <cell r="AH55">
            <v>118</v>
          </cell>
          <cell r="AI55">
            <v>0</v>
          </cell>
          <cell r="AJ55">
            <v>0</v>
          </cell>
          <cell r="AK55">
            <v>-0.33333333333333337</v>
          </cell>
          <cell r="AL55">
            <v>-0.1428571428571429</v>
          </cell>
          <cell r="AM55" t="str">
            <v>-na-</v>
          </cell>
          <cell r="AN55">
            <v>0</v>
          </cell>
          <cell r="AO55">
            <v>2.7739251040221902E-3</v>
          </cell>
          <cell r="AP55">
            <v>-0.20317460317460323</v>
          </cell>
          <cell r="AQ55">
            <v>-9.3264248704663211E-2</v>
          </cell>
          <cell r="AR55" t="str">
            <v>-na-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3</v>
          </cell>
          <cell r="AX55">
            <v>575</v>
          </cell>
          <cell r="AY55">
            <v>1</v>
          </cell>
          <cell r="AZ55">
            <v>148</v>
          </cell>
          <cell r="BA55">
            <v>3</v>
          </cell>
          <cell r="BB55">
            <v>620</v>
          </cell>
        </row>
        <row r="56">
          <cell r="C56" t="str">
            <v>Homestead Studio Suites</v>
          </cell>
          <cell r="N56" t="str">
            <v>Homestead Studio Suites</v>
          </cell>
          <cell r="O56">
            <v>1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-1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-40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 t="str">
            <v>-na-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 t="str">
            <v>-na-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</row>
        <row r="57">
          <cell r="C57" t="str">
            <v>Homewood Suites by Hilton</v>
          </cell>
          <cell r="D57">
            <v>12</v>
          </cell>
          <cell r="E57">
            <v>10</v>
          </cell>
          <cell r="F57">
            <v>25</v>
          </cell>
          <cell r="G57">
            <v>35</v>
          </cell>
          <cell r="H57">
            <v>2</v>
          </cell>
          <cell r="I57">
            <v>1317</v>
          </cell>
          <cell r="J57">
            <v>1255</v>
          </cell>
          <cell r="K57">
            <v>2876</v>
          </cell>
          <cell r="L57">
            <v>4131</v>
          </cell>
          <cell r="M57">
            <v>263</v>
          </cell>
          <cell r="N57" t="str">
            <v>Homewood Suites by Hilton</v>
          </cell>
          <cell r="O57">
            <v>11</v>
          </cell>
          <cell r="P57">
            <v>11</v>
          </cell>
          <cell r="Q57">
            <v>24</v>
          </cell>
          <cell r="R57">
            <v>35</v>
          </cell>
          <cell r="S57">
            <v>1</v>
          </cell>
          <cell r="T57">
            <v>1129</v>
          </cell>
          <cell r="U57">
            <v>1427</v>
          </cell>
          <cell r="V57">
            <v>2809</v>
          </cell>
          <cell r="W57">
            <v>4236</v>
          </cell>
          <cell r="X57">
            <v>179</v>
          </cell>
          <cell r="Y57">
            <v>1</v>
          </cell>
          <cell r="Z57">
            <v>-1</v>
          </cell>
          <cell r="AA57">
            <v>1</v>
          </cell>
          <cell r="AB57">
            <v>0</v>
          </cell>
          <cell r="AC57">
            <v>1</v>
          </cell>
          <cell r="AD57">
            <v>188</v>
          </cell>
          <cell r="AE57">
            <v>-172</v>
          </cell>
          <cell r="AF57">
            <v>67</v>
          </cell>
          <cell r="AG57">
            <v>-105</v>
          </cell>
          <cell r="AH57">
            <v>84</v>
          </cell>
          <cell r="AI57">
            <v>9.0909090909090828E-2</v>
          </cell>
          <cell r="AJ57">
            <v>-9.0909090909090939E-2</v>
          </cell>
          <cell r="AK57">
            <v>4.1666666666666741E-2</v>
          </cell>
          <cell r="AL57">
            <v>0</v>
          </cell>
          <cell r="AM57">
            <v>1</v>
          </cell>
          <cell r="AN57">
            <v>0.16651904340124002</v>
          </cell>
          <cell r="AO57">
            <v>-0.12053258584442883</v>
          </cell>
          <cell r="AP57">
            <v>2.3851904592381734E-2</v>
          </cell>
          <cell r="AQ57">
            <v>-2.4787535410764838E-2</v>
          </cell>
          <cell r="AR57">
            <v>0.46927374301675973</v>
          </cell>
          <cell r="AS57">
            <v>11</v>
          </cell>
          <cell r="AT57">
            <v>1129</v>
          </cell>
          <cell r="AU57">
            <v>3</v>
          </cell>
          <cell r="AV57">
            <v>428</v>
          </cell>
          <cell r="AW57">
            <v>7</v>
          </cell>
          <cell r="AX57">
            <v>830</v>
          </cell>
          <cell r="AY57">
            <v>22</v>
          </cell>
          <cell r="AZ57">
            <v>2507</v>
          </cell>
          <cell r="BA57">
            <v>8</v>
          </cell>
          <cell r="BB57">
            <v>1057</v>
          </cell>
        </row>
        <row r="58">
          <cell r="C58" t="str">
            <v>Hotel Sofitel</v>
          </cell>
          <cell r="D58">
            <v>0</v>
          </cell>
          <cell r="E58">
            <v>2</v>
          </cell>
          <cell r="F58">
            <v>1</v>
          </cell>
          <cell r="G58">
            <v>3</v>
          </cell>
          <cell r="H58">
            <v>0</v>
          </cell>
          <cell r="I58">
            <v>0</v>
          </cell>
          <cell r="J58">
            <v>637</v>
          </cell>
          <cell r="K58">
            <v>400</v>
          </cell>
          <cell r="L58">
            <v>1037</v>
          </cell>
          <cell r="M58">
            <v>0</v>
          </cell>
          <cell r="N58" t="str">
            <v>Hotel Sofitel</v>
          </cell>
          <cell r="O58">
            <v>0</v>
          </cell>
          <cell r="P58">
            <v>2</v>
          </cell>
          <cell r="Q58">
            <v>1</v>
          </cell>
          <cell r="R58">
            <v>3</v>
          </cell>
          <cell r="S58">
            <v>0</v>
          </cell>
          <cell r="T58">
            <v>0</v>
          </cell>
          <cell r="U58">
            <v>649</v>
          </cell>
          <cell r="V58">
            <v>400</v>
          </cell>
          <cell r="W58">
            <v>1049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-12</v>
          </cell>
          <cell r="AF58">
            <v>0</v>
          </cell>
          <cell r="AG58">
            <v>-12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-1.8489984591679498E-2</v>
          </cell>
          <cell r="AP58">
            <v>0</v>
          </cell>
          <cell r="AQ58">
            <v>-1.1439466158245981E-2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2</v>
          </cell>
          <cell r="AX58">
            <v>637</v>
          </cell>
          <cell r="AY58">
            <v>0</v>
          </cell>
          <cell r="AZ58">
            <v>0</v>
          </cell>
          <cell r="BA58">
            <v>1</v>
          </cell>
          <cell r="BB58">
            <v>400</v>
          </cell>
        </row>
        <row r="59">
          <cell r="C59" t="str">
            <v>Howard Johnson</v>
          </cell>
          <cell r="D59">
            <v>4</v>
          </cell>
          <cell r="E59">
            <v>0</v>
          </cell>
          <cell r="F59">
            <v>0</v>
          </cell>
          <cell r="G59">
            <v>0</v>
          </cell>
          <cell r="H59">
            <v>14</v>
          </cell>
          <cell r="I59">
            <v>426</v>
          </cell>
          <cell r="J59">
            <v>0</v>
          </cell>
          <cell r="K59">
            <v>0</v>
          </cell>
          <cell r="L59">
            <v>0</v>
          </cell>
          <cell r="M59">
            <v>2128</v>
          </cell>
          <cell r="N59" t="str">
            <v>Howard Johnson</v>
          </cell>
          <cell r="O59">
            <v>1</v>
          </cell>
          <cell r="P59">
            <v>2</v>
          </cell>
          <cell r="Q59">
            <v>0</v>
          </cell>
          <cell r="R59">
            <v>2</v>
          </cell>
          <cell r="S59">
            <v>9</v>
          </cell>
          <cell r="T59">
            <v>34</v>
          </cell>
          <cell r="U59">
            <v>189</v>
          </cell>
          <cell r="V59">
            <v>0</v>
          </cell>
          <cell r="W59">
            <v>189</v>
          </cell>
          <cell r="X59">
            <v>1359</v>
          </cell>
          <cell r="Y59">
            <v>3</v>
          </cell>
          <cell r="Z59">
            <v>-2</v>
          </cell>
          <cell r="AA59">
            <v>0</v>
          </cell>
          <cell r="AB59">
            <v>-2</v>
          </cell>
          <cell r="AC59">
            <v>5</v>
          </cell>
          <cell r="AD59">
            <v>392</v>
          </cell>
          <cell r="AE59">
            <v>-189</v>
          </cell>
          <cell r="AF59">
            <v>0</v>
          </cell>
          <cell r="AG59">
            <v>-189</v>
          </cell>
          <cell r="AH59">
            <v>769</v>
          </cell>
          <cell r="AI59">
            <v>3</v>
          </cell>
          <cell r="AJ59" t="str">
            <v>-na-</v>
          </cell>
          <cell r="AK59">
            <v>0</v>
          </cell>
          <cell r="AL59" t="str">
            <v>-na-</v>
          </cell>
          <cell r="AM59">
            <v>0.55555555555555558</v>
          </cell>
          <cell r="AN59">
            <v>11.529411764705882</v>
          </cell>
          <cell r="AO59" t="str">
            <v>-na-</v>
          </cell>
          <cell r="AP59">
            <v>0</v>
          </cell>
          <cell r="AQ59" t="str">
            <v>-na-</v>
          </cell>
          <cell r="AR59">
            <v>0.5658572479764532</v>
          </cell>
          <cell r="AS59">
            <v>1</v>
          </cell>
          <cell r="AT59">
            <v>34</v>
          </cell>
          <cell r="AU59">
            <v>3</v>
          </cell>
          <cell r="AV59">
            <v>392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14</v>
          </cell>
          <cell r="BB59">
            <v>2128</v>
          </cell>
        </row>
        <row r="60">
          <cell r="C60" t="str">
            <v>Howard Johnson Express Inn</v>
          </cell>
          <cell r="D60">
            <v>6</v>
          </cell>
          <cell r="E60">
            <v>3</v>
          </cell>
          <cell r="F60">
            <v>2</v>
          </cell>
          <cell r="G60">
            <v>5</v>
          </cell>
          <cell r="H60">
            <v>15</v>
          </cell>
          <cell r="I60">
            <v>350</v>
          </cell>
          <cell r="J60">
            <v>250</v>
          </cell>
          <cell r="K60">
            <v>86</v>
          </cell>
          <cell r="L60">
            <v>336</v>
          </cell>
          <cell r="M60">
            <v>1810</v>
          </cell>
          <cell r="N60" t="str">
            <v>Howard Johnson Express Inn</v>
          </cell>
          <cell r="O60">
            <v>5</v>
          </cell>
          <cell r="P60">
            <v>4</v>
          </cell>
          <cell r="Q60">
            <v>2</v>
          </cell>
          <cell r="R60">
            <v>6</v>
          </cell>
          <cell r="S60">
            <v>7</v>
          </cell>
          <cell r="T60">
            <v>272</v>
          </cell>
          <cell r="U60">
            <v>344</v>
          </cell>
          <cell r="V60">
            <v>86</v>
          </cell>
          <cell r="W60">
            <v>430</v>
          </cell>
          <cell r="X60">
            <v>554</v>
          </cell>
          <cell r="Y60">
            <v>1</v>
          </cell>
          <cell r="Z60">
            <v>-1</v>
          </cell>
          <cell r="AA60">
            <v>0</v>
          </cell>
          <cell r="AB60">
            <v>-1</v>
          </cell>
          <cell r="AC60">
            <v>8</v>
          </cell>
          <cell r="AD60">
            <v>78</v>
          </cell>
          <cell r="AE60">
            <v>-94</v>
          </cell>
          <cell r="AF60">
            <v>0</v>
          </cell>
          <cell r="AG60">
            <v>-94</v>
          </cell>
          <cell r="AH60">
            <v>1256</v>
          </cell>
          <cell r="AI60">
            <v>0.19999999999999996</v>
          </cell>
          <cell r="AJ60">
            <v>-0.25</v>
          </cell>
          <cell r="AK60">
            <v>0</v>
          </cell>
          <cell r="AL60">
            <v>-0.16666666666666663</v>
          </cell>
          <cell r="AM60">
            <v>1.1428571428571428</v>
          </cell>
          <cell r="AN60">
            <v>0.28676470588235303</v>
          </cell>
          <cell r="AO60">
            <v>-0.27325581395348841</v>
          </cell>
          <cell r="AP60">
            <v>0</v>
          </cell>
          <cell r="AQ60">
            <v>-0.21860465116279071</v>
          </cell>
          <cell r="AR60">
            <v>2.267148014440433</v>
          </cell>
          <cell r="AS60">
            <v>5</v>
          </cell>
          <cell r="AT60">
            <v>272</v>
          </cell>
          <cell r="AU60">
            <v>2</v>
          </cell>
          <cell r="AV60">
            <v>143</v>
          </cell>
          <cell r="AW60">
            <v>3</v>
          </cell>
          <cell r="AX60">
            <v>250</v>
          </cell>
          <cell r="AY60">
            <v>1</v>
          </cell>
          <cell r="AZ60">
            <v>36</v>
          </cell>
          <cell r="BA60">
            <v>16</v>
          </cell>
          <cell r="BB60">
            <v>1860</v>
          </cell>
        </row>
        <row r="61">
          <cell r="C61" t="str">
            <v>Hyatt Hotel</v>
          </cell>
          <cell r="D61">
            <v>4</v>
          </cell>
          <cell r="E61">
            <v>5</v>
          </cell>
          <cell r="F61">
            <v>3</v>
          </cell>
          <cell r="G61">
            <v>8</v>
          </cell>
          <cell r="H61">
            <v>2</v>
          </cell>
          <cell r="I61">
            <v>1432</v>
          </cell>
          <cell r="J61">
            <v>2319</v>
          </cell>
          <cell r="K61">
            <v>1986</v>
          </cell>
          <cell r="L61">
            <v>4305</v>
          </cell>
          <cell r="M61">
            <v>2011</v>
          </cell>
          <cell r="N61" t="str">
            <v>Hyatt Hotel</v>
          </cell>
          <cell r="O61">
            <v>5</v>
          </cell>
          <cell r="P61">
            <v>5</v>
          </cell>
          <cell r="Q61">
            <v>3</v>
          </cell>
          <cell r="R61">
            <v>8</v>
          </cell>
          <cell r="S61">
            <v>2</v>
          </cell>
          <cell r="T61">
            <v>1782</v>
          </cell>
          <cell r="U61">
            <v>2319</v>
          </cell>
          <cell r="V61">
            <v>1986</v>
          </cell>
          <cell r="W61">
            <v>4305</v>
          </cell>
          <cell r="X61">
            <v>2011</v>
          </cell>
          <cell r="Y61">
            <v>-1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-350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-0.19999999999999996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-0.19640852974186307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5</v>
          </cell>
          <cell r="AT61">
            <v>1782</v>
          </cell>
          <cell r="AU61">
            <v>0</v>
          </cell>
          <cell r="AV61">
            <v>0</v>
          </cell>
          <cell r="AW61">
            <v>2</v>
          </cell>
          <cell r="AX61">
            <v>750</v>
          </cell>
          <cell r="AY61">
            <v>2</v>
          </cell>
          <cell r="AZ61">
            <v>1269</v>
          </cell>
          <cell r="BA61">
            <v>6</v>
          </cell>
          <cell r="BB61">
            <v>4297</v>
          </cell>
        </row>
        <row r="62">
          <cell r="C62" t="str">
            <v>Inter-Continental</v>
          </cell>
          <cell r="D62">
            <v>0</v>
          </cell>
          <cell r="E62">
            <v>1</v>
          </cell>
          <cell r="F62">
            <v>3</v>
          </cell>
          <cell r="G62">
            <v>4</v>
          </cell>
          <cell r="H62">
            <v>2</v>
          </cell>
          <cell r="I62">
            <v>0</v>
          </cell>
          <cell r="J62">
            <v>300</v>
          </cell>
          <cell r="K62">
            <v>1110</v>
          </cell>
          <cell r="L62">
            <v>1410</v>
          </cell>
          <cell r="M62">
            <v>1379</v>
          </cell>
          <cell r="N62" t="str">
            <v>Inter-Continental</v>
          </cell>
          <cell r="O62">
            <v>0</v>
          </cell>
          <cell r="P62">
            <v>1</v>
          </cell>
          <cell r="Q62">
            <v>2</v>
          </cell>
          <cell r="R62">
            <v>3</v>
          </cell>
          <cell r="S62">
            <v>1</v>
          </cell>
          <cell r="T62">
            <v>0</v>
          </cell>
          <cell r="U62">
            <v>300</v>
          </cell>
          <cell r="V62">
            <v>538</v>
          </cell>
          <cell r="W62">
            <v>838</v>
          </cell>
          <cell r="X62">
            <v>425</v>
          </cell>
          <cell r="Y62">
            <v>0</v>
          </cell>
          <cell r="Z62">
            <v>0</v>
          </cell>
          <cell r="AA62">
            <v>1</v>
          </cell>
          <cell r="AB62">
            <v>1</v>
          </cell>
          <cell r="AC62">
            <v>1</v>
          </cell>
          <cell r="AD62">
            <v>0</v>
          </cell>
          <cell r="AE62">
            <v>0</v>
          </cell>
          <cell r="AF62">
            <v>572</v>
          </cell>
          <cell r="AG62">
            <v>572</v>
          </cell>
          <cell r="AH62">
            <v>954</v>
          </cell>
          <cell r="AI62">
            <v>0</v>
          </cell>
          <cell r="AJ62">
            <v>0</v>
          </cell>
          <cell r="AK62">
            <v>0.5</v>
          </cell>
          <cell r="AL62">
            <v>0.33333333333333326</v>
          </cell>
          <cell r="AM62">
            <v>1</v>
          </cell>
          <cell r="AN62">
            <v>0</v>
          </cell>
          <cell r="AO62">
            <v>0</v>
          </cell>
          <cell r="AP62">
            <v>1.0631970260223049</v>
          </cell>
          <cell r="AQ62">
            <v>0.68257756563245819</v>
          </cell>
          <cell r="AR62">
            <v>2.2447058823529411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1</v>
          </cell>
          <cell r="AX62">
            <v>300</v>
          </cell>
          <cell r="AY62">
            <v>1</v>
          </cell>
          <cell r="AZ62">
            <v>118</v>
          </cell>
          <cell r="BA62">
            <v>4</v>
          </cell>
          <cell r="BB62">
            <v>2371</v>
          </cell>
        </row>
        <row r="63">
          <cell r="C63" t="str">
            <v>Intown Suites</v>
          </cell>
          <cell r="D63">
            <v>10</v>
          </cell>
          <cell r="E63">
            <v>0</v>
          </cell>
          <cell r="F63">
            <v>4</v>
          </cell>
          <cell r="G63">
            <v>4</v>
          </cell>
          <cell r="H63">
            <v>1</v>
          </cell>
          <cell r="I63">
            <v>1211</v>
          </cell>
          <cell r="J63">
            <v>0</v>
          </cell>
          <cell r="K63">
            <v>484</v>
          </cell>
          <cell r="L63">
            <v>484</v>
          </cell>
          <cell r="M63">
            <v>121</v>
          </cell>
          <cell r="N63" t="str">
            <v>Intown Suites</v>
          </cell>
          <cell r="O63">
            <v>12</v>
          </cell>
          <cell r="P63">
            <v>0</v>
          </cell>
          <cell r="Q63">
            <v>4</v>
          </cell>
          <cell r="R63">
            <v>4</v>
          </cell>
          <cell r="S63">
            <v>1</v>
          </cell>
          <cell r="T63">
            <v>1453</v>
          </cell>
          <cell r="U63">
            <v>0</v>
          </cell>
          <cell r="V63">
            <v>484</v>
          </cell>
          <cell r="W63">
            <v>484</v>
          </cell>
          <cell r="X63">
            <v>121</v>
          </cell>
          <cell r="Y63">
            <v>-2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-242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-0.16666666666666663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-0.16655196145905027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12</v>
          </cell>
          <cell r="AT63">
            <v>1453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2</v>
          </cell>
          <cell r="AZ63">
            <v>242</v>
          </cell>
          <cell r="BA63">
            <v>3</v>
          </cell>
          <cell r="BB63">
            <v>363</v>
          </cell>
        </row>
        <row r="64">
          <cell r="C64" t="str">
            <v>Jameson Inn</v>
          </cell>
          <cell r="D64">
            <v>13</v>
          </cell>
          <cell r="E64">
            <v>2</v>
          </cell>
          <cell r="F64">
            <v>0</v>
          </cell>
          <cell r="G64">
            <v>2</v>
          </cell>
          <cell r="H64">
            <v>0</v>
          </cell>
          <cell r="I64">
            <v>549</v>
          </cell>
          <cell r="J64">
            <v>88</v>
          </cell>
          <cell r="K64">
            <v>0</v>
          </cell>
          <cell r="L64">
            <v>88</v>
          </cell>
          <cell r="M64">
            <v>0</v>
          </cell>
          <cell r="N64" t="str">
            <v>Jameson Inn</v>
          </cell>
          <cell r="O64">
            <v>11</v>
          </cell>
          <cell r="P64">
            <v>4</v>
          </cell>
          <cell r="Q64">
            <v>0</v>
          </cell>
          <cell r="R64">
            <v>4</v>
          </cell>
          <cell r="S64">
            <v>0</v>
          </cell>
          <cell r="T64">
            <v>467</v>
          </cell>
          <cell r="U64">
            <v>128</v>
          </cell>
          <cell r="V64">
            <v>0</v>
          </cell>
          <cell r="W64">
            <v>128</v>
          </cell>
          <cell r="X64">
            <v>0</v>
          </cell>
          <cell r="Y64">
            <v>2</v>
          </cell>
          <cell r="Z64">
            <v>-2</v>
          </cell>
          <cell r="AA64">
            <v>0</v>
          </cell>
          <cell r="AB64">
            <v>-2</v>
          </cell>
          <cell r="AC64">
            <v>0</v>
          </cell>
          <cell r="AD64">
            <v>82</v>
          </cell>
          <cell r="AE64">
            <v>-40</v>
          </cell>
          <cell r="AF64">
            <v>0</v>
          </cell>
          <cell r="AG64">
            <v>-40</v>
          </cell>
          <cell r="AH64">
            <v>0</v>
          </cell>
          <cell r="AI64">
            <v>0.18181818181818188</v>
          </cell>
          <cell r="AJ64">
            <v>-0.5</v>
          </cell>
          <cell r="AK64">
            <v>0</v>
          </cell>
          <cell r="AL64">
            <v>-0.5</v>
          </cell>
          <cell r="AM64">
            <v>0</v>
          </cell>
          <cell r="AN64">
            <v>0.17558886509635974</v>
          </cell>
          <cell r="AO64">
            <v>-0.3125</v>
          </cell>
          <cell r="AP64">
            <v>0</v>
          </cell>
          <cell r="AQ64">
            <v>-0.3125</v>
          </cell>
          <cell r="AR64">
            <v>0</v>
          </cell>
          <cell r="AS64">
            <v>11</v>
          </cell>
          <cell r="AT64">
            <v>467</v>
          </cell>
          <cell r="AU64">
            <v>2</v>
          </cell>
          <cell r="AV64">
            <v>82</v>
          </cell>
          <cell r="AW64">
            <v>2</v>
          </cell>
          <cell r="AX64">
            <v>88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</row>
        <row r="65">
          <cell r="C65" t="str">
            <v>Key West Inn</v>
          </cell>
          <cell r="D65">
            <v>1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44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 t="str">
            <v>Key West Inn</v>
          </cell>
          <cell r="O65">
            <v>1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44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1</v>
          </cell>
          <cell r="AT65">
            <v>44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</row>
        <row r="66">
          <cell r="C66" t="str">
            <v>Knights Inn</v>
          </cell>
          <cell r="D66">
            <v>0</v>
          </cell>
          <cell r="E66">
            <v>0</v>
          </cell>
          <cell r="F66">
            <v>3</v>
          </cell>
          <cell r="G66">
            <v>3</v>
          </cell>
          <cell r="H66">
            <v>5</v>
          </cell>
          <cell r="I66">
            <v>0</v>
          </cell>
          <cell r="J66">
            <v>0</v>
          </cell>
          <cell r="K66">
            <v>140</v>
          </cell>
          <cell r="L66">
            <v>140</v>
          </cell>
          <cell r="M66">
            <v>425</v>
          </cell>
          <cell r="N66" t="str">
            <v>Knights Inn</v>
          </cell>
          <cell r="O66">
            <v>0</v>
          </cell>
          <cell r="P66">
            <v>0</v>
          </cell>
          <cell r="Q66">
            <v>3</v>
          </cell>
          <cell r="R66">
            <v>3</v>
          </cell>
          <cell r="S66">
            <v>4</v>
          </cell>
          <cell r="T66">
            <v>0</v>
          </cell>
          <cell r="U66">
            <v>0</v>
          </cell>
          <cell r="V66">
            <v>140</v>
          </cell>
          <cell r="W66">
            <v>140</v>
          </cell>
          <cell r="X66">
            <v>250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175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0.25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0.7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</v>
          </cell>
          <cell r="AZ66">
            <v>50</v>
          </cell>
          <cell r="BA66">
            <v>7</v>
          </cell>
          <cell r="BB66">
            <v>515</v>
          </cell>
        </row>
        <row r="67">
          <cell r="C67" t="str">
            <v>La Quinta</v>
          </cell>
          <cell r="D67">
            <v>2</v>
          </cell>
          <cell r="E67">
            <v>5</v>
          </cell>
          <cell r="F67">
            <v>10</v>
          </cell>
          <cell r="G67">
            <v>15</v>
          </cell>
          <cell r="H67">
            <v>8</v>
          </cell>
          <cell r="I67">
            <v>199</v>
          </cell>
          <cell r="J67">
            <v>436</v>
          </cell>
          <cell r="K67">
            <v>955</v>
          </cell>
          <cell r="L67">
            <v>1391</v>
          </cell>
          <cell r="M67">
            <v>494</v>
          </cell>
          <cell r="N67" t="str">
            <v>La Quinta Inn</v>
          </cell>
          <cell r="O67">
            <v>2</v>
          </cell>
          <cell r="P67">
            <v>5</v>
          </cell>
          <cell r="Q67">
            <v>11</v>
          </cell>
          <cell r="R67">
            <v>16</v>
          </cell>
          <cell r="S67">
            <v>4</v>
          </cell>
          <cell r="T67">
            <v>199</v>
          </cell>
          <cell r="U67">
            <v>436</v>
          </cell>
          <cell r="V67">
            <v>1140</v>
          </cell>
          <cell r="W67">
            <v>1576</v>
          </cell>
          <cell r="X67">
            <v>253</v>
          </cell>
          <cell r="Y67">
            <v>0</v>
          </cell>
          <cell r="Z67">
            <v>0</v>
          </cell>
          <cell r="AA67">
            <v>-1</v>
          </cell>
          <cell r="AB67">
            <v>-1</v>
          </cell>
          <cell r="AC67">
            <v>4</v>
          </cell>
          <cell r="AD67">
            <v>0</v>
          </cell>
          <cell r="AE67">
            <v>0</v>
          </cell>
          <cell r="AF67">
            <v>-185</v>
          </cell>
          <cell r="AG67">
            <v>-185</v>
          </cell>
          <cell r="AH67">
            <v>241</v>
          </cell>
          <cell r="AI67">
            <v>0</v>
          </cell>
          <cell r="AJ67">
            <v>0</v>
          </cell>
          <cell r="AK67">
            <v>-9.0909090909090939E-2</v>
          </cell>
          <cell r="AL67">
            <v>-6.25E-2</v>
          </cell>
          <cell r="AM67">
            <v>1</v>
          </cell>
          <cell r="AN67">
            <v>0</v>
          </cell>
          <cell r="AO67">
            <v>0</v>
          </cell>
          <cell r="AP67">
            <v>-0.16228070175438591</v>
          </cell>
          <cell r="AQ67">
            <v>-0.11738578680203049</v>
          </cell>
          <cell r="AR67">
            <v>0.95256916996047436</v>
          </cell>
          <cell r="AS67">
            <v>2</v>
          </cell>
          <cell r="AT67">
            <v>199</v>
          </cell>
          <cell r="AU67">
            <v>0</v>
          </cell>
          <cell r="AV67">
            <v>0</v>
          </cell>
          <cell r="AW67">
            <v>9</v>
          </cell>
          <cell r="AX67">
            <v>686</v>
          </cell>
          <cell r="AY67">
            <v>5</v>
          </cell>
          <cell r="AZ67">
            <v>430</v>
          </cell>
          <cell r="BA67">
            <v>9</v>
          </cell>
          <cell r="BB67">
            <v>769</v>
          </cell>
        </row>
        <row r="68">
          <cell r="C68" t="str">
            <v>La Quinta Inn &amp; Suites</v>
          </cell>
          <cell r="N68" t="str">
            <v>La Quinta Inn &amp; Suites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</row>
        <row r="69">
          <cell r="C69" t="str">
            <v>Little America</v>
          </cell>
          <cell r="N69" t="str">
            <v>Little America</v>
          </cell>
          <cell r="O69">
            <v>1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775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-1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-775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str">
            <v>-na-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 t="str">
            <v>-na-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1</v>
          </cell>
          <cell r="AT69">
            <v>775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</row>
        <row r="70">
          <cell r="C70" t="str">
            <v>Loews Hotel</v>
          </cell>
          <cell r="D70">
            <v>0</v>
          </cell>
          <cell r="E70">
            <v>1</v>
          </cell>
          <cell r="F70">
            <v>1</v>
          </cell>
          <cell r="G70">
            <v>2</v>
          </cell>
          <cell r="H70">
            <v>0</v>
          </cell>
          <cell r="I70">
            <v>0</v>
          </cell>
          <cell r="J70">
            <v>1000</v>
          </cell>
          <cell r="K70">
            <v>390</v>
          </cell>
          <cell r="L70">
            <v>1390</v>
          </cell>
          <cell r="M70">
            <v>0</v>
          </cell>
          <cell r="N70" t="str">
            <v>Loews Hotel</v>
          </cell>
          <cell r="O70">
            <v>1</v>
          </cell>
          <cell r="P70">
            <v>1</v>
          </cell>
          <cell r="Q70">
            <v>1</v>
          </cell>
          <cell r="R70">
            <v>2</v>
          </cell>
          <cell r="S70">
            <v>0</v>
          </cell>
          <cell r="T70">
            <v>650</v>
          </cell>
          <cell r="U70">
            <v>1000</v>
          </cell>
          <cell r="V70">
            <v>390</v>
          </cell>
          <cell r="W70">
            <v>1390</v>
          </cell>
          <cell r="X70">
            <v>0</v>
          </cell>
          <cell r="Y70">
            <v>-1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-650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str">
            <v>-na-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 t="str">
            <v>-na-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1</v>
          </cell>
          <cell r="AT70">
            <v>650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2</v>
          </cell>
          <cell r="BB70">
            <v>1390</v>
          </cell>
        </row>
        <row r="71">
          <cell r="C71" t="str">
            <v>MainStay Suites</v>
          </cell>
          <cell r="D71">
            <v>6</v>
          </cell>
          <cell r="E71">
            <v>1</v>
          </cell>
          <cell r="F71">
            <v>2</v>
          </cell>
          <cell r="G71">
            <v>3</v>
          </cell>
          <cell r="H71">
            <v>2</v>
          </cell>
          <cell r="I71">
            <v>384</v>
          </cell>
          <cell r="J71">
            <v>77</v>
          </cell>
          <cell r="K71">
            <v>174</v>
          </cell>
          <cell r="L71">
            <v>251</v>
          </cell>
          <cell r="M71">
            <v>164</v>
          </cell>
          <cell r="N71" t="str">
            <v>MainStay Suites</v>
          </cell>
          <cell r="O71">
            <v>5</v>
          </cell>
          <cell r="P71">
            <v>3</v>
          </cell>
          <cell r="Q71">
            <v>3</v>
          </cell>
          <cell r="R71">
            <v>6</v>
          </cell>
          <cell r="S71">
            <v>1</v>
          </cell>
          <cell r="T71">
            <v>323</v>
          </cell>
          <cell r="U71">
            <v>218</v>
          </cell>
          <cell r="V71">
            <v>248</v>
          </cell>
          <cell r="W71">
            <v>466</v>
          </cell>
          <cell r="X71">
            <v>90</v>
          </cell>
          <cell r="Y71">
            <v>1</v>
          </cell>
          <cell r="Z71">
            <v>-2</v>
          </cell>
          <cell r="AA71">
            <v>-1</v>
          </cell>
          <cell r="AB71">
            <v>-3</v>
          </cell>
          <cell r="AC71">
            <v>1</v>
          </cell>
          <cell r="AD71">
            <v>61</v>
          </cell>
          <cell r="AE71">
            <v>-141</v>
          </cell>
          <cell r="AF71">
            <v>-74</v>
          </cell>
          <cell r="AG71">
            <v>-215</v>
          </cell>
          <cell r="AH71">
            <v>74</v>
          </cell>
          <cell r="AI71">
            <v>0.19999999999999996</v>
          </cell>
          <cell r="AJ71">
            <v>-0.66666666666666674</v>
          </cell>
          <cell r="AK71">
            <v>-0.33333333333333337</v>
          </cell>
          <cell r="AL71">
            <v>-0.5</v>
          </cell>
          <cell r="AM71">
            <v>1</v>
          </cell>
          <cell r="AN71">
            <v>0.18885448916408665</v>
          </cell>
          <cell r="AO71">
            <v>-0.64678899082568808</v>
          </cell>
          <cell r="AP71">
            <v>-0.29838709677419351</v>
          </cell>
          <cell r="AQ71">
            <v>-0.46137339055793991</v>
          </cell>
          <cell r="AR71">
            <v>0.82222222222222219</v>
          </cell>
          <cell r="AS71">
            <v>5</v>
          </cell>
          <cell r="AT71">
            <v>323</v>
          </cell>
          <cell r="AU71">
            <v>2</v>
          </cell>
          <cell r="AV71">
            <v>137</v>
          </cell>
          <cell r="AW71">
            <v>1</v>
          </cell>
          <cell r="AX71">
            <v>77</v>
          </cell>
          <cell r="AY71">
            <v>2</v>
          </cell>
          <cell r="AZ71">
            <v>174</v>
          </cell>
          <cell r="BA71">
            <v>2</v>
          </cell>
          <cell r="BB71">
            <v>164</v>
          </cell>
        </row>
        <row r="72">
          <cell r="C72" t="str">
            <v>Marriott Hotel</v>
          </cell>
          <cell r="D72">
            <v>10</v>
          </cell>
          <cell r="E72">
            <v>17</v>
          </cell>
          <cell r="F72">
            <v>10</v>
          </cell>
          <cell r="G72">
            <v>27</v>
          </cell>
          <cell r="H72">
            <v>11</v>
          </cell>
          <cell r="I72">
            <v>2743</v>
          </cell>
          <cell r="J72">
            <v>6541</v>
          </cell>
          <cell r="K72">
            <v>3093</v>
          </cell>
          <cell r="L72">
            <v>9634</v>
          </cell>
          <cell r="M72">
            <v>4324</v>
          </cell>
          <cell r="N72" t="str">
            <v>Marriott Hotel</v>
          </cell>
          <cell r="O72">
            <v>10</v>
          </cell>
          <cell r="P72">
            <v>17</v>
          </cell>
          <cell r="Q72">
            <v>10</v>
          </cell>
          <cell r="R72">
            <v>27</v>
          </cell>
          <cell r="S72">
            <v>11</v>
          </cell>
          <cell r="T72">
            <v>3529</v>
          </cell>
          <cell r="U72">
            <v>6469</v>
          </cell>
          <cell r="V72">
            <v>3053</v>
          </cell>
          <cell r="W72">
            <v>9522</v>
          </cell>
          <cell r="X72">
            <v>4197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-786</v>
          </cell>
          <cell r="AE72">
            <v>72</v>
          </cell>
          <cell r="AF72">
            <v>40</v>
          </cell>
          <cell r="AG72">
            <v>112</v>
          </cell>
          <cell r="AH72">
            <v>127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-0.22272598469821481</v>
          </cell>
          <cell r="AO72">
            <v>1.1130004637502022E-2</v>
          </cell>
          <cell r="AP72">
            <v>1.3101867016049873E-2</v>
          </cell>
          <cell r="AQ72">
            <v>1.1762234824616691E-2</v>
          </cell>
          <cell r="AR72">
            <v>3.0259709316178274E-2</v>
          </cell>
          <cell r="AS72">
            <v>10</v>
          </cell>
          <cell r="AT72">
            <v>3529</v>
          </cell>
          <cell r="AU72">
            <v>2</v>
          </cell>
          <cell r="AV72">
            <v>579</v>
          </cell>
          <cell r="AW72">
            <v>7</v>
          </cell>
          <cell r="AX72">
            <v>1885</v>
          </cell>
          <cell r="AY72">
            <v>8</v>
          </cell>
          <cell r="AZ72">
            <v>3406</v>
          </cell>
          <cell r="BA72">
            <v>23</v>
          </cell>
          <cell r="BB72">
            <v>8667</v>
          </cell>
        </row>
        <row r="73">
          <cell r="C73" t="str">
            <v>Meridien Hotel</v>
          </cell>
          <cell r="D73">
            <v>1</v>
          </cell>
          <cell r="E73">
            <v>1</v>
          </cell>
          <cell r="F73">
            <v>0</v>
          </cell>
          <cell r="G73">
            <v>1</v>
          </cell>
          <cell r="H73">
            <v>0</v>
          </cell>
          <cell r="I73">
            <v>311</v>
          </cell>
          <cell r="J73">
            <v>256</v>
          </cell>
          <cell r="K73">
            <v>0</v>
          </cell>
          <cell r="L73">
            <v>256</v>
          </cell>
          <cell r="M73">
            <v>0</v>
          </cell>
          <cell r="N73" t="str">
            <v>Meridien Hotel</v>
          </cell>
          <cell r="O73">
            <v>1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311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1</v>
          </cell>
          <cell r="AA73">
            <v>0</v>
          </cell>
          <cell r="AB73">
            <v>1</v>
          </cell>
          <cell r="AC73">
            <v>0</v>
          </cell>
          <cell r="AD73">
            <v>0</v>
          </cell>
          <cell r="AE73">
            <v>256</v>
          </cell>
          <cell r="AF73">
            <v>0</v>
          </cell>
          <cell r="AG73">
            <v>256</v>
          </cell>
          <cell r="AH73">
            <v>0</v>
          </cell>
          <cell r="AI73">
            <v>0</v>
          </cell>
          <cell r="AJ73" t="str">
            <v>-na-</v>
          </cell>
          <cell r="AK73">
            <v>0</v>
          </cell>
          <cell r="AL73" t="str">
            <v>-na-</v>
          </cell>
          <cell r="AM73">
            <v>0</v>
          </cell>
          <cell r="AN73">
            <v>0</v>
          </cell>
          <cell r="AO73" t="str">
            <v>-na-</v>
          </cell>
          <cell r="AP73">
            <v>0</v>
          </cell>
          <cell r="AQ73" t="str">
            <v>-na-</v>
          </cell>
          <cell r="AR73">
            <v>0</v>
          </cell>
          <cell r="AS73">
            <v>1</v>
          </cell>
          <cell r="AT73">
            <v>311</v>
          </cell>
          <cell r="AU73">
            <v>0</v>
          </cell>
          <cell r="AV73">
            <v>0</v>
          </cell>
          <cell r="AW73">
            <v>1</v>
          </cell>
          <cell r="AX73">
            <v>256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</row>
        <row r="74">
          <cell r="C74" t="str">
            <v>Microtel Inn</v>
          </cell>
          <cell r="D74">
            <v>33</v>
          </cell>
          <cell r="E74">
            <v>11</v>
          </cell>
          <cell r="F74">
            <v>42</v>
          </cell>
          <cell r="G74">
            <v>53</v>
          </cell>
          <cell r="H74">
            <v>48</v>
          </cell>
          <cell r="I74">
            <v>2162</v>
          </cell>
          <cell r="J74">
            <v>696</v>
          </cell>
          <cell r="K74">
            <v>3108</v>
          </cell>
          <cell r="L74">
            <v>3804</v>
          </cell>
          <cell r="M74">
            <v>3247</v>
          </cell>
          <cell r="N74" t="str">
            <v>Microtel Inn</v>
          </cell>
          <cell r="O74">
            <v>41</v>
          </cell>
          <cell r="P74">
            <v>11</v>
          </cell>
          <cell r="Q74">
            <v>49</v>
          </cell>
          <cell r="R74">
            <v>60</v>
          </cell>
          <cell r="S74">
            <v>60</v>
          </cell>
          <cell r="T74">
            <v>2674</v>
          </cell>
          <cell r="U74">
            <v>725</v>
          </cell>
          <cell r="V74">
            <v>3482</v>
          </cell>
          <cell r="W74">
            <v>4207</v>
          </cell>
          <cell r="X74">
            <v>4281</v>
          </cell>
          <cell r="Y74">
            <v>-8</v>
          </cell>
          <cell r="Z74">
            <v>0</v>
          </cell>
          <cell r="AA74">
            <v>-7</v>
          </cell>
          <cell r="AB74">
            <v>-7</v>
          </cell>
          <cell r="AC74">
            <v>-12</v>
          </cell>
          <cell r="AD74">
            <v>-512</v>
          </cell>
          <cell r="AE74">
            <v>-29</v>
          </cell>
          <cell r="AF74">
            <v>-374</v>
          </cell>
          <cell r="AG74">
            <v>-403</v>
          </cell>
          <cell r="AH74">
            <v>-1034</v>
          </cell>
          <cell r="AI74">
            <v>-0.19512195121951215</v>
          </cell>
          <cell r="AJ74">
            <v>0</v>
          </cell>
          <cell r="AK74">
            <v>-0.1428571428571429</v>
          </cell>
          <cell r="AL74">
            <v>-0.1166666666666667</v>
          </cell>
          <cell r="AM74">
            <v>-0.19999999999999996</v>
          </cell>
          <cell r="AN74">
            <v>-0.19147344801795063</v>
          </cell>
          <cell r="AO74">
            <v>-4.0000000000000036E-2</v>
          </cell>
          <cell r="AP74">
            <v>-0.10740953475014359</v>
          </cell>
          <cell r="AQ74">
            <v>-9.5792726408367002E-2</v>
          </cell>
          <cell r="AR74">
            <v>-0.24153235225414627</v>
          </cell>
          <cell r="AS74">
            <v>41</v>
          </cell>
          <cell r="AT74">
            <v>2674</v>
          </cell>
          <cell r="AU74">
            <v>4</v>
          </cell>
          <cell r="AV74">
            <v>308</v>
          </cell>
          <cell r="AW74">
            <v>13</v>
          </cell>
          <cell r="AX74">
            <v>821</v>
          </cell>
          <cell r="AY74">
            <v>30</v>
          </cell>
          <cell r="AZ74">
            <v>2025</v>
          </cell>
          <cell r="BA74">
            <v>58</v>
          </cell>
          <cell r="BB74">
            <v>4205</v>
          </cell>
        </row>
        <row r="75">
          <cell r="C75" t="str">
            <v>Motel 6</v>
          </cell>
          <cell r="D75">
            <v>12</v>
          </cell>
          <cell r="E75">
            <v>1</v>
          </cell>
          <cell r="F75">
            <v>2</v>
          </cell>
          <cell r="G75">
            <v>3</v>
          </cell>
          <cell r="H75">
            <v>0</v>
          </cell>
          <cell r="I75">
            <v>599</v>
          </cell>
          <cell r="J75">
            <v>63</v>
          </cell>
          <cell r="K75">
            <v>214</v>
          </cell>
          <cell r="L75">
            <v>277</v>
          </cell>
          <cell r="M75">
            <v>0</v>
          </cell>
          <cell r="N75" t="str">
            <v>Motel 6</v>
          </cell>
          <cell r="O75">
            <v>13</v>
          </cell>
          <cell r="P75">
            <v>1</v>
          </cell>
          <cell r="Q75">
            <v>1</v>
          </cell>
          <cell r="R75">
            <v>2</v>
          </cell>
          <cell r="S75">
            <v>0</v>
          </cell>
          <cell r="T75">
            <v>721</v>
          </cell>
          <cell r="U75">
            <v>63</v>
          </cell>
          <cell r="V75">
            <v>149</v>
          </cell>
          <cell r="W75">
            <v>212</v>
          </cell>
          <cell r="X75">
            <v>0</v>
          </cell>
          <cell r="Y75">
            <v>-1</v>
          </cell>
          <cell r="Z75">
            <v>0</v>
          </cell>
          <cell r="AA75">
            <v>1</v>
          </cell>
          <cell r="AB75">
            <v>1</v>
          </cell>
          <cell r="AC75">
            <v>0</v>
          </cell>
          <cell r="AD75">
            <v>-122</v>
          </cell>
          <cell r="AE75">
            <v>0</v>
          </cell>
          <cell r="AF75">
            <v>65</v>
          </cell>
          <cell r="AG75">
            <v>65</v>
          </cell>
          <cell r="AH75">
            <v>0</v>
          </cell>
          <cell r="AI75">
            <v>-7.6923076923076872E-2</v>
          </cell>
          <cell r="AJ75">
            <v>0</v>
          </cell>
          <cell r="AK75">
            <v>1</v>
          </cell>
          <cell r="AL75">
            <v>0.5</v>
          </cell>
          <cell r="AM75">
            <v>0</v>
          </cell>
          <cell r="AN75">
            <v>-0.16920943134535371</v>
          </cell>
          <cell r="AO75">
            <v>0</v>
          </cell>
          <cell r="AP75">
            <v>0.43624161073825496</v>
          </cell>
          <cell r="AQ75">
            <v>0.30660377358490565</v>
          </cell>
          <cell r="AR75">
            <v>0</v>
          </cell>
          <cell r="AS75">
            <v>13</v>
          </cell>
          <cell r="AT75">
            <v>721</v>
          </cell>
          <cell r="AU75">
            <v>0</v>
          </cell>
          <cell r="AV75">
            <v>0</v>
          </cell>
          <cell r="AW75">
            <v>1</v>
          </cell>
          <cell r="AX75">
            <v>63</v>
          </cell>
          <cell r="AY75">
            <v>2</v>
          </cell>
          <cell r="AZ75">
            <v>214</v>
          </cell>
          <cell r="BA75">
            <v>0</v>
          </cell>
          <cell r="BB75">
            <v>0</v>
          </cell>
        </row>
        <row r="76">
          <cell r="C76" t="str">
            <v>Omni Hotel</v>
          </cell>
          <cell r="D76">
            <v>1</v>
          </cell>
          <cell r="E76">
            <v>1</v>
          </cell>
          <cell r="F76">
            <v>1</v>
          </cell>
          <cell r="G76">
            <v>2</v>
          </cell>
          <cell r="H76">
            <v>0</v>
          </cell>
          <cell r="I76">
            <v>362</v>
          </cell>
          <cell r="J76">
            <v>593</v>
          </cell>
          <cell r="K76">
            <v>732</v>
          </cell>
          <cell r="L76">
            <v>1325</v>
          </cell>
          <cell r="M76">
            <v>0</v>
          </cell>
          <cell r="N76" t="str">
            <v>Omni Hotel</v>
          </cell>
          <cell r="O76">
            <v>0</v>
          </cell>
          <cell r="P76">
            <v>1</v>
          </cell>
          <cell r="Q76">
            <v>2</v>
          </cell>
          <cell r="R76">
            <v>3</v>
          </cell>
          <cell r="S76">
            <v>0</v>
          </cell>
          <cell r="T76">
            <v>0</v>
          </cell>
          <cell r="U76">
            <v>362</v>
          </cell>
          <cell r="V76">
            <v>1325</v>
          </cell>
          <cell r="W76">
            <v>1687</v>
          </cell>
          <cell r="X76">
            <v>0</v>
          </cell>
          <cell r="Y76">
            <v>1</v>
          </cell>
          <cell r="Z76">
            <v>0</v>
          </cell>
          <cell r="AA76">
            <v>-1</v>
          </cell>
          <cell r="AB76">
            <v>-1</v>
          </cell>
          <cell r="AC76">
            <v>0</v>
          </cell>
          <cell r="AD76">
            <v>362</v>
          </cell>
          <cell r="AE76">
            <v>231</v>
          </cell>
          <cell r="AF76">
            <v>-593</v>
          </cell>
          <cell r="AG76">
            <v>-362</v>
          </cell>
          <cell r="AH76">
            <v>0</v>
          </cell>
          <cell r="AI76" t="str">
            <v>-na-</v>
          </cell>
          <cell r="AJ76">
            <v>0</v>
          </cell>
          <cell r="AK76">
            <v>-0.5</v>
          </cell>
          <cell r="AL76">
            <v>-0.33333333333333337</v>
          </cell>
          <cell r="AM76">
            <v>0</v>
          </cell>
          <cell r="AN76" t="str">
            <v>-na-</v>
          </cell>
          <cell r="AO76">
            <v>0.63812154696132595</v>
          </cell>
          <cell r="AP76">
            <v>-0.4475471698113207</v>
          </cell>
          <cell r="AQ76">
            <v>-0.2145820983995258</v>
          </cell>
          <cell r="AR76">
            <v>0</v>
          </cell>
          <cell r="AS76">
            <v>0</v>
          </cell>
          <cell r="AT76">
            <v>0</v>
          </cell>
          <cell r="AU76">
            <v>1</v>
          </cell>
          <cell r="AV76">
            <v>362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2</v>
          </cell>
          <cell r="BB76">
            <v>1325</v>
          </cell>
        </row>
        <row r="77">
          <cell r="C77" t="str">
            <v>Outrigger</v>
          </cell>
          <cell r="N77" t="str">
            <v>Outrigger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</row>
        <row r="78">
          <cell r="C78" t="str">
            <v>Park Inn</v>
          </cell>
          <cell r="D78">
            <v>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62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 t="str">
            <v>Park Inn</v>
          </cell>
          <cell r="O78">
            <v>1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62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1</v>
          </cell>
          <cell r="AT78">
            <v>62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</row>
        <row r="79">
          <cell r="C79" t="str">
            <v>Quality Inn</v>
          </cell>
          <cell r="D79">
            <v>4</v>
          </cell>
          <cell r="E79">
            <v>6</v>
          </cell>
          <cell r="F79">
            <v>7</v>
          </cell>
          <cell r="G79">
            <v>13</v>
          </cell>
          <cell r="H79">
            <v>10</v>
          </cell>
          <cell r="I79">
            <v>307</v>
          </cell>
          <cell r="J79">
            <v>401</v>
          </cell>
          <cell r="K79">
            <v>618</v>
          </cell>
          <cell r="L79">
            <v>1019</v>
          </cell>
          <cell r="M79">
            <v>707</v>
          </cell>
          <cell r="N79" t="str">
            <v>Quality Inn</v>
          </cell>
          <cell r="O79">
            <v>5</v>
          </cell>
          <cell r="P79">
            <v>7</v>
          </cell>
          <cell r="Q79">
            <v>5</v>
          </cell>
          <cell r="R79">
            <v>12</v>
          </cell>
          <cell r="S79">
            <v>13</v>
          </cell>
          <cell r="T79">
            <v>373</v>
          </cell>
          <cell r="U79">
            <v>441</v>
          </cell>
          <cell r="V79">
            <v>440</v>
          </cell>
          <cell r="W79">
            <v>881</v>
          </cell>
          <cell r="X79">
            <v>946</v>
          </cell>
          <cell r="Y79">
            <v>-1</v>
          </cell>
          <cell r="Z79">
            <v>-1</v>
          </cell>
          <cell r="AA79">
            <v>2</v>
          </cell>
          <cell r="AB79">
            <v>1</v>
          </cell>
          <cell r="AC79">
            <v>-3</v>
          </cell>
          <cell r="AD79">
            <v>-66</v>
          </cell>
          <cell r="AE79">
            <v>-40</v>
          </cell>
          <cell r="AF79">
            <v>178</v>
          </cell>
          <cell r="AG79">
            <v>138</v>
          </cell>
          <cell r="AH79">
            <v>-239</v>
          </cell>
          <cell r="AI79">
            <v>-0.19999999999999996</v>
          </cell>
          <cell r="AJ79">
            <v>-0.1428571428571429</v>
          </cell>
          <cell r="AK79">
            <v>0.39999999999999991</v>
          </cell>
          <cell r="AL79">
            <v>8.3333333333333259E-2</v>
          </cell>
          <cell r="AM79">
            <v>-0.23076923076923073</v>
          </cell>
          <cell r="AN79">
            <v>-0.17694369973190349</v>
          </cell>
          <cell r="AO79">
            <v>-9.0702947845805015E-2</v>
          </cell>
          <cell r="AP79">
            <v>0.40454545454545454</v>
          </cell>
          <cell r="AQ79">
            <v>0.15664018161180482</v>
          </cell>
          <cell r="AR79">
            <v>-0.2526427061310782</v>
          </cell>
          <cell r="AS79">
            <v>5</v>
          </cell>
          <cell r="AT79">
            <v>373</v>
          </cell>
          <cell r="AU79">
            <v>2</v>
          </cell>
          <cell r="AV79">
            <v>145</v>
          </cell>
          <cell r="AW79">
            <v>6</v>
          </cell>
          <cell r="AX79">
            <v>401</v>
          </cell>
          <cell r="AY79">
            <v>5</v>
          </cell>
          <cell r="AZ79">
            <v>382</v>
          </cell>
          <cell r="BA79">
            <v>12</v>
          </cell>
          <cell r="BB79">
            <v>943</v>
          </cell>
        </row>
        <row r="80">
          <cell r="C80" t="str">
            <v>Quality Suites</v>
          </cell>
          <cell r="D80">
            <v>6</v>
          </cell>
          <cell r="E80">
            <v>1</v>
          </cell>
          <cell r="F80">
            <v>0</v>
          </cell>
          <cell r="G80">
            <v>1</v>
          </cell>
          <cell r="H80">
            <v>2</v>
          </cell>
          <cell r="I80">
            <v>455</v>
          </cell>
          <cell r="J80">
            <v>72</v>
          </cell>
          <cell r="K80">
            <v>0</v>
          </cell>
          <cell r="L80">
            <v>72</v>
          </cell>
          <cell r="M80">
            <v>144</v>
          </cell>
          <cell r="N80" t="str">
            <v>Quality Suites</v>
          </cell>
          <cell r="O80">
            <v>4</v>
          </cell>
          <cell r="P80">
            <v>2</v>
          </cell>
          <cell r="Q80">
            <v>0</v>
          </cell>
          <cell r="R80">
            <v>2</v>
          </cell>
          <cell r="S80">
            <v>1</v>
          </cell>
          <cell r="T80">
            <v>330</v>
          </cell>
          <cell r="U80">
            <v>137</v>
          </cell>
          <cell r="V80">
            <v>0</v>
          </cell>
          <cell r="W80">
            <v>137</v>
          </cell>
          <cell r="X80">
            <v>90</v>
          </cell>
          <cell r="Y80">
            <v>2</v>
          </cell>
          <cell r="Z80">
            <v>-1</v>
          </cell>
          <cell r="AA80">
            <v>0</v>
          </cell>
          <cell r="AB80">
            <v>-1</v>
          </cell>
          <cell r="AC80">
            <v>1</v>
          </cell>
          <cell r="AD80">
            <v>125</v>
          </cell>
          <cell r="AE80">
            <v>-65</v>
          </cell>
          <cell r="AF80">
            <v>0</v>
          </cell>
          <cell r="AG80">
            <v>-65</v>
          </cell>
          <cell r="AH80">
            <v>54</v>
          </cell>
          <cell r="AI80">
            <v>0.5</v>
          </cell>
          <cell r="AJ80">
            <v>-0.5</v>
          </cell>
          <cell r="AK80">
            <v>0</v>
          </cell>
          <cell r="AL80">
            <v>-0.5</v>
          </cell>
          <cell r="AM80">
            <v>1</v>
          </cell>
          <cell r="AN80">
            <v>0.3787878787878789</v>
          </cell>
          <cell r="AO80">
            <v>-0.47445255474452552</v>
          </cell>
          <cell r="AP80">
            <v>0</v>
          </cell>
          <cell r="AQ80">
            <v>-0.47445255474452552</v>
          </cell>
          <cell r="AR80">
            <v>0.60000000000000009</v>
          </cell>
          <cell r="AS80">
            <v>4</v>
          </cell>
          <cell r="AT80">
            <v>330</v>
          </cell>
          <cell r="AU80">
            <v>2</v>
          </cell>
          <cell r="AV80">
            <v>125</v>
          </cell>
          <cell r="AW80">
            <v>1</v>
          </cell>
          <cell r="AX80">
            <v>72</v>
          </cell>
          <cell r="AY80">
            <v>0</v>
          </cell>
          <cell r="AZ80">
            <v>0</v>
          </cell>
          <cell r="BA80">
            <v>2</v>
          </cell>
          <cell r="BB80">
            <v>144</v>
          </cell>
        </row>
        <row r="81">
          <cell r="C81" t="str">
            <v>Radisson Hotel</v>
          </cell>
          <cell r="D81">
            <v>3</v>
          </cell>
          <cell r="E81">
            <v>3</v>
          </cell>
          <cell r="F81">
            <v>2</v>
          </cell>
          <cell r="G81">
            <v>5</v>
          </cell>
          <cell r="H81">
            <v>2</v>
          </cell>
          <cell r="I81">
            <v>582</v>
          </cell>
          <cell r="J81">
            <v>768</v>
          </cell>
          <cell r="K81">
            <v>496</v>
          </cell>
          <cell r="L81">
            <v>1264</v>
          </cell>
          <cell r="M81">
            <v>260</v>
          </cell>
          <cell r="N81" t="str">
            <v>Radisson Hotel</v>
          </cell>
          <cell r="O81">
            <v>2</v>
          </cell>
          <cell r="P81">
            <v>5</v>
          </cell>
          <cell r="Q81">
            <v>2</v>
          </cell>
          <cell r="R81">
            <v>7</v>
          </cell>
          <cell r="S81">
            <v>2</v>
          </cell>
          <cell r="T81">
            <v>324</v>
          </cell>
          <cell r="U81">
            <v>1146</v>
          </cell>
          <cell r="V81">
            <v>496</v>
          </cell>
          <cell r="W81">
            <v>1642</v>
          </cell>
          <cell r="X81">
            <v>260</v>
          </cell>
          <cell r="Y81">
            <v>1</v>
          </cell>
          <cell r="Z81">
            <v>-2</v>
          </cell>
          <cell r="AA81">
            <v>0</v>
          </cell>
          <cell r="AB81">
            <v>-2</v>
          </cell>
          <cell r="AC81">
            <v>0</v>
          </cell>
          <cell r="AD81">
            <v>258</v>
          </cell>
          <cell r="AE81">
            <v>-378</v>
          </cell>
          <cell r="AF81">
            <v>0</v>
          </cell>
          <cell r="AG81">
            <v>-378</v>
          </cell>
          <cell r="AH81">
            <v>0</v>
          </cell>
          <cell r="AI81">
            <v>0.5</v>
          </cell>
          <cell r="AJ81">
            <v>-0.4</v>
          </cell>
          <cell r="AK81">
            <v>0</v>
          </cell>
          <cell r="AL81">
            <v>-0.2857142857142857</v>
          </cell>
          <cell r="AM81">
            <v>0</v>
          </cell>
          <cell r="AN81">
            <v>0.79629629629629628</v>
          </cell>
          <cell r="AO81">
            <v>-0.32984293193717273</v>
          </cell>
          <cell r="AP81">
            <v>0</v>
          </cell>
          <cell r="AQ81">
            <v>-0.23020706455542017</v>
          </cell>
          <cell r="AR81">
            <v>0</v>
          </cell>
          <cell r="AS81">
            <v>2</v>
          </cell>
          <cell r="AT81">
            <v>324</v>
          </cell>
          <cell r="AU81">
            <v>2</v>
          </cell>
          <cell r="AV81">
            <v>377</v>
          </cell>
          <cell r="AW81">
            <v>1</v>
          </cell>
          <cell r="AX81">
            <v>156</v>
          </cell>
          <cell r="AY81">
            <v>2</v>
          </cell>
          <cell r="AZ81">
            <v>612</v>
          </cell>
          <cell r="BA81">
            <v>4</v>
          </cell>
          <cell r="BB81">
            <v>756</v>
          </cell>
        </row>
        <row r="82">
          <cell r="C82" t="str">
            <v>Ramada</v>
          </cell>
          <cell r="D82">
            <v>2</v>
          </cell>
          <cell r="E82">
            <v>3</v>
          </cell>
          <cell r="F82">
            <v>1</v>
          </cell>
          <cell r="G82">
            <v>4</v>
          </cell>
          <cell r="H82">
            <v>5</v>
          </cell>
          <cell r="I82">
            <v>333</v>
          </cell>
          <cell r="J82">
            <v>448</v>
          </cell>
          <cell r="K82">
            <v>150</v>
          </cell>
          <cell r="L82">
            <v>598</v>
          </cell>
          <cell r="M82">
            <v>957</v>
          </cell>
          <cell r="N82" t="str">
            <v>Ramada Inn</v>
          </cell>
          <cell r="O82">
            <v>3</v>
          </cell>
          <cell r="P82">
            <v>3</v>
          </cell>
          <cell r="Q82">
            <v>1</v>
          </cell>
          <cell r="R82">
            <v>4</v>
          </cell>
          <cell r="S82">
            <v>6</v>
          </cell>
          <cell r="T82">
            <v>478</v>
          </cell>
          <cell r="U82">
            <v>352</v>
          </cell>
          <cell r="V82">
            <v>150</v>
          </cell>
          <cell r="W82">
            <v>502</v>
          </cell>
          <cell r="X82">
            <v>1223</v>
          </cell>
          <cell r="Y82">
            <v>-1</v>
          </cell>
          <cell r="Z82">
            <v>0</v>
          </cell>
          <cell r="AA82">
            <v>0</v>
          </cell>
          <cell r="AB82">
            <v>0</v>
          </cell>
          <cell r="AC82">
            <v>-1</v>
          </cell>
          <cell r="AD82">
            <v>-145</v>
          </cell>
          <cell r="AE82">
            <v>96</v>
          </cell>
          <cell r="AF82">
            <v>0</v>
          </cell>
          <cell r="AG82">
            <v>96</v>
          </cell>
          <cell r="AH82">
            <v>-266</v>
          </cell>
          <cell r="AI82">
            <v>-0.33333333333333337</v>
          </cell>
          <cell r="AJ82">
            <v>0</v>
          </cell>
          <cell r="AK82">
            <v>0</v>
          </cell>
          <cell r="AL82">
            <v>0</v>
          </cell>
          <cell r="AM82">
            <v>-0.16666666666666663</v>
          </cell>
          <cell r="AN82">
            <v>-0.30334728033472802</v>
          </cell>
          <cell r="AO82">
            <v>0.27272727272727271</v>
          </cell>
          <cell r="AP82">
            <v>0</v>
          </cell>
          <cell r="AQ82">
            <v>0.19123505976095623</v>
          </cell>
          <cell r="AR82">
            <v>-0.21749795584627962</v>
          </cell>
          <cell r="AS82">
            <v>3</v>
          </cell>
          <cell r="AT82">
            <v>478</v>
          </cell>
          <cell r="AU82">
            <v>1</v>
          </cell>
          <cell r="AV82">
            <v>116</v>
          </cell>
          <cell r="AW82">
            <v>2</v>
          </cell>
          <cell r="AX82">
            <v>234</v>
          </cell>
          <cell r="AY82">
            <v>2</v>
          </cell>
          <cell r="AZ82">
            <v>364</v>
          </cell>
          <cell r="BA82">
            <v>5</v>
          </cell>
          <cell r="BB82">
            <v>957</v>
          </cell>
        </row>
        <row r="83">
          <cell r="C83" t="str">
            <v>Ramada Limited</v>
          </cell>
          <cell r="D83">
            <v>6</v>
          </cell>
          <cell r="E83">
            <v>0</v>
          </cell>
          <cell r="F83">
            <v>1</v>
          </cell>
          <cell r="G83">
            <v>1</v>
          </cell>
          <cell r="H83">
            <v>7</v>
          </cell>
          <cell r="I83">
            <v>347</v>
          </cell>
          <cell r="J83">
            <v>0</v>
          </cell>
          <cell r="K83">
            <v>95</v>
          </cell>
          <cell r="L83">
            <v>95</v>
          </cell>
          <cell r="M83">
            <v>810</v>
          </cell>
          <cell r="N83" t="str">
            <v>Ramada Limited</v>
          </cell>
          <cell r="O83">
            <v>8</v>
          </cell>
          <cell r="P83">
            <v>1</v>
          </cell>
          <cell r="Q83">
            <v>2</v>
          </cell>
          <cell r="R83">
            <v>3</v>
          </cell>
          <cell r="S83">
            <v>7</v>
          </cell>
          <cell r="T83">
            <v>458</v>
          </cell>
          <cell r="U83">
            <v>60</v>
          </cell>
          <cell r="V83">
            <v>157</v>
          </cell>
          <cell r="W83">
            <v>217</v>
          </cell>
          <cell r="X83">
            <v>940</v>
          </cell>
          <cell r="Y83">
            <v>-2</v>
          </cell>
          <cell r="Z83">
            <v>-1</v>
          </cell>
          <cell r="AA83">
            <v>-1</v>
          </cell>
          <cell r="AB83">
            <v>-2</v>
          </cell>
          <cell r="AC83">
            <v>0</v>
          </cell>
          <cell r="AD83">
            <v>-111</v>
          </cell>
          <cell r="AE83">
            <v>-60</v>
          </cell>
          <cell r="AF83">
            <v>-62</v>
          </cell>
          <cell r="AG83">
            <v>-122</v>
          </cell>
          <cell r="AH83">
            <v>-130</v>
          </cell>
          <cell r="AI83">
            <v>-0.25</v>
          </cell>
          <cell r="AJ83" t="str">
            <v>-na-</v>
          </cell>
          <cell r="AK83">
            <v>-0.5</v>
          </cell>
          <cell r="AL83">
            <v>-0.66666666666666674</v>
          </cell>
          <cell r="AM83">
            <v>0</v>
          </cell>
          <cell r="AN83">
            <v>-0.24235807860262004</v>
          </cell>
          <cell r="AO83" t="str">
            <v>-na-</v>
          </cell>
          <cell r="AP83">
            <v>-0.39490445859872614</v>
          </cell>
          <cell r="AQ83">
            <v>-0.56221198156682028</v>
          </cell>
          <cell r="AR83">
            <v>-0.13829787234042556</v>
          </cell>
          <cell r="AS83">
            <v>8</v>
          </cell>
          <cell r="AT83">
            <v>458</v>
          </cell>
          <cell r="AU83">
            <v>1</v>
          </cell>
          <cell r="AV83">
            <v>56</v>
          </cell>
          <cell r="AW83">
            <v>0</v>
          </cell>
          <cell r="AX83">
            <v>0</v>
          </cell>
          <cell r="AY83">
            <v>1</v>
          </cell>
          <cell r="AZ83">
            <v>95</v>
          </cell>
          <cell r="BA83">
            <v>7</v>
          </cell>
          <cell r="BB83">
            <v>810</v>
          </cell>
        </row>
        <row r="84">
          <cell r="C84" t="str">
            <v>Red Carpet Inn</v>
          </cell>
          <cell r="D84">
            <v>1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28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 t="str">
            <v>Red Carpet Inn</v>
          </cell>
          <cell r="O84">
            <v>1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28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1</v>
          </cell>
          <cell r="AT84">
            <v>28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</row>
        <row r="85">
          <cell r="C85" t="str">
            <v>Red Lion</v>
          </cell>
          <cell r="N85" t="str">
            <v>Red Lion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</row>
        <row r="86">
          <cell r="C86" t="str">
            <v>Red Roof Inn</v>
          </cell>
          <cell r="D86">
            <v>8</v>
          </cell>
          <cell r="E86">
            <v>3</v>
          </cell>
          <cell r="F86">
            <v>0</v>
          </cell>
          <cell r="G86">
            <v>3</v>
          </cell>
          <cell r="H86">
            <v>1</v>
          </cell>
          <cell r="I86">
            <v>597</v>
          </cell>
          <cell r="J86">
            <v>350</v>
          </cell>
          <cell r="K86">
            <v>0</v>
          </cell>
          <cell r="L86">
            <v>350</v>
          </cell>
          <cell r="M86">
            <v>100</v>
          </cell>
          <cell r="N86" t="str">
            <v>Red Roof Inn</v>
          </cell>
          <cell r="O86">
            <v>9</v>
          </cell>
          <cell r="P86">
            <v>4</v>
          </cell>
          <cell r="Q86">
            <v>0</v>
          </cell>
          <cell r="R86">
            <v>4</v>
          </cell>
          <cell r="S86">
            <v>1</v>
          </cell>
          <cell r="T86">
            <v>612</v>
          </cell>
          <cell r="U86">
            <v>436</v>
          </cell>
          <cell r="V86">
            <v>0</v>
          </cell>
          <cell r="W86">
            <v>436</v>
          </cell>
          <cell r="X86">
            <v>100</v>
          </cell>
          <cell r="Y86">
            <v>-1</v>
          </cell>
          <cell r="Z86">
            <v>-1</v>
          </cell>
          <cell r="AA86">
            <v>0</v>
          </cell>
          <cell r="AB86">
            <v>-1</v>
          </cell>
          <cell r="AC86">
            <v>0</v>
          </cell>
          <cell r="AD86">
            <v>-15</v>
          </cell>
          <cell r="AE86">
            <v>-86</v>
          </cell>
          <cell r="AF86">
            <v>0</v>
          </cell>
          <cell r="AG86">
            <v>-86</v>
          </cell>
          <cell r="AH86">
            <v>0</v>
          </cell>
          <cell r="AI86">
            <v>-0.11111111111111116</v>
          </cell>
          <cell r="AJ86">
            <v>-0.25</v>
          </cell>
          <cell r="AK86">
            <v>0</v>
          </cell>
          <cell r="AL86">
            <v>-0.25</v>
          </cell>
          <cell r="AM86">
            <v>0</v>
          </cell>
          <cell r="AN86">
            <v>-2.4509803921568651E-2</v>
          </cell>
          <cell r="AO86">
            <v>-0.19724770642201839</v>
          </cell>
          <cell r="AP86">
            <v>0</v>
          </cell>
          <cell r="AQ86">
            <v>-0.19724770642201839</v>
          </cell>
          <cell r="AR86">
            <v>0</v>
          </cell>
          <cell r="AS86">
            <v>9</v>
          </cell>
          <cell r="AT86">
            <v>612</v>
          </cell>
          <cell r="AU86">
            <v>1</v>
          </cell>
          <cell r="AV86">
            <v>86</v>
          </cell>
          <cell r="AW86">
            <v>3</v>
          </cell>
          <cell r="AX86">
            <v>350</v>
          </cell>
          <cell r="AY86">
            <v>0</v>
          </cell>
          <cell r="AZ86">
            <v>0</v>
          </cell>
          <cell r="BA86">
            <v>1</v>
          </cell>
          <cell r="BB86">
            <v>100</v>
          </cell>
        </row>
        <row r="87">
          <cell r="C87" t="str">
            <v>Renaissance Hotel</v>
          </cell>
          <cell r="D87">
            <v>4</v>
          </cell>
          <cell r="E87">
            <v>7</v>
          </cell>
          <cell r="F87">
            <v>5</v>
          </cell>
          <cell r="G87">
            <v>12</v>
          </cell>
          <cell r="H87">
            <v>2</v>
          </cell>
          <cell r="I87">
            <v>1090</v>
          </cell>
          <cell r="J87">
            <v>2399</v>
          </cell>
          <cell r="K87">
            <v>1372</v>
          </cell>
          <cell r="L87">
            <v>3771</v>
          </cell>
          <cell r="M87">
            <v>730</v>
          </cell>
          <cell r="N87" t="str">
            <v>Renaissance Hotel</v>
          </cell>
          <cell r="O87">
            <v>8</v>
          </cell>
          <cell r="P87">
            <v>8</v>
          </cell>
          <cell r="Q87">
            <v>3</v>
          </cell>
          <cell r="R87">
            <v>11</v>
          </cell>
          <cell r="S87">
            <v>0</v>
          </cell>
          <cell r="T87">
            <v>1988</v>
          </cell>
          <cell r="U87">
            <v>2653</v>
          </cell>
          <cell r="V87">
            <v>731</v>
          </cell>
          <cell r="W87">
            <v>3384</v>
          </cell>
          <cell r="X87">
            <v>0</v>
          </cell>
          <cell r="Y87">
            <v>-4</v>
          </cell>
          <cell r="Z87">
            <v>-1</v>
          </cell>
          <cell r="AA87">
            <v>2</v>
          </cell>
          <cell r="AB87">
            <v>1</v>
          </cell>
          <cell r="AC87">
            <v>2</v>
          </cell>
          <cell r="AD87">
            <v>-898</v>
          </cell>
          <cell r="AE87">
            <v>-254</v>
          </cell>
          <cell r="AF87">
            <v>641</v>
          </cell>
          <cell r="AG87">
            <v>387</v>
          </cell>
          <cell r="AH87">
            <v>730</v>
          </cell>
          <cell r="AI87">
            <v>-0.5</v>
          </cell>
          <cell r="AJ87">
            <v>-0.125</v>
          </cell>
          <cell r="AK87">
            <v>0.66666666666666674</v>
          </cell>
          <cell r="AL87">
            <v>9.0909090909090828E-2</v>
          </cell>
          <cell r="AM87" t="str">
            <v>-na-</v>
          </cell>
          <cell r="AN87">
            <v>-0.45171026156941652</v>
          </cell>
          <cell r="AO87">
            <v>-9.5740670938560091E-2</v>
          </cell>
          <cell r="AP87">
            <v>0.87688098495212041</v>
          </cell>
          <cell r="AQ87">
            <v>0.1143617021276595</v>
          </cell>
          <cell r="AR87" t="str">
            <v>-na-</v>
          </cell>
          <cell r="AS87">
            <v>8</v>
          </cell>
          <cell r="AT87">
            <v>1988</v>
          </cell>
          <cell r="AU87">
            <v>0</v>
          </cell>
          <cell r="AV87">
            <v>0</v>
          </cell>
          <cell r="AW87">
            <v>5</v>
          </cell>
          <cell r="AX87">
            <v>1182</v>
          </cell>
          <cell r="AY87">
            <v>2</v>
          </cell>
          <cell r="AZ87">
            <v>1217</v>
          </cell>
          <cell r="BA87">
            <v>7</v>
          </cell>
          <cell r="BB87">
            <v>2102</v>
          </cell>
        </row>
        <row r="88">
          <cell r="C88" t="str">
            <v>Residence Inn</v>
          </cell>
          <cell r="D88">
            <v>30</v>
          </cell>
          <cell r="E88">
            <v>35</v>
          </cell>
          <cell r="F88">
            <v>33</v>
          </cell>
          <cell r="G88">
            <v>68</v>
          </cell>
          <cell r="H88">
            <v>17</v>
          </cell>
          <cell r="I88">
            <v>3941</v>
          </cell>
          <cell r="J88">
            <v>4436</v>
          </cell>
          <cell r="K88">
            <v>3914</v>
          </cell>
          <cell r="L88">
            <v>8350</v>
          </cell>
          <cell r="M88">
            <v>2924</v>
          </cell>
          <cell r="N88" t="str">
            <v>Residence Inn</v>
          </cell>
          <cell r="O88">
            <v>35</v>
          </cell>
          <cell r="P88">
            <v>35</v>
          </cell>
          <cell r="Q88">
            <v>29</v>
          </cell>
          <cell r="R88">
            <v>64</v>
          </cell>
          <cell r="S88">
            <v>22</v>
          </cell>
          <cell r="T88">
            <v>4283</v>
          </cell>
          <cell r="U88">
            <v>4742</v>
          </cell>
          <cell r="V88">
            <v>3520</v>
          </cell>
          <cell r="W88">
            <v>8262</v>
          </cell>
          <cell r="X88">
            <v>3612</v>
          </cell>
          <cell r="Y88">
            <v>-5</v>
          </cell>
          <cell r="Z88">
            <v>0</v>
          </cell>
          <cell r="AA88">
            <v>4</v>
          </cell>
          <cell r="AB88">
            <v>4</v>
          </cell>
          <cell r="AC88">
            <v>-5</v>
          </cell>
          <cell r="AD88">
            <v>-342</v>
          </cell>
          <cell r="AE88">
            <v>-306</v>
          </cell>
          <cell r="AF88">
            <v>394</v>
          </cell>
          <cell r="AG88">
            <v>88</v>
          </cell>
          <cell r="AH88">
            <v>-688</v>
          </cell>
          <cell r="AI88">
            <v>-0.1428571428571429</v>
          </cell>
          <cell r="AJ88">
            <v>0</v>
          </cell>
          <cell r="AK88">
            <v>0.13793103448275867</v>
          </cell>
          <cell r="AL88">
            <v>6.25E-2</v>
          </cell>
          <cell r="AM88">
            <v>-0.22727272727272729</v>
          </cell>
          <cell r="AN88">
            <v>-7.9850572028951627E-2</v>
          </cell>
          <cell r="AO88">
            <v>-6.4529734289329399E-2</v>
          </cell>
          <cell r="AP88">
            <v>0.11193181818181808</v>
          </cell>
          <cell r="AQ88">
            <v>1.0651174049866929E-2</v>
          </cell>
          <cell r="AR88">
            <v>-0.19047619047619047</v>
          </cell>
          <cell r="AS88">
            <v>34</v>
          </cell>
          <cell r="AT88">
            <v>4169</v>
          </cell>
          <cell r="AU88">
            <v>4</v>
          </cell>
          <cell r="AV88">
            <v>707</v>
          </cell>
          <cell r="AW88">
            <v>30</v>
          </cell>
          <cell r="AX88">
            <v>3674</v>
          </cell>
          <cell r="AY88">
            <v>19</v>
          </cell>
          <cell r="AZ88">
            <v>2169</v>
          </cell>
          <cell r="BA88">
            <v>36</v>
          </cell>
          <cell r="BB88">
            <v>5431</v>
          </cell>
        </row>
        <row r="89">
          <cell r="C89" t="str">
            <v>Ritz-Carlton</v>
          </cell>
          <cell r="D89">
            <v>5</v>
          </cell>
          <cell r="E89">
            <v>7</v>
          </cell>
          <cell r="F89">
            <v>0</v>
          </cell>
          <cell r="G89">
            <v>7</v>
          </cell>
          <cell r="H89">
            <v>1</v>
          </cell>
          <cell r="I89">
            <v>1545</v>
          </cell>
          <cell r="J89">
            <v>2027</v>
          </cell>
          <cell r="K89">
            <v>0</v>
          </cell>
          <cell r="L89">
            <v>2027</v>
          </cell>
          <cell r="M89">
            <v>225</v>
          </cell>
          <cell r="N89" t="str">
            <v>Ritz-Carlton</v>
          </cell>
          <cell r="O89">
            <v>4</v>
          </cell>
          <cell r="P89">
            <v>8</v>
          </cell>
          <cell r="Q89">
            <v>0</v>
          </cell>
          <cell r="R89">
            <v>8</v>
          </cell>
          <cell r="S89">
            <v>2</v>
          </cell>
          <cell r="T89">
            <v>1213</v>
          </cell>
          <cell r="U89">
            <v>2242</v>
          </cell>
          <cell r="V89">
            <v>0</v>
          </cell>
          <cell r="W89">
            <v>2242</v>
          </cell>
          <cell r="X89">
            <v>533</v>
          </cell>
          <cell r="Y89">
            <v>1</v>
          </cell>
          <cell r="Z89">
            <v>-1</v>
          </cell>
          <cell r="AA89">
            <v>0</v>
          </cell>
          <cell r="AB89">
            <v>-1</v>
          </cell>
          <cell r="AC89">
            <v>-1</v>
          </cell>
          <cell r="AD89">
            <v>332</v>
          </cell>
          <cell r="AE89">
            <v>-215</v>
          </cell>
          <cell r="AF89">
            <v>0</v>
          </cell>
          <cell r="AG89">
            <v>-215</v>
          </cell>
          <cell r="AH89">
            <v>-308</v>
          </cell>
          <cell r="AI89">
            <v>0.25</v>
          </cell>
          <cell r="AJ89">
            <v>-0.125</v>
          </cell>
          <cell r="AK89">
            <v>0</v>
          </cell>
          <cell r="AL89">
            <v>-0.125</v>
          </cell>
          <cell r="AM89">
            <v>-0.5</v>
          </cell>
          <cell r="AN89">
            <v>0.27370156636438581</v>
          </cell>
          <cell r="AO89">
            <v>-9.5896520963425491E-2</v>
          </cell>
          <cell r="AP89">
            <v>0</v>
          </cell>
          <cell r="AQ89">
            <v>-9.5896520963425491E-2</v>
          </cell>
          <cell r="AR89">
            <v>-0.57786116322701686</v>
          </cell>
          <cell r="AS89">
            <v>4</v>
          </cell>
          <cell r="AT89">
            <v>1213</v>
          </cell>
          <cell r="AU89">
            <v>2</v>
          </cell>
          <cell r="AV89">
            <v>593</v>
          </cell>
          <cell r="AW89">
            <v>6</v>
          </cell>
          <cell r="AX89">
            <v>1443</v>
          </cell>
          <cell r="AY89">
            <v>1</v>
          </cell>
          <cell r="AZ89">
            <v>584</v>
          </cell>
          <cell r="BA89">
            <v>1</v>
          </cell>
          <cell r="BB89">
            <v>225</v>
          </cell>
        </row>
        <row r="90">
          <cell r="C90" t="str">
            <v>Rodeway Inn</v>
          </cell>
          <cell r="D90">
            <v>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191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 t="str">
            <v>Rodeway Inn</v>
          </cell>
          <cell r="O90">
            <v>0</v>
          </cell>
          <cell r="P90">
            <v>1</v>
          </cell>
          <cell r="Q90">
            <v>0</v>
          </cell>
          <cell r="R90">
            <v>1</v>
          </cell>
          <cell r="S90">
            <v>0</v>
          </cell>
          <cell r="T90">
            <v>0</v>
          </cell>
          <cell r="U90">
            <v>62</v>
          </cell>
          <cell r="V90">
            <v>0</v>
          </cell>
          <cell r="W90">
            <v>62</v>
          </cell>
          <cell r="X90">
            <v>0</v>
          </cell>
          <cell r="Y90">
            <v>2</v>
          </cell>
          <cell r="Z90">
            <v>-1</v>
          </cell>
          <cell r="AA90">
            <v>0</v>
          </cell>
          <cell r="AB90">
            <v>-1</v>
          </cell>
          <cell r="AC90">
            <v>0</v>
          </cell>
          <cell r="AD90">
            <v>191</v>
          </cell>
          <cell r="AE90">
            <v>-62</v>
          </cell>
          <cell r="AF90">
            <v>0</v>
          </cell>
          <cell r="AG90">
            <v>-62</v>
          </cell>
          <cell r="AH90">
            <v>0</v>
          </cell>
          <cell r="AI90" t="str">
            <v>-na-</v>
          </cell>
          <cell r="AJ90" t="str">
            <v>-na-</v>
          </cell>
          <cell r="AK90">
            <v>0</v>
          </cell>
          <cell r="AL90" t="str">
            <v>-na-</v>
          </cell>
          <cell r="AM90">
            <v>0</v>
          </cell>
          <cell r="AN90" t="str">
            <v>-na-</v>
          </cell>
          <cell r="AO90" t="str">
            <v>-na-</v>
          </cell>
          <cell r="AP90">
            <v>0</v>
          </cell>
          <cell r="AQ90" t="str">
            <v>-na-</v>
          </cell>
          <cell r="AR90">
            <v>0</v>
          </cell>
          <cell r="AS90">
            <v>0</v>
          </cell>
          <cell r="AT90">
            <v>0</v>
          </cell>
          <cell r="AU90">
            <v>2</v>
          </cell>
          <cell r="AV90">
            <v>191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</row>
        <row r="91">
          <cell r="C91" t="str">
            <v>Scottish Inn</v>
          </cell>
          <cell r="D91">
            <v>0</v>
          </cell>
          <cell r="E91">
            <v>2</v>
          </cell>
          <cell r="F91">
            <v>0</v>
          </cell>
          <cell r="G91">
            <v>2</v>
          </cell>
          <cell r="H91">
            <v>0</v>
          </cell>
          <cell r="I91">
            <v>0</v>
          </cell>
          <cell r="J91">
            <v>56</v>
          </cell>
          <cell r="K91">
            <v>0</v>
          </cell>
          <cell r="L91">
            <v>56</v>
          </cell>
          <cell r="M91">
            <v>0</v>
          </cell>
          <cell r="N91" t="str">
            <v>Scottish Inn</v>
          </cell>
          <cell r="O91">
            <v>1</v>
          </cell>
          <cell r="P91">
            <v>1</v>
          </cell>
          <cell r="Q91">
            <v>0</v>
          </cell>
          <cell r="R91">
            <v>1</v>
          </cell>
          <cell r="S91">
            <v>0</v>
          </cell>
          <cell r="T91">
            <v>33</v>
          </cell>
          <cell r="U91">
            <v>36</v>
          </cell>
          <cell r="V91">
            <v>0</v>
          </cell>
          <cell r="W91">
            <v>36</v>
          </cell>
          <cell r="X91">
            <v>0</v>
          </cell>
          <cell r="Y91">
            <v>-1</v>
          </cell>
          <cell r="Z91">
            <v>1</v>
          </cell>
          <cell r="AA91">
            <v>0</v>
          </cell>
          <cell r="AB91">
            <v>1</v>
          </cell>
          <cell r="AC91">
            <v>0</v>
          </cell>
          <cell r="AD91">
            <v>-33</v>
          </cell>
          <cell r="AE91">
            <v>20</v>
          </cell>
          <cell r="AF91">
            <v>0</v>
          </cell>
          <cell r="AG91">
            <v>20</v>
          </cell>
          <cell r="AH91">
            <v>0</v>
          </cell>
          <cell r="AI91" t="str">
            <v>-na-</v>
          </cell>
          <cell r="AJ91">
            <v>1</v>
          </cell>
          <cell r="AK91">
            <v>0</v>
          </cell>
          <cell r="AL91">
            <v>1</v>
          </cell>
          <cell r="AM91">
            <v>0</v>
          </cell>
          <cell r="AN91" t="str">
            <v>-na-</v>
          </cell>
          <cell r="AO91">
            <v>0.55555555555555558</v>
          </cell>
          <cell r="AP91">
            <v>0</v>
          </cell>
          <cell r="AQ91">
            <v>0.55555555555555558</v>
          </cell>
          <cell r="AR91">
            <v>0</v>
          </cell>
          <cell r="AS91">
            <v>1</v>
          </cell>
          <cell r="AT91">
            <v>33</v>
          </cell>
          <cell r="AU91">
            <v>0</v>
          </cell>
          <cell r="AV91">
            <v>0</v>
          </cell>
          <cell r="AW91">
            <v>2</v>
          </cell>
          <cell r="AX91">
            <v>56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</row>
        <row r="92">
          <cell r="C92" t="str">
            <v>Sheraton Hotel</v>
          </cell>
          <cell r="D92">
            <v>3</v>
          </cell>
          <cell r="E92">
            <v>3</v>
          </cell>
          <cell r="F92">
            <v>0</v>
          </cell>
          <cell r="G92">
            <v>3</v>
          </cell>
          <cell r="H92">
            <v>2</v>
          </cell>
          <cell r="I92">
            <v>895</v>
          </cell>
          <cell r="J92">
            <v>1096</v>
          </cell>
          <cell r="K92">
            <v>0</v>
          </cell>
          <cell r="L92">
            <v>1096</v>
          </cell>
          <cell r="M92">
            <v>396</v>
          </cell>
          <cell r="N92" t="str">
            <v>Sheraton Hotel</v>
          </cell>
          <cell r="O92">
            <v>4</v>
          </cell>
          <cell r="P92">
            <v>3</v>
          </cell>
          <cell r="Q92">
            <v>0</v>
          </cell>
          <cell r="R92">
            <v>3</v>
          </cell>
          <cell r="S92">
            <v>0</v>
          </cell>
          <cell r="T92">
            <v>1195</v>
          </cell>
          <cell r="U92">
            <v>1096</v>
          </cell>
          <cell r="V92">
            <v>0</v>
          </cell>
          <cell r="W92">
            <v>1096</v>
          </cell>
          <cell r="X92">
            <v>0</v>
          </cell>
          <cell r="Y92">
            <v>-1</v>
          </cell>
          <cell r="Z92">
            <v>0</v>
          </cell>
          <cell r="AA92">
            <v>0</v>
          </cell>
          <cell r="AB92">
            <v>0</v>
          </cell>
          <cell r="AC92">
            <v>2</v>
          </cell>
          <cell r="AD92">
            <v>-300</v>
          </cell>
          <cell r="AE92">
            <v>0</v>
          </cell>
          <cell r="AF92">
            <v>0</v>
          </cell>
          <cell r="AG92">
            <v>0</v>
          </cell>
          <cell r="AH92">
            <v>396</v>
          </cell>
          <cell r="AI92">
            <v>-0.25</v>
          </cell>
          <cell r="AJ92">
            <v>0</v>
          </cell>
          <cell r="AK92">
            <v>0</v>
          </cell>
          <cell r="AL92">
            <v>0</v>
          </cell>
          <cell r="AM92" t="str">
            <v>-na-</v>
          </cell>
          <cell r="AN92">
            <v>-0.2510460251046025</v>
          </cell>
          <cell r="AO92">
            <v>0</v>
          </cell>
          <cell r="AP92">
            <v>0</v>
          </cell>
          <cell r="AQ92">
            <v>0</v>
          </cell>
          <cell r="AR92" t="str">
            <v>-na-</v>
          </cell>
          <cell r="AS92">
            <v>4</v>
          </cell>
          <cell r="AT92">
            <v>1195</v>
          </cell>
          <cell r="AU92">
            <v>0</v>
          </cell>
          <cell r="AV92">
            <v>0</v>
          </cell>
          <cell r="AW92">
            <v>2</v>
          </cell>
          <cell r="AX92">
            <v>683</v>
          </cell>
          <cell r="AY92">
            <v>1</v>
          </cell>
          <cell r="AZ92">
            <v>413</v>
          </cell>
          <cell r="BA92">
            <v>2</v>
          </cell>
          <cell r="BB92">
            <v>396</v>
          </cell>
        </row>
        <row r="93">
          <cell r="C93" t="str">
            <v>Sheraton Inn</v>
          </cell>
          <cell r="D93">
            <v>0</v>
          </cell>
          <cell r="E93">
            <v>0</v>
          </cell>
          <cell r="F93">
            <v>1</v>
          </cell>
          <cell r="G93">
            <v>1</v>
          </cell>
          <cell r="H93">
            <v>0</v>
          </cell>
          <cell r="I93">
            <v>0</v>
          </cell>
          <cell r="J93">
            <v>0</v>
          </cell>
          <cell r="K93">
            <v>80</v>
          </cell>
          <cell r="L93">
            <v>80</v>
          </cell>
          <cell r="M93">
            <v>0</v>
          </cell>
          <cell r="N93" t="str">
            <v>Sheraton Inn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0</v>
          </cell>
          <cell r="U93">
            <v>0</v>
          </cell>
          <cell r="V93">
            <v>80</v>
          </cell>
          <cell r="W93">
            <v>80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1</v>
          </cell>
          <cell r="AZ93">
            <v>80</v>
          </cell>
          <cell r="BA93">
            <v>0</v>
          </cell>
          <cell r="BB93">
            <v>0</v>
          </cell>
        </row>
        <row r="94">
          <cell r="C94" t="str">
            <v>Shoney's Inn</v>
          </cell>
          <cell r="D94">
            <v>0</v>
          </cell>
          <cell r="E94">
            <v>1</v>
          </cell>
          <cell r="F94">
            <v>0</v>
          </cell>
          <cell r="G94">
            <v>1</v>
          </cell>
          <cell r="H94">
            <v>0</v>
          </cell>
          <cell r="I94">
            <v>0</v>
          </cell>
          <cell r="J94">
            <v>38</v>
          </cell>
          <cell r="K94">
            <v>0</v>
          </cell>
          <cell r="L94">
            <v>38</v>
          </cell>
          <cell r="M94">
            <v>0</v>
          </cell>
          <cell r="N94" t="str">
            <v>Shoney's Inn</v>
          </cell>
          <cell r="O94">
            <v>0</v>
          </cell>
          <cell r="P94">
            <v>1</v>
          </cell>
          <cell r="Q94">
            <v>0</v>
          </cell>
          <cell r="R94">
            <v>1</v>
          </cell>
          <cell r="S94">
            <v>0</v>
          </cell>
          <cell r="T94">
            <v>0</v>
          </cell>
          <cell r="U94">
            <v>38</v>
          </cell>
          <cell r="V94">
            <v>0</v>
          </cell>
          <cell r="W94">
            <v>38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1</v>
          </cell>
          <cell r="AX94">
            <v>38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</row>
        <row r="95">
          <cell r="C95" t="str">
            <v>Sleep Inn</v>
          </cell>
          <cell r="D95">
            <v>26</v>
          </cell>
          <cell r="E95">
            <v>16</v>
          </cell>
          <cell r="F95">
            <v>17</v>
          </cell>
          <cell r="G95">
            <v>33</v>
          </cell>
          <cell r="H95">
            <v>10</v>
          </cell>
          <cell r="I95">
            <v>1895</v>
          </cell>
          <cell r="J95">
            <v>1130</v>
          </cell>
          <cell r="K95">
            <v>1230</v>
          </cell>
          <cell r="L95">
            <v>2360</v>
          </cell>
          <cell r="M95">
            <v>648</v>
          </cell>
          <cell r="N95" t="str">
            <v>Sleep Inn</v>
          </cell>
          <cell r="O95">
            <v>24</v>
          </cell>
          <cell r="P95">
            <v>15</v>
          </cell>
          <cell r="Q95">
            <v>15</v>
          </cell>
          <cell r="R95">
            <v>30</v>
          </cell>
          <cell r="S95">
            <v>17</v>
          </cell>
          <cell r="T95">
            <v>1799</v>
          </cell>
          <cell r="U95">
            <v>1040</v>
          </cell>
          <cell r="V95">
            <v>1058</v>
          </cell>
          <cell r="W95">
            <v>2098</v>
          </cell>
          <cell r="X95">
            <v>1179</v>
          </cell>
          <cell r="Y95">
            <v>2</v>
          </cell>
          <cell r="Z95">
            <v>1</v>
          </cell>
          <cell r="AA95">
            <v>2</v>
          </cell>
          <cell r="AB95">
            <v>3</v>
          </cell>
          <cell r="AC95">
            <v>-7</v>
          </cell>
          <cell r="AD95">
            <v>96</v>
          </cell>
          <cell r="AE95">
            <v>90</v>
          </cell>
          <cell r="AF95">
            <v>172</v>
          </cell>
          <cell r="AG95">
            <v>262</v>
          </cell>
          <cell r="AH95">
            <v>-531</v>
          </cell>
          <cell r="AI95">
            <v>8.3333333333333259E-2</v>
          </cell>
          <cell r="AJ95">
            <v>6.6666666666666652E-2</v>
          </cell>
          <cell r="AK95">
            <v>0.1333333333333333</v>
          </cell>
          <cell r="AL95">
            <v>0.10000000000000009</v>
          </cell>
          <cell r="AM95">
            <v>-0.41176470588235292</v>
          </cell>
          <cell r="AN95">
            <v>5.3362979433018376E-2</v>
          </cell>
          <cell r="AO95">
            <v>8.6538461538461453E-2</v>
          </cell>
          <cell r="AP95">
            <v>0.16257088846880907</v>
          </cell>
          <cell r="AQ95">
            <v>0.12488083889418489</v>
          </cell>
          <cell r="AR95">
            <v>-0.45038167938931295</v>
          </cell>
          <cell r="AS95">
            <v>24</v>
          </cell>
          <cell r="AT95">
            <v>1799</v>
          </cell>
          <cell r="AU95">
            <v>6</v>
          </cell>
          <cell r="AV95">
            <v>423</v>
          </cell>
          <cell r="AW95">
            <v>15</v>
          </cell>
          <cell r="AX95">
            <v>1040</v>
          </cell>
          <cell r="AY95">
            <v>17</v>
          </cell>
          <cell r="AZ95">
            <v>1209</v>
          </cell>
          <cell r="BA95">
            <v>11</v>
          </cell>
          <cell r="BB95">
            <v>759</v>
          </cell>
        </row>
        <row r="96">
          <cell r="C96" t="str">
            <v>SpringHill Suites</v>
          </cell>
          <cell r="D96">
            <v>22</v>
          </cell>
          <cell r="E96">
            <v>12</v>
          </cell>
          <cell r="F96">
            <v>12</v>
          </cell>
          <cell r="G96">
            <v>24</v>
          </cell>
          <cell r="H96">
            <v>16</v>
          </cell>
          <cell r="I96">
            <v>2830</v>
          </cell>
          <cell r="J96">
            <v>1347</v>
          </cell>
          <cell r="K96">
            <v>1442</v>
          </cell>
          <cell r="L96">
            <v>2789</v>
          </cell>
          <cell r="M96">
            <v>2290</v>
          </cell>
          <cell r="N96" t="str">
            <v>SpringHill Suites</v>
          </cell>
          <cell r="O96">
            <v>23</v>
          </cell>
          <cell r="P96">
            <v>17</v>
          </cell>
          <cell r="Q96">
            <v>14</v>
          </cell>
          <cell r="R96">
            <v>31</v>
          </cell>
          <cell r="S96">
            <v>14</v>
          </cell>
          <cell r="T96">
            <v>2940</v>
          </cell>
          <cell r="U96">
            <v>1962</v>
          </cell>
          <cell r="V96">
            <v>1912</v>
          </cell>
          <cell r="W96">
            <v>3874</v>
          </cell>
          <cell r="X96">
            <v>1999</v>
          </cell>
          <cell r="Y96">
            <v>-1</v>
          </cell>
          <cell r="Z96">
            <v>-5</v>
          </cell>
          <cell r="AA96">
            <v>-2</v>
          </cell>
          <cell r="AB96">
            <v>-7</v>
          </cell>
          <cell r="AC96">
            <v>2</v>
          </cell>
          <cell r="AD96">
            <v>-110</v>
          </cell>
          <cell r="AE96">
            <v>-615</v>
          </cell>
          <cell r="AF96">
            <v>-470</v>
          </cell>
          <cell r="AG96">
            <v>-1085</v>
          </cell>
          <cell r="AH96">
            <v>291</v>
          </cell>
          <cell r="AI96">
            <v>-4.3478260869565188E-2</v>
          </cell>
          <cell r="AJ96">
            <v>-0.29411764705882348</v>
          </cell>
          <cell r="AK96">
            <v>-0.1428571428571429</v>
          </cell>
          <cell r="AL96">
            <v>-0.22580645161290325</v>
          </cell>
          <cell r="AM96">
            <v>0.14285714285714279</v>
          </cell>
          <cell r="AN96">
            <v>-3.7414965986394599E-2</v>
          </cell>
          <cell r="AO96">
            <v>-0.31345565749235471</v>
          </cell>
          <cell r="AP96">
            <v>-0.24581589958159</v>
          </cell>
          <cell r="AQ96">
            <v>-0.28007227671657198</v>
          </cell>
          <cell r="AR96">
            <v>0.1455727863931966</v>
          </cell>
          <cell r="AS96">
            <v>23</v>
          </cell>
          <cell r="AT96">
            <v>2940</v>
          </cell>
          <cell r="AU96">
            <v>4</v>
          </cell>
          <cell r="AV96">
            <v>484</v>
          </cell>
          <cell r="AW96">
            <v>11</v>
          </cell>
          <cell r="AX96">
            <v>1210</v>
          </cell>
          <cell r="AY96">
            <v>5</v>
          </cell>
          <cell r="AZ96">
            <v>557</v>
          </cell>
          <cell r="BA96">
            <v>24</v>
          </cell>
          <cell r="BB96">
            <v>3312</v>
          </cell>
        </row>
        <row r="97">
          <cell r="C97" t="str">
            <v>St. Regis</v>
          </cell>
          <cell r="D97">
            <v>1</v>
          </cell>
          <cell r="E97">
            <v>2</v>
          </cell>
          <cell r="F97">
            <v>0</v>
          </cell>
          <cell r="G97">
            <v>2</v>
          </cell>
          <cell r="H97">
            <v>0</v>
          </cell>
          <cell r="I97">
            <v>400</v>
          </cell>
          <cell r="J97">
            <v>503</v>
          </cell>
          <cell r="K97">
            <v>0</v>
          </cell>
          <cell r="L97">
            <v>503</v>
          </cell>
          <cell r="M97">
            <v>0</v>
          </cell>
          <cell r="N97" t="str">
            <v>St. Regis</v>
          </cell>
          <cell r="O97">
            <v>1</v>
          </cell>
          <cell r="P97">
            <v>1</v>
          </cell>
          <cell r="Q97">
            <v>1</v>
          </cell>
          <cell r="R97">
            <v>2</v>
          </cell>
          <cell r="S97">
            <v>0</v>
          </cell>
          <cell r="T97">
            <v>400</v>
          </cell>
          <cell r="U97">
            <v>269</v>
          </cell>
          <cell r="V97">
            <v>234</v>
          </cell>
          <cell r="W97">
            <v>503</v>
          </cell>
          <cell r="X97">
            <v>0</v>
          </cell>
          <cell r="Y97">
            <v>0</v>
          </cell>
          <cell r="Z97">
            <v>1</v>
          </cell>
          <cell r="AA97">
            <v>-1</v>
          </cell>
          <cell r="AB97">
            <v>0</v>
          </cell>
          <cell r="AC97">
            <v>0</v>
          </cell>
          <cell r="AD97">
            <v>0</v>
          </cell>
          <cell r="AE97">
            <v>234</v>
          </cell>
          <cell r="AF97">
            <v>-234</v>
          </cell>
          <cell r="AG97">
            <v>0</v>
          </cell>
          <cell r="AH97">
            <v>0</v>
          </cell>
          <cell r="AI97">
            <v>0</v>
          </cell>
          <cell r="AJ97">
            <v>1</v>
          </cell>
          <cell r="AK97" t="str">
            <v>-na-</v>
          </cell>
          <cell r="AL97">
            <v>0</v>
          </cell>
          <cell r="AM97">
            <v>0</v>
          </cell>
          <cell r="AN97">
            <v>0</v>
          </cell>
          <cell r="AO97">
            <v>0.86988847583643114</v>
          </cell>
          <cell r="AP97" t="str">
            <v>-na-</v>
          </cell>
          <cell r="AQ97">
            <v>0</v>
          </cell>
          <cell r="AR97">
            <v>0</v>
          </cell>
          <cell r="AS97">
            <v>1</v>
          </cell>
          <cell r="AT97">
            <v>400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269</v>
          </cell>
          <cell r="BA97">
            <v>1</v>
          </cell>
          <cell r="BB97">
            <v>234</v>
          </cell>
        </row>
        <row r="98">
          <cell r="C98" t="str">
            <v>Staybridge Suites</v>
          </cell>
          <cell r="D98">
            <v>15</v>
          </cell>
          <cell r="E98">
            <v>6</v>
          </cell>
          <cell r="F98">
            <v>14</v>
          </cell>
          <cell r="G98">
            <v>20</v>
          </cell>
          <cell r="H98">
            <v>2</v>
          </cell>
          <cell r="I98">
            <v>1684</v>
          </cell>
          <cell r="J98">
            <v>593</v>
          </cell>
          <cell r="K98">
            <v>1682</v>
          </cell>
          <cell r="L98">
            <v>2275</v>
          </cell>
          <cell r="M98">
            <v>201</v>
          </cell>
          <cell r="N98" t="str">
            <v>Staybridge Suites</v>
          </cell>
          <cell r="O98">
            <v>16</v>
          </cell>
          <cell r="P98">
            <v>11</v>
          </cell>
          <cell r="Q98">
            <v>17</v>
          </cell>
          <cell r="R98">
            <v>28</v>
          </cell>
          <cell r="S98">
            <v>2</v>
          </cell>
          <cell r="T98">
            <v>1748</v>
          </cell>
          <cell r="U98">
            <v>1170</v>
          </cell>
          <cell r="V98">
            <v>1981</v>
          </cell>
          <cell r="W98">
            <v>3151</v>
          </cell>
          <cell r="X98">
            <v>212</v>
          </cell>
          <cell r="Y98">
            <v>-1</v>
          </cell>
          <cell r="Z98">
            <v>-5</v>
          </cell>
          <cell r="AA98">
            <v>-3</v>
          </cell>
          <cell r="AB98">
            <v>-8</v>
          </cell>
          <cell r="AC98">
            <v>0</v>
          </cell>
          <cell r="AD98">
            <v>-64</v>
          </cell>
          <cell r="AE98">
            <v>-577</v>
          </cell>
          <cell r="AF98">
            <v>-299</v>
          </cell>
          <cell r="AG98">
            <v>-876</v>
          </cell>
          <cell r="AH98">
            <v>-11</v>
          </cell>
          <cell r="AI98">
            <v>-6.25E-2</v>
          </cell>
          <cell r="AJ98">
            <v>-0.45454545454545459</v>
          </cell>
          <cell r="AK98">
            <v>-0.17647058823529416</v>
          </cell>
          <cell r="AL98">
            <v>-0.2857142857142857</v>
          </cell>
          <cell r="AM98">
            <v>0</v>
          </cell>
          <cell r="AN98">
            <v>-3.6613272311212808E-2</v>
          </cell>
          <cell r="AO98">
            <v>-0.49316239316239319</v>
          </cell>
          <cell r="AP98">
            <v>-0.1509338717819283</v>
          </cell>
          <cell r="AQ98">
            <v>-0.27800698191050455</v>
          </cell>
          <cell r="AR98">
            <v>-5.1886792452830233E-2</v>
          </cell>
          <cell r="AS98">
            <v>16</v>
          </cell>
          <cell r="AT98">
            <v>1748</v>
          </cell>
          <cell r="AU98">
            <v>5</v>
          </cell>
          <cell r="AV98">
            <v>575</v>
          </cell>
          <cell r="AW98">
            <v>6</v>
          </cell>
          <cell r="AX98">
            <v>593</v>
          </cell>
          <cell r="AY98">
            <v>12</v>
          </cell>
          <cell r="AZ98">
            <v>1397</v>
          </cell>
          <cell r="BA98">
            <v>4</v>
          </cell>
          <cell r="BB98">
            <v>486</v>
          </cell>
        </row>
        <row r="99">
          <cell r="C99" t="str">
            <v>Studio 6</v>
          </cell>
          <cell r="D99">
            <v>1</v>
          </cell>
          <cell r="E99">
            <v>2</v>
          </cell>
          <cell r="F99">
            <v>0</v>
          </cell>
          <cell r="G99">
            <v>2</v>
          </cell>
          <cell r="H99">
            <v>0</v>
          </cell>
          <cell r="I99">
            <v>61</v>
          </cell>
          <cell r="J99">
            <v>244</v>
          </cell>
          <cell r="K99">
            <v>0</v>
          </cell>
          <cell r="L99">
            <v>244</v>
          </cell>
          <cell r="M99">
            <v>0</v>
          </cell>
          <cell r="N99" t="str">
            <v>Studio 6</v>
          </cell>
          <cell r="O99">
            <v>1</v>
          </cell>
          <cell r="P99">
            <v>1</v>
          </cell>
          <cell r="Q99">
            <v>1</v>
          </cell>
          <cell r="R99">
            <v>2</v>
          </cell>
          <cell r="S99">
            <v>0</v>
          </cell>
          <cell r="T99">
            <v>61</v>
          </cell>
          <cell r="U99">
            <v>124</v>
          </cell>
          <cell r="V99">
            <v>120</v>
          </cell>
          <cell r="W99">
            <v>244</v>
          </cell>
          <cell r="X99">
            <v>0</v>
          </cell>
          <cell r="Y99">
            <v>0</v>
          </cell>
          <cell r="Z99">
            <v>1</v>
          </cell>
          <cell r="AA99">
            <v>-1</v>
          </cell>
          <cell r="AB99">
            <v>0</v>
          </cell>
          <cell r="AC99">
            <v>0</v>
          </cell>
          <cell r="AD99">
            <v>0</v>
          </cell>
          <cell r="AE99">
            <v>120</v>
          </cell>
          <cell r="AF99">
            <v>-120</v>
          </cell>
          <cell r="AG99">
            <v>0</v>
          </cell>
          <cell r="AH99">
            <v>0</v>
          </cell>
          <cell r="AI99">
            <v>0</v>
          </cell>
          <cell r="AJ99">
            <v>1</v>
          </cell>
          <cell r="AK99" t="str">
            <v>-na-</v>
          </cell>
          <cell r="AL99">
            <v>0</v>
          </cell>
          <cell r="AM99">
            <v>0</v>
          </cell>
          <cell r="AN99">
            <v>0</v>
          </cell>
          <cell r="AO99">
            <v>0.967741935483871</v>
          </cell>
          <cell r="AP99" t="str">
            <v>-na-</v>
          </cell>
          <cell r="AQ99">
            <v>0</v>
          </cell>
          <cell r="AR99">
            <v>0</v>
          </cell>
          <cell r="AS99">
            <v>1</v>
          </cell>
          <cell r="AT99">
            <v>61</v>
          </cell>
          <cell r="AU99">
            <v>0</v>
          </cell>
          <cell r="AV99">
            <v>0</v>
          </cell>
          <cell r="AW99">
            <v>2</v>
          </cell>
          <cell r="AX99">
            <v>244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</row>
        <row r="100">
          <cell r="C100" t="str">
            <v>StudioPlus Hotel</v>
          </cell>
          <cell r="D100">
            <v>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98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 t="str">
            <v>StudioPlus Hotel</v>
          </cell>
          <cell r="O100">
            <v>2</v>
          </cell>
          <cell r="P100">
            <v>1</v>
          </cell>
          <cell r="Q100">
            <v>0</v>
          </cell>
          <cell r="R100">
            <v>1</v>
          </cell>
          <cell r="S100">
            <v>0</v>
          </cell>
          <cell r="T100">
            <v>184</v>
          </cell>
          <cell r="U100">
            <v>98</v>
          </cell>
          <cell r="V100">
            <v>0</v>
          </cell>
          <cell r="W100">
            <v>98</v>
          </cell>
          <cell r="X100">
            <v>0</v>
          </cell>
          <cell r="Y100">
            <v>-1</v>
          </cell>
          <cell r="Z100">
            <v>-1</v>
          </cell>
          <cell r="AA100">
            <v>0</v>
          </cell>
          <cell r="AB100">
            <v>-1</v>
          </cell>
          <cell r="AC100">
            <v>0</v>
          </cell>
          <cell r="AD100">
            <v>-86</v>
          </cell>
          <cell r="AE100">
            <v>-98</v>
          </cell>
          <cell r="AF100">
            <v>0</v>
          </cell>
          <cell r="AG100">
            <v>-98</v>
          </cell>
          <cell r="AH100">
            <v>0</v>
          </cell>
          <cell r="AI100">
            <v>-0.5</v>
          </cell>
          <cell r="AJ100" t="str">
            <v>-na-</v>
          </cell>
          <cell r="AK100">
            <v>0</v>
          </cell>
          <cell r="AL100" t="str">
            <v>-na-</v>
          </cell>
          <cell r="AM100">
            <v>0</v>
          </cell>
          <cell r="AN100">
            <v>-0.46739130434782605</v>
          </cell>
          <cell r="AO100" t="str">
            <v>-na-</v>
          </cell>
          <cell r="AP100">
            <v>0</v>
          </cell>
          <cell r="AQ100" t="str">
            <v>-na-</v>
          </cell>
          <cell r="AR100">
            <v>0</v>
          </cell>
          <cell r="AS100">
            <v>2</v>
          </cell>
          <cell r="AT100">
            <v>184</v>
          </cell>
          <cell r="AU100">
            <v>1</v>
          </cell>
          <cell r="AV100">
            <v>98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</row>
        <row r="101">
          <cell r="C101" t="str">
            <v>Suburban Lodge</v>
          </cell>
          <cell r="D101">
            <v>4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466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 t="str">
            <v>Suburban Lodge</v>
          </cell>
          <cell r="O101">
            <v>9</v>
          </cell>
          <cell r="P101">
            <v>0</v>
          </cell>
          <cell r="Q101">
            <v>1</v>
          </cell>
          <cell r="R101">
            <v>1</v>
          </cell>
          <cell r="S101">
            <v>0</v>
          </cell>
          <cell r="T101">
            <v>1179</v>
          </cell>
          <cell r="U101">
            <v>0</v>
          </cell>
          <cell r="V101">
            <v>130</v>
          </cell>
          <cell r="W101">
            <v>130</v>
          </cell>
          <cell r="X101">
            <v>0</v>
          </cell>
          <cell r="Y101">
            <v>-5</v>
          </cell>
          <cell r="Z101">
            <v>0</v>
          </cell>
          <cell r="AA101">
            <v>-1</v>
          </cell>
          <cell r="AB101">
            <v>-1</v>
          </cell>
          <cell r="AC101">
            <v>0</v>
          </cell>
          <cell r="AD101">
            <v>-713</v>
          </cell>
          <cell r="AE101">
            <v>0</v>
          </cell>
          <cell r="AF101">
            <v>-130</v>
          </cell>
          <cell r="AG101">
            <v>-130</v>
          </cell>
          <cell r="AH101">
            <v>0</v>
          </cell>
          <cell r="AI101">
            <v>-0.55555555555555558</v>
          </cell>
          <cell r="AJ101">
            <v>0</v>
          </cell>
          <cell r="AK101" t="str">
            <v>-na-</v>
          </cell>
          <cell r="AL101" t="str">
            <v>-na-</v>
          </cell>
          <cell r="AM101">
            <v>0</v>
          </cell>
          <cell r="AN101">
            <v>-0.60474978795589485</v>
          </cell>
          <cell r="AO101">
            <v>0</v>
          </cell>
          <cell r="AP101" t="str">
            <v>-na-</v>
          </cell>
          <cell r="AQ101" t="str">
            <v>-na-</v>
          </cell>
          <cell r="AR101">
            <v>0</v>
          </cell>
          <cell r="AS101">
            <v>9</v>
          </cell>
          <cell r="AT101">
            <v>1179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</row>
        <row r="102">
          <cell r="C102" t="str">
            <v>Summerfield Suites</v>
          </cell>
          <cell r="D102">
            <v>0</v>
          </cell>
          <cell r="E102">
            <v>1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142</v>
          </cell>
          <cell r="K102">
            <v>0</v>
          </cell>
          <cell r="L102">
            <v>142</v>
          </cell>
          <cell r="M102">
            <v>0</v>
          </cell>
          <cell r="N102" t="str">
            <v>Summerfield Suites by Wyndham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1</v>
          </cell>
          <cell r="AA102">
            <v>0</v>
          </cell>
          <cell r="AB102">
            <v>1</v>
          </cell>
          <cell r="AC102">
            <v>0</v>
          </cell>
          <cell r="AD102">
            <v>0</v>
          </cell>
          <cell r="AE102">
            <v>142</v>
          </cell>
          <cell r="AF102">
            <v>0</v>
          </cell>
          <cell r="AG102">
            <v>142</v>
          </cell>
          <cell r="AH102">
            <v>0</v>
          </cell>
          <cell r="AI102">
            <v>0</v>
          </cell>
          <cell r="AJ102" t="str">
            <v>-na-</v>
          </cell>
          <cell r="AK102">
            <v>0</v>
          </cell>
          <cell r="AL102" t="str">
            <v>-na-</v>
          </cell>
          <cell r="AM102">
            <v>0</v>
          </cell>
          <cell r="AN102">
            <v>0</v>
          </cell>
          <cell r="AO102" t="str">
            <v>-na-</v>
          </cell>
          <cell r="AP102">
            <v>0</v>
          </cell>
          <cell r="AQ102" t="str">
            <v>-na-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</v>
          </cell>
          <cell r="AX102">
            <v>142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</row>
        <row r="103">
          <cell r="C103" t="str">
            <v>Sun Suites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132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 t="str">
            <v>Sun Suites</v>
          </cell>
          <cell r="O103">
            <v>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132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</v>
          </cell>
          <cell r="AT103">
            <v>132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</row>
        <row r="104">
          <cell r="C104" t="str">
            <v>Sunspree Resorts</v>
          </cell>
          <cell r="N104" t="str">
            <v>Sunspree Resorts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</row>
        <row r="105">
          <cell r="C105" t="str">
            <v>Super 8</v>
          </cell>
          <cell r="D105">
            <v>44</v>
          </cell>
          <cell r="E105">
            <v>18</v>
          </cell>
          <cell r="F105">
            <v>20</v>
          </cell>
          <cell r="G105">
            <v>38</v>
          </cell>
          <cell r="H105">
            <v>39</v>
          </cell>
          <cell r="I105">
            <v>2215</v>
          </cell>
          <cell r="J105">
            <v>1056</v>
          </cell>
          <cell r="K105">
            <v>1433</v>
          </cell>
          <cell r="L105">
            <v>2489</v>
          </cell>
          <cell r="M105">
            <v>3214</v>
          </cell>
          <cell r="N105" t="str">
            <v>Super 8</v>
          </cell>
          <cell r="O105">
            <v>41</v>
          </cell>
          <cell r="P105">
            <v>22</v>
          </cell>
          <cell r="Q105">
            <v>25</v>
          </cell>
          <cell r="R105">
            <v>47</v>
          </cell>
          <cell r="S105">
            <v>42</v>
          </cell>
          <cell r="T105">
            <v>1981</v>
          </cell>
          <cell r="U105">
            <v>1275</v>
          </cell>
          <cell r="V105">
            <v>1736</v>
          </cell>
          <cell r="W105">
            <v>3011</v>
          </cell>
          <cell r="X105">
            <v>3476</v>
          </cell>
          <cell r="Y105">
            <v>3</v>
          </cell>
          <cell r="Z105">
            <v>-4</v>
          </cell>
          <cell r="AA105">
            <v>-5</v>
          </cell>
          <cell r="AB105">
            <v>-9</v>
          </cell>
          <cell r="AC105">
            <v>-3</v>
          </cell>
          <cell r="AD105">
            <v>234</v>
          </cell>
          <cell r="AE105">
            <v>-219</v>
          </cell>
          <cell r="AF105">
            <v>-303</v>
          </cell>
          <cell r="AG105">
            <v>-522</v>
          </cell>
          <cell r="AH105">
            <v>-262</v>
          </cell>
          <cell r="AI105">
            <v>7.3170731707317138E-2</v>
          </cell>
          <cell r="AJ105">
            <v>-0.18181818181818177</v>
          </cell>
          <cell r="AK105">
            <v>-0.19999999999999996</v>
          </cell>
          <cell r="AL105">
            <v>-0.19148936170212771</v>
          </cell>
          <cell r="AM105">
            <v>-7.1428571428571397E-2</v>
          </cell>
          <cell r="AN105">
            <v>0.11812216052498736</v>
          </cell>
          <cell r="AO105">
            <v>-0.17176470588235293</v>
          </cell>
          <cell r="AP105">
            <v>-0.17453917050691248</v>
          </cell>
          <cell r="AQ105">
            <v>-0.17336433078711389</v>
          </cell>
          <cell r="AR105">
            <v>-7.5373993095512071E-2</v>
          </cell>
          <cell r="AS105">
            <v>42</v>
          </cell>
          <cell r="AT105">
            <v>2033</v>
          </cell>
          <cell r="AU105">
            <v>7</v>
          </cell>
          <cell r="AV105">
            <v>390</v>
          </cell>
          <cell r="AW105">
            <v>16</v>
          </cell>
          <cell r="AX105">
            <v>907</v>
          </cell>
          <cell r="AY105">
            <v>19</v>
          </cell>
          <cell r="AZ105">
            <v>1332</v>
          </cell>
          <cell r="BA105">
            <v>42</v>
          </cell>
          <cell r="BB105">
            <v>3464</v>
          </cell>
        </row>
        <row r="106">
          <cell r="C106" t="str">
            <v>Susse Chalet</v>
          </cell>
          <cell r="N106" t="str">
            <v>Susse Chalet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</row>
        <row r="107">
          <cell r="C107" t="str">
            <v>ThriftLodge</v>
          </cell>
          <cell r="N107" t="str">
            <v>ThriftLodge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</row>
        <row r="108">
          <cell r="C108" t="str">
            <v>TownePlace Suites</v>
          </cell>
          <cell r="D108">
            <v>7</v>
          </cell>
          <cell r="E108">
            <v>2</v>
          </cell>
          <cell r="F108">
            <v>4</v>
          </cell>
          <cell r="G108">
            <v>6</v>
          </cell>
          <cell r="H108">
            <v>3</v>
          </cell>
          <cell r="I108">
            <v>772</v>
          </cell>
          <cell r="J108">
            <v>200</v>
          </cell>
          <cell r="K108">
            <v>411</v>
          </cell>
          <cell r="L108">
            <v>611</v>
          </cell>
          <cell r="M108">
            <v>308</v>
          </cell>
          <cell r="N108" t="str">
            <v>TownePlace Suites</v>
          </cell>
          <cell r="O108">
            <v>12</v>
          </cell>
          <cell r="P108">
            <v>2</v>
          </cell>
          <cell r="Q108">
            <v>6</v>
          </cell>
          <cell r="R108">
            <v>8</v>
          </cell>
          <cell r="S108">
            <v>1</v>
          </cell>
          <cell r="T108">
            <v>1311</v>
          </cell>
          <cell r="U108">
            <v>200</v>
          </cell>
          <cell r="V108">
            <v>621</v>
          </cell>
          <cell r="W108">
            <v>821</v>
          </cell>
          <cell r="X108">
            <v>98</v>
          </cell>
          <cell r="Y108">
            <v>-5</v>
          </cell>
          <cell r="Z108">
            <v>0</v>
          </cell>
          <cell r="AA108">
            <v>-2</v>
          </cell>
          <cell r="AB108">
            <v>-2</v>
          </cell>
          <cell r="AC108">
            <v>2</v>
          </cell>
          <cell r="AD108">
            <v>-539</v>
          </cell>
          <cell r="AE108">
            <v>0</v>
          </cell>
          <cell r="AF108">
            <v>-210</v>
          </cell>
          <cell r="AG108">
            <v>-210</v>
          </cell>
          <cell r="AH108">
            <v>210</v>
          </cell>
          <cell r="AI108">
            <v>-0.41666666666666663</v>
          </cell>
          <cell r="AJ108">
            <v>0</v>
          </cell>
          <cell r="AK108">
            <v>-0.33333333333333337</v>
          </cell>
          <cell r="AL108">
            <v>-0.25</v>
          </cell>
          <cell r="AM108">
            <v>2</v>
          </cell>
          <cell r="AN108">
            <v>-0.41113653699466057</v>
          </cell>
          <cell r="AO108">
            <v>0</v>
          </cell>
          <cell r="AP108">
            <v>-0.33816425120772942</v>
          </cell>
          <cell r="AQ108">
            <v>-0.25578562728380028</v>
          </cell>
          <cell r="AR108">
            <v>2.1428571428571428</v>
          </cell>
          <cell r="AS108">
            <v>12</v>
          </cell>
          <cell r="AT108">
            <v>1311</v>
          </cell>
          <cell r="AU108">
            <v>0</v>
          </cell>
          <cell r="AV108">
            <v>0</v>
          </cell>
          <cell r="AW108">
            <v>2</v>
          </cell>
          <cell r="AX108">
            <v>200</v>
          </cell>
          <cell r="AY108">
            <v>3</v>
          </cell>
          <cell r="AZ108">
            <v>262</v>
          </cell>
          <cell r="BA108">
            <v>4</v>
          </cell>
          <cell r="BB108">
            <v>457</v>
          </cell>
        </row>
        <row r="109">
          <cell r="C109" t="str">
            <v>Travelodge</v>
          </cell>
          <cell r="D109">
            <v>2</v>
          </cell>
          <cell r="E109">
            <v>0</v>
          </cell>
          <cell r="F109">
            <v>4</v>
          </cell>
          <cell r="G109">
            <v>4</v>
          </cell>
          <cell r="H109">
            <v>13</v>
          </cell>
          <cell r="I109">
            <v>110</v>
          </cell>
          <cell r="J109">
            <v>0</v>
          </cell>
          <cell r="K109">
            <v>499</v>
          </cell>
          <cell r="L109">
            <v>499</v>
          </cell>
          <cell r="M109">
            <v>2048</v>
          </cell>
          <cell r="N109" t="str">
            <v>Travelodge</v>
          </cell>
          <cell r="O109">
            <v>5</v>
          </cell>
          <cell r="P109">
            <v>0</v>
          </cell>
          <cell r="Q109">
            <v>5</v>
          </cell>
          <cell r="R109">
            <v>5</v>
          </cell>
          <cell r="S109">
            <v>12</v>
          </cell>
          <cell r="T109">
            <v>348</v>
          </cell>
          <cell r="U109">
            <v>0</v>
          </cell>
          <cell r="V109">
            <v>573</v>
          </cell>
          <cell r="W109">
            <v>573</v>
          </cell>
          <cell r="X109">
            <v>1597</v>
          </cell>
          <cell r="Y109">
            <v>-3</v>
          </cell>
          <cell r="Z109">
            <v>0</v>
          </cell>
          <cell r="AA109">
            <v>-1</v>
          </cell>
          <cell r="AB109">
            <v>-1</v>
          </cell>
          <cell r="AC109">
            <v>1</v>
          </cell>
          <cell r="AD109">
            <v>-238</v>
          </cell>
          <cell r="AE109">
            <v>0</v>
          </cell>
          <cell r="AF109">
            <v>-74</v>
          </cell>
          <cell r="AG109">
            <v>-74</v>
          </cell>
          <cell r="AH109">
            <v>451</v>
          </cell>
          <cell r="AI109">
            <v>-0.6</v>
          </cell>
          <cell r="AJ109">
            <v>0</v>
          </cell>
          <cell r="AK109">
            <v>-0.19999999999999996</v>
          </cell>
          <cell r="AL109">
            <v>-0.19999999999999996</v>
          </cell>
          <cell r="AM109">
            <v>8.3333333333333259E-2</v>
          </cell>
          <cell r="AN109">
            <v>-0.68390804597701149</v>
          </cell>
          <cell r="AO109">
            <v>0</v>
          </cell>
          <cell r="AP109">
            <v>-0.12914485165794065</v>
          </cell>
          <cell r="AQ109">
            <v>-0.12914485165794065</v>
          </cell>
          <cell r="AR109">
            <v>0.28240450845334997</v>
          </cell>
          <cell r="AS109">
            <v>5</v>
          </cell>
          <cell r="AT109">
            <v>348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3</v>
          </cell>
          <cell r="AZ109">
            <v>229</v>
          </cell>
          <cell r="BA109">
            <v>14</v>
          </cell>
          <cell r="BB109">
            <v>2318</v>
          </cell>
        </row>
        <row r="110">
          <cell r="C110" t="str">
            <v>Villager Lodge</v>
          </cell>
          <cell r="D110">
            <v>1</v>
          </cell>
          <cell r="E110">
            <v>0</v>
          </cell>
          <cell r="F110">
            <v>3</v>
          </cell>
          <cell r="G110">
            <v>3</v>
          </cell>
          <cell r="H110">
            <v>39</v>
          </cell>
          <cell r="I110">
            <v>150</v>
          </cell>
          <cell r="J110">
            <v>0</v>
          </cell>
          <cell r="K110">
            <v>372</v>
          </cell>
          <cell r="L110">
            <v>372</v>
          </cell>
          <cell r="M110">
            <v>5410</v>
          </cell>
          <cell r="N110" t="str">
            <v>Villager Lodge</v>
          </cell>
          <cell r="O110">
            <v>1</v>
          </cell>
          <cell r="P110">
            <v>0</v>
          </cell>
          <cell r="Q110">
            <v>3</v>
          </cell>
          <cell r="R110">
            <v>3</v>
          </cell>
          <cell r="S110">
            <v>32</v>
          </cell>
          <cell r="T110">
            <v>150</v>
          </cell>
          <cell r="U110">
            <v>0</v>
          </cell>
          <cell r="V110">
            <v>372</v>
          </cell>
          <cell r="W110">
            <v>372</v>
          </cell>
          <cell r="X110">
            <v>4353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1057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0.21875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0.24282104295887885</v>
          </cell>
          <cell r="AS110">
            <v>1</v>
          </cell>
          <cell r="AT110">
            <v>150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</v>
          </cell>
          <cell r="AZ110">
            <v>80</v>
          </cell>
          <cell r="BA110">
            <v>41</v>
          </cell>
          <cell r="BB110">
            <v>5702</v>
          </cell>
        </row>
        <row r="111">
          <cell r="C111" t="str">
            <v>W Hotel</v>
          </cell>
          <cell r="D111">
            <v>1</v>
          </cell>
          <cell r="E111">
            <v>1</v>
          </cell>
          <cell r="F111">
            <v>2</v>
          </cell>
          <cell r="G111">
            <v>3</v>
          </cell>
          <cell r="H111">
            <v>0</v>
          </cell>
          <cell r="I111">
            <v>509</v>
          </cell>
          <cell r="J111">
            <v>261</v>
          </cell>
          <cell r="K111">
            <v>660</v>
          </cell>
          <cell r="L111">
            <v>921</v>
          </cell>
          <cell r="M111">
            <v>0</v>
          </cell>
          <cell r="N111" t="str">
            <v>W Hotel</v>
          </cell>
          <cell r="O111">
            <v>1</v>
          </cell>
          <cell r="P111">
            <v>1</v>
          </cell>
          <cell r="Q111">
            <v>0</v>
          </cell>
          <cell r="R111">
            <v>1</v>
          </cell>
          <cell r="S111">
            <v>2</v>
          </cell>
          <cell r="T111">
            <v>509</v>
          </cell>
          <cell r="U111">
            <v>263</v>
          </cell>
          <cell r="V111">
            <v>0</v>
          </cell>
          <cell r="W111">
            <v>263</v>
          </cell>
          <cell r="X111">
            <v>700</v>
          </cell>
          <cell r="Y111">
            <v>0</v>
          </cell>
          <cell r="Z111">
            <v>0</v>
          </cell>
          <cell r="AA111">
            <v>2</v>
          </cell>
          <cell r="AB111">
            <v>2</v>
          </cell>
          <cell r="AC111">
            <v>-2</v>
          </cell>
          <cell r="AD111">
            <v>0</v>
          </cell>
          <cell r="AE111">
            <v>-2</v>
          </cell>
          <cell r="AF111">
            <v>660</v>
          </cell>
          <cell r="AG111">
            <v>658</v>
          </cell>
          <cell r="AH111">
            <v>-700</v>
          </cell>
          <cell r="AI111">
            <v>0</v>
          </cell>
          <cell r="AJ111">
            <v>0</v>
          </cell>
          <cell r="AK111" t="str">
            <v>-na-</v>
          </cell>
          <cell r="AL111">
            <v>2</v>
          </cell>
          <cell r="AM111" t="str">
            <v>-na-</v>
          </cell>
          <cell r="AN111">
            <v>0</v>
          </cell>
          <cell r="AO111">
            <v>-7.6045627376425395E-3</v>
          </cell>
          <cell r="AP111" t="str">
            <v>-na-</v>
          </cell>
          <cell r="AQ111">
            <v>2.5019011406844105</v>
          </cell>
          <cell r="AR111" t="str">
            <v>-na-</v>
          </cell>
          <cell r="AS111">
            <v>1</v>
          </cell>
          <cell r="AT111">
            <v>509</v>
          </cell>
          <cell r="AU111">
            <v>0</v>
          </cell>
          <cell r="AV111">
            <v>0</v>
          </cell>
          <cell r="AW111">
            <v>1</v>
          </cell>
          <cell r="AX111">
            <v>261</v>
          </cell>
          <cell r="AY111">
            <v>0</v>
          </cell>
          <cell r="AZ111">
            <v>0</v>
          </cell>
          <cell r="BA111">
            <v>2</v>
          </cell>
          <cell r="BB111">
            <v>660</v>
          </cell>
        </row>
        <row r="112">
          <cell r="C112" t="str">
            <v>Wellesley Inn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75</v>
          </cell>
          <cell r="N112" t="str">
            <v>Wellesley Inn &amp; Suites</v>
          </cell>
          <cell r="O112">
            <v>1</v>
          </cell>
          <cell r="P112">
            <v>0</v>
          </cell>
          <cell r="Q112">
            <v>0</v>
          </cell>
          <cell r="R112">
            <v>0</v>
          </cell>
          <cell r="S112">
            <v>1</v>
          </cell>
          <cell r="T112">
            <v>65</v>
          </cell>
          <cell r="U112">
            <v>0</v>
          </cell>
          <cell r="V112">
            <v>0</v>
          </cell>
          <cell r="W112">
            <v>0</v>
          </cell>
          <cell r="X112">
            <v>75</v>
          </cell>
          <cell r="Y112">
            <v>-1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-65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 t="str">
            <v>-na-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 t="str">
            <v>-na-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1</v>
          </cell>
          <cell r="AT112">
            <v>65</v>
          </cell>
          <cell r="AU112">
            <v>0</v>
          </cell>
          <cell r="AV112">
            <v>0</v>
          </cell>
          <cell r="AW112">
            <v>1</v>
          </cell>
          <cell r="AX112">
            <v>261</v>
          </cell>
          <cell r="AY112">
            <v>0</v>
          </cell>
          <cell r="AZ112">
            <v>0</v>
          </cell>
          <cell r="BA112">
            <v>2</v>
          </cell>
          <cell r="BB112">
            <v>660</v>
          </cell>
        </row>
        <row r="113">
          <cell r="C113" t="str">
            <v>WestCoast</v>
          </cell>
          <cell r="N113" t="str">
            <v>WestCoast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</row>
        <row r="114">
          <cell r="C114" t="str">
            <v>Westin Hotel</v>
          </cell>
          <cell r="D114">
            <v>3</v>
          </cell>
          <cell r="E114">
            <v>5</v>
          </cell>
          <cell r="F114">
            <v>2</v>
          </cell>
          <cell r="G114">
            <v>7</v>
          </cell>
          <cell r="H114">
            <v>0</v>
          </cell>
          <cell r="I114">
            <v>1534</v>
          </cell>
          <cell r="J114">
            <v>3024</v>
          </cell>
          <cell r="K114">
            <v>825</v>
          </cell>
          <cell r="L114">
            <v>3849</v>
          </cell>
          <cell r="M114">
            <v>0</v>
          </cell>
          <cell r="N114" t="str">
            <v>Westin Hotel</v>
          </cell>
          <cell r="O114">
            <v>3</v>
          </cell>
          <cell r="P114">
            <v>6</v>
          </cell>
          <cell r="Q114">
            <v>2</v>
          </cell>
          <cell r="R114">
            <v>8</v>
          </cell>
          <cell r="S114">
            <v>0</v>
          </cell>
          <cell r="T114">
            <v>793</v>
          </cell>
          <cell r="U114">
            <v>4022</v>
          </cell>
          <cell r="V114">
            <v>825</v>
          </cell>
          <cell r="W114">
            <v>4847</v>
          </cell>
          <cell r="X114">
            <v>0</v>
          </cell>
          <cell r="Y114">
            <v>0</v>
          </cell>
          <cell r="Z114">
            <v>-1</v>
          </cell>
          <cell r="AA114">
            <v>0</v>
          </cell>
          <cell r="AB114">
            <v>-1</v>
          </cell>
          <cell r="AC114">
            <v>0</v>
          </cell>
          <cell r="AD114">
            <v>741</v>
          </cell>
          <cell r="AE114">
            <v>-998</v>
          </cell>
          <cell r="AF114">
            <v>0</v>
          </cell>
          <cell r="AG114">
            <v>-998</v>
          </cell>
          <cell r="AH114">
            <v>0</v>
          </cell>
          <cell r="AI114">
            <v>0</v>
          </cell>
          <cell r="AJ114">
            <v>-0.16666666666666663</v>
          </cell>
          <cell r="AK114">
            <v>0</v>
          </cell>
          <cell r="AL114">
            <v>-0.125</v>
          </cell>
          <cell r="AM114">
            <v>0</v>
          </cell>
          <cell r="AN114">
            <v>0.93442622950819665</v>
          </cell>
          <cell r="AO114">
            <v>-0.24813525609149678</v>
          </cell>
          <cell r="AP114">
            <v>0</v>
          </cell>
          <cell r="AQ114">
            <v>-0.20590055704559518</v>
          </cell>
          <cell r="AR114">
            <v>0</v>
          </cell>
          <cell r="AS114">
            <v>3</v>
          </cell>
          <cell r="AT114">
            <v>793</v>
          </cell>
          <cell r="AU114">
            <v>1</v>
          </cell>
          <cell r="AV114">
            <v>998</v>
          </cell>
          <cell r="AW114">
            <v>0</v>
          </cell>
          <cell r="AX114">
            <v>0</v>
          </cell>
          <cell r="AY114">
            <v>5</v>
          </cell>
          <cell r="AZ114">
            <v>3024</v>
          </cell>
          <cell r="BA114">
            <v>2</v>
          </cell>
          <cell r="BB114">
            <v>825</v>
          </cell>
        </row>
        <row r="115">
          <cell r="C115" t="str">
            <v>Wingate Inn</v>
          </cell>
          <cell r="D115">
            <v>15</v>
          </cell>
          <cell r="E115">
            <v>14</v>
          </cell>
          <cell r="F115">
            <v>12</v>
          </cell>
          <cell r="G115">
            <v>26</v>
          </cell>
          <cell r="H115">
            <v>76</v>
          </cell>
          <cell r="I115">
            <v>1430</v>
          </cell>
          <cell r="J115">
            <v>1386</v>
          </cell>
          <cell r="K115">
            <v>1181</v>
          </cell>
          <cell r="L115">
            <v>2567</v>
          </cell>
          <cell r="M115">
            <v>8699</v>
          </cell>
          <cell r="N115" t="str">
            <v>Wingate Inn</v>
          </cell>
          <cell r="O115">
            <v>16</v>
          </cell>
          <cell r="P115">
            <v>14</v>
          </cell>
          <cell r="Q115">
            <v>11</v>
          </cell>
          <cell r="R115">
            <v>25</v>
          </cell>
          <cell r="S115">
            <v>74</v>
          </cell>
          <cell r="T115">
            <v>1480</v>
          </cell>
          <cell r="U115">
            <v>1380</v>
          </cell>
          <cell r="V115">
            <v>1087</v>
          </cell>
          <cell r="W115">
            <v>2467</v>
          </cell>
          <cell r="X115">
            <v>7964</v>
          </cell>
          <cell r="Y115">
            <v>-1</v>
          </cell>
          <cell r="Z115">
            <v>0</v>
          </cell>
          <cell r="AA115">
            <v>1</v>
          </cell>
          <cell r="AB115">
            <v>1</v>
          </cell>
          <cell r="AC115">
            <v>2</v>
          </cell>
          <cell r="AD115">
            <v>-50</v>
          </cell>
          <cell r="AE115">
            <v>6</v>
          </cell>
          <cell r="AF115">
            <v>94</v>
          </cell>
          <cell r="AG115">
            <v>100</v>
          </cell>
          <cell r="AH115">
            <v>735</v>
          </cell>
          <cell r="AI115">
            <v>-6.25E-2</v>
          </cell>
          <cell r="AJ115">
            <v>0</v>
          </cell>
          <cell r="AK115">
            <v>9.0909090909090828E-2</v>
          </cell>
          <cell r="AL115">
            <v>4.0000000000000036E-2</v>
          </cell>
          <cell r="AM115">
            <v>2.7027027027026973E-2</v>
          </cell>
          <cell r="AN115">
            <v>-3.3783783783783772E-2</v>
          </cell>
          <cell r="AO115">
            <v>4.3478260869564966E-3</v>
          </cell>
          <cell r="AP115">
            <v>8.6476540938362545E-2</v>
          </cell>
          <cell r="AQ115">
            <v>4.053506282934749E-2</v>
          </cell>
          <cell r="AR115">
            <v>9.2290306378704168E-2</v>
          </cell>
          <cell r="AS115">
            <v>16</v>
          </cell>
          <cell r="AT115">
            <v>1480</v>
          </cell>
          <cell r="AU115">
            <v>2</v>
          </cell>
          <cell r="AV115">
            <v>207</v>
          </cell>
          <cell r="AW115">
            <v>13</v>
          </cell>
          <cell r="AX115">
            <v>1286</v>
          </cell>
          <cell r="AY115">
            <v>11</v>
          </cell>
          <cell r="AZ115">
            <v>1023</v>
          </cell>
          <cell r="BA115">
            <v>78</v>
          </cell>
          <cell r="BB115">
            <v>8957</v>
          </cell>
        </row>
        <row r="116">
          <cell r="C116" t="str">
            <v>Woodfin Suites</v>
          </cell>
          <cell r="D116">
            <v>0</v>
          </cell>
          <cell r="E116">
            <v>0</v>
          </cell>
          <cell r="F116">
            <v>1</v>
          </cell>
          <cell r="G116">
            <v>1</v>
          </cell>
          <cell r="H116">
            <v>0</v>
          </cell>
          <cell r="I116">
            <v>0</v>
          </cell>
          <cell r="J116">
            <v>0</v>
          </cell>
          <cell r="K116">
            <v>162</v>
          </cell>
          <cell r="L116">
            <v>162</v>
          </cell>
          <cell r="M116">
            <v>0</v>
          </cell>
          <cell r="N116" t="str">
            <v>Woodfin Suites</v>
          </cell>
          <cell r="O116">
            <v>0</v>
          </cell>
          <cell r="P116">
            <v>0</v>
          </cell>
          <cell r="Q116">
            <v>1</v>
          </cell>
          <cell r="R116">
            <v>1</v>
          </cell>
          <cell r="S116">
            <v>0</v>
          </cell>
          <cell r="T116">
            <v>0</v>
          </cell>
          <cell r="U116">
            <v>0</v>
          </cell>
          <cell r="V116">
            <v>162</v>
          </cell>
          <cell r="W116">
            <v>162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1</v>
          </cell>
          <cell r="BB116">
            <v>162</v>
          </cell>
        </row>
        <row r="117">
          <cell r="C117" t="str">
            <v xml:space="preserve">Wyndham Garden </v>
          </cell>
          <cell r="N117" t="str">
            <v xml:space="preserve">Wyndham Garden 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</row>
        <row r="118">
          <cell r="C118" t="str">
            <v>Wyndham Historic Hotel</v>
          </cell>
          <cell r="N118" t="str">
            <v>Wyndham Historic Hotel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</row>
        <row r="119">
          <cell r="C119" t="str">
            <v>Wyndham Hotel</v>
          </cell>
          <cell r="D119">
            <v>1</v>
          </cell>
          <cell r="E119">
            <v>1</v>
          </cell>
          <cell r="F119">
            <v>1</v>
          </cell>
          <cell r="G119">
            <v>2</v>
          </cell>
          <cell r="H119">
            <v>0</v>
          </cell>
          <cell r="I119">
            <v>396</v>
          </cell>
          <cell r="J119">
            <v>182</v>
          </cell>
          <cell r="K119">
            <v>200</v>
          </cell>
          <cell r="L119">
            <v>382</v>
          </cell>
          <cell r="M119">
            <v>0</v>
          </cell>
          <cell r="N119" t="str">
            <v>Wyndham Hotel</v>
          </cell>
          <cell r="O119">
            <v>2</v>
          </cell>
          <cell r="P119">
            <v>1</v>
          </cell>
          <cell r="Q119">
            <v>0</v>
          </cell>
          <cell r="R119">
            <v>1</v>
          </cell>
          <cell r="S119">
            <v>0</v>
          </cell>
          <cell r="T119">
            <v>576</v>
          </cell>
          <cell r="U119">
            <v>182</v>
          </cell>
          <cell r="V119">
            <v>0</v>
          </cell>
          <cell r="W119">
            <v>182</v>
          </cell>
          <cell r="X119">
            <v>0</v>
          </cell>
          <cell r="Y119">
            <v>-1</v>
          </cell>
          <cell r="Z119">
            <v>0</v>
          </cell>
          <cell r="AA119">
            <v>1</v>
          </cell>
          <cell r="AB119">
            <v>1</v>
          </cell>
          <cell r="AC119">
            <v>0</v>
          </cell>
          <cell r="AD119">
            <v>-180</v>
          </cell>
          <cell r="AE119">
            <v>0</v>
          </cell>
          <cell r="AF119">
            <v>200</v>
          </cell>
          <cell r="AG119">
            <v>200</v>
          </cell>
          <cell r="AH119">
            <v>0</v>
          </cell>
          <cell r="AI119">
            <v>-0.5</v>
          </cell>
          <cell r="AJ119">
            <v>0</v>
          </cell>
          <cell r="AK119" t="str">
            <v>-na-</v>
          </cell>
          <cell r="AL119">
            <v>1</v>
          </cell>
          <cell r="AM119">
            <v>0</v>
          </cell>
          <cell r="AN119">
            <v>-0.3125</v>
          </cell>
          <cell r="AO119">
            <v>0</v>
          </cell>
          <cell r="AP119" t="str">
            <v>-na-</v>
          </cell>
          <cell r="AQ119">
            <v>1.098901098901099</v>
          </cell>
          <cell r="AR119">
            <v>0</v>
          </cell>
          <cell r="AS119">
            <v>2</v>
          </cell>
          <cell r="AT119">
            <v>576</v>
          </cell>
          <cell r="AU119">
            <v>0</v>
          </cell>
          <cell r="AV119">
            <v>0</v>
          </cell>
          <cell r="AW119">
            <v>1</v>
          </cell>
          <cell r="AX119">
            <v>182</v>
          </cell>
          <cell r="AY119">
            <v>1</v>
          </cell>
          <cell r="AZ119">
            <v>200</v>
          </cell>
          <cell r="BA119">
            <v>0</v>
          </cell>
          <cell r="BB119">
            <v>0</v>
          </cell>
        </row>
        <row r="120">
          <cell r="C120" t="str">
            <v>Wyndham Luxury</v>
          </cell>
          <cell r="N120" t="str">
            <v>Wyndham Luxury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1</v>
          </cell>
          <cell r="AX120">
            <v>182</v>
          </cell>
          <cell r="AY120">
            <v>1</v>
          </cell>
          <cell r="AZ120">
            <v>200</v>
          </cell>
          <cell r="BA120">
            <v>0</v>
          </cell>
          <cell r="BB12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Cos Ex 5C"/>
      <sheetName val="Top Cos no supply"/>
      <sheetName val="top cos 2Q"/>
      <sheetName val="Sheet1"/>
      <sheetName val="4Q Top Cos"/>
      <sheetName val="4Q Top Cos (2)"/>
      <sheetName val="lookup"/>
      <sheetName val="chain census"/>
      <sheetName val="new pivots"/>
      <sheetName val="old piv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AW9" t="str">
            <v>Adam's Mark</v>
          </cell>
          <cell r="AX9">
            <v>22</v>
          </cell>
          <cell r="AY9">
            <v>12003</v>
          </cell>
          <cell r="AZ9">
            <v>1</v>
          </cell>
          <cell r="BA9">
            <v>966</v>
          </cell>
          <cell r="BB9">
            <v>1</v>
          </cell>
          <cell r="BC9">
            <v>306</v>
          </cell>
          <cell r="BD9">
            <v>1</v>
          </cell>
          <cell r="BE9">
            <v>1594</v>
          </cell>
          <cell r="BF9">
            <v>2</v>
          </cell>
          <cell r="BG9">
            <v>1900</v>
          </cell>
          <cell r="BH9">
            <v>1</v>
          </cell>
          <cell r="BI9">
            <v>539</v>
          </cell>
          <cell r="BJ9">
            <v>0</v>
          </cell>
          <cell r="BK9">
            <v>0</v>
          </cell>
          <cell r="BL9">
            <v>1</v>
          </cell>
          <cell r="BM9">
            <v>966</v>
          </cell>
          <cell r="BN9">
            <v>0</v>
          </cell>
          <cell r="BO9">
            <v>0</v>
          </cell>
          <cell r="BP9">
            <v>1</v>
          </cell>
          <cell r="BQ9">
            <v>1594</v>
          </cell>
          <cell r="BR9">
            <v>1</v>
          </cell>
          <cell r="BS9">
            <v>539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</row>
        <row r="10">
          <cell r="AW10" t="str">
            <v>Americinn</v>
          </cell>
          <cell r="AX10">
            <v>161</v>
          </cell>
          <cell r="AY10">
            <v>8243</v>
          </cell>
          <cell r="AZ10">
            <v>10</v>
          </cell>
          <cell r="BA10">
            <v>579</v>
          </cell>
          <cell r="BB10">
            <v>4</v>
          </cell>
          <cell r="BC10">
            <v>295</v>
          </cell>
          <cell r="BD10">
            <v>6</v>
          </cell>
          <cell r="BE10">
            <v>384</v>
          </cell>
          <cell r="BF10">
            <v>10</v>
          </cell>
          <cell r="BG10">
            <v>679</v>
          </cell>
          <cell r="BH10">
            <v>2</v>
          </cell>
          <cell r="BI10">
            <v>94</v>
          </cell>
          <cell r="BJ10">
            <v>3</v>
          </cell>
          <cell r="BK10">
            <v>164</v>
          </cell>
          <cell r="BL10">
            <v>8</v>
          </cell>
          <cell r="BM10">
            <v>447</v>
          </cell>
          <cell r="BN10">
            <v>3</v>
          </cell>
          <cell r="BO10">
            <v>146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</row>
        <row r="11">
          <cell r="AW11" t="str">
            <v>AmeriHost Inn</v>
          </cell>
          <cell r="AX11">
            <v>84</v>
          </cell>
          <cell r="AY11">
            <v>5703</v>
          </cell>
          <cell r="AZ11">
            <v>3</v>
          </cell>
          <cell r="BA11">
            <v>188</v>
          </cell>
          <cell r="BB11">
            <v>6</v>
          </cell>
          <cell r="BC11">
            <v>405</v>
          </cell>
          <cell r="BD11">
            <v>21</v>
          </cell>
          <cell r="BE11">
            <v>1696</v>
          </cell>
          <cell r="BF11">
            <v>27</v>
          </cell>
          <cell r="BG11">
            <v>2101</v>
          </cell>
          <cell r="BH11">
            <v>8</v>
          </cell>
          <cell r="BI11">
            <v>712</v>
          </cell>
          <cell r="BJ11">
            <v>3</v>
          </cell>
          <cell r="BK11">
            <v>188</v>
          </cell>
          <cell r="BL11">
            <v>3</v>
          </cell>
          <cell r="BM11">
            <v>188</v>
          </cell>
          <cell r="BN11">
            <v>14</v>
          </cell>
          <cell r="BO11">
            <v>1214</v>
          </cell>
          <cell r="BP11">
            <v>4</v>
          </cell>
          <cell r="BQ11">
            <v>360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</row>
        <row r="12">
          <cell r="AW12" t="str">
            <v>AmeriSuites</v>
          </cell>
          <cell r="AX12">
            <v>135</v>
          </cell>
          <cell r="AY12">
            <v>17181</v>
          </cell>
          <cell r="AZ12">
            <v>5</v>
          </cell>
          <cell r="BA12">
            <v>688</v>
          </cell>
          <cell r="BB12">
            <v>11</v>
          </cell>
          <cell r="BC12">
            <v>1315</v>
          </cell>
          <cell r="BD12">
            <v>9</v>
          </cell>
          <cell r="BE12">
            <v>1124</v>
          </cell>
          <cell r="BF12">
            <v>20</v>
          </cell>
          <cell r="BG12">
            <v>2439</v>
          </cell>
          <cell r="BH12">
            <v>19</v>
          </cell>
          <cell r="BI12">
            <v>2155</v>
          </cell>
          <cell r="BJ12">
            <v>5</v>
          </cell>
          <cell r="BK12">
            <v>702</v>
          </cell>
          <cell r="BL12">
            <v>6</v>
          </cell>
          <cell r="BM12">
            <v>782</v>
          </cell>
          <cell r="BN12">
            <v>15</v>
          </cell>
          <cell r="BO12">
            <v>1727</v>
          </cell>
          <cell r="BP12">
            <v>9</v>
          </cell>
          <cell r="BQ12">
            <v>1225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</row>
        <row r="13">
          <cell r="AW13" t="str">
            <v>Ameritel Inn</v>
          </cell>
          <cell r="AX13">
            <v>135</v>
          </cell>
          <cell r="AY13">
            <v>17181</v>
          </cell>
          <cell r="AZ13">
            <v>1</v>
          </cell>
          <cell r="BA13">
            <v>125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</row>
        <row r="14">
          <cell r="AW14" t="str">
            <v>Aston</v>
          </cell>
          <cell r="AX14">
            <v>38</v>
          </cell>
          <cell r="AY14">
            <v>5730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</row>
        <row r="15">
          <cell r="AW15" t="str">
            <v>Baymont Inn</v>
          </cell>
          <cell r="AX15">
            <v>38</v>
          </cell>
          <cell r="AY15">
            <v>5730</v>
          </cell>
          <cell r="AZ15">
            <v>15</v>
          </cell>
          <cell r="BA15">
            <v>1198</v>
          </cell>
          <cell r="BB15">
            <v>2</v>
          </cell>
          <cell r="BC15">
            <v>139</v>
          </cell>
          <cell r="BD15">
            <v>11</v>
          </cell>
          <cell r="BE15">
            <v>893</v>
          </cell>
          <cell r="BF15">
            <v>13</v>
          </cell>
          <cell r="BG15">
            <v>1032</v>
          </cell>
          <cell r="BH15">
            <v>5</v>
          </cell>
          <cell r="BI15">
            <v>668</v>
          </cell>
          <cell r="BJ15">
            <v>5</v>
          </cell>
          <cell r="BK15">
            <v>432</v>
          </cell>
          <cell r="BL15">
            <v>13</v>
          </cell>
          <cell r="BM15">
            <v>1010</v>
          </cell>
          <cell r="BN15">
            <v>3</v>
          </cell>
          <cell r="BO15">
            <v>304</v>
          </cell>
          <cell r="BP15">
            <v>4</v>
          </cell>
          <cell r="BQ15">
            <v>418</v>
          </cell>
          <cell r="BR15">
            <v>1</v>
          </cell>
          <cell r="BS15">
            <v>250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</row>
        <row r="16">
          <cell r="AW16" t="str">
            <v xml:space="preserve">Best Inn </v>
          </cell>
          <cell r="AX16">
            <v>150</v>
          </cell>
          <cell r="AY16">
            <v>11911</v>
          </cell>
          <cell r="AZ16">
            <v>4</v>
          </cell>
          <cell r="BA16">
            <v>230</v>
          </cell>
          <cell r="BB16">
            <v>1</v>
          </cell>
          <cell r="BC16">
            <v>29</v>
          </cell>
          <cell r="BD16">
            <v>3</v>
          </cell>
          <cell r="BE16">
            <v>162</v>
          </cell>
          <cell r="BF16">
            <v>4</v>
          </cell>
          <cell r="BG16">
            <v>191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4</v>
          </cell>
          <cell r="BM16">
            <v>230</v>
          </cell>
          <cell r="BN16">
            <v>1</v>
          </cell>
          <cell r="BO16">
            <v>40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</row>
        <row r="17">
          <cell r="AW17" t="str">
            <v>Best Western</v>
          </cell>
          <cell r="AX17">
            <v>2113</v>
          </cell>
          <cell r="AY17">
            <v>187845</v>
          </cell>
          <cell r="AZ17">
            <v>58</v>
          </cell>
          <cell r="BA17">
            <v>3536</v>
          </cell>
          <cell r="BB17">
            <v>22</v>
          </cell>
          <cell r="BC17">
            <v>1378</v>
          </cell>
          <cell r="BD17">
            <v>12</v>
          </cell>
          <cell r="BE17">
            <v>862</v>
          </cell>
          <cell r="BF17">
            <v>34</v>
          </cell>
          <cell r="BG17">
            <v>2240</v>
          </cell>
          <cell r="BH17">
            <v>24</v>
          </cell>
          <cell r="BI17">
            <v>1469</v>
          </cell>
          <cell r="BJ17">
            <v>18</v>
          </cell>
          <cell r="BK17">
            <v>1026</v>
          </cell>
          <cell r="BL17">
            <v>48</v>
          </cell>
          <cell r="BM17">
            <v>2833</v>
          </cell>
          <cell r="BN17">
            <v>24</v>
          </cell>
          <cell r="BO17">
            <v>1507</v>
          </cell>
          <cell r="BP17">
            <v>8</v>
          </cell>
          <cell r="BQ17">
            <v>557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</row>
        <row r="18">
          <cell r="AW18" t="str">
            <v>Bradford Homesuites</v>
          </cell>
          <cell r="AX18">
            <v>9</v>
          </cell>
          <cell r="AY18">
            <v>1223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1</v>
          </cell>
          <cell r="BI18">
            <v>80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1</v>
          </cell>
          <cell r="BQ18">
            <v>80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</row>
        <row r="19">
          <cell r="AW19" t="str">
            <v>Budget Host</v>
          </cell>
          <cell r="AX19">
            <v>9</v>
          </cell>
          <cell r="AY19">
            <v>1223</v>
          </cell>
          <cell r="AZ19">
            <v>1</v>
          </cell>
          <cell r="BA19">
            <v>29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1</v>
          </cell>
          <cell r="BI19">
            <v>120</v>
          </cell>
          <cell r="BJ19">
            <v>1</v>
          </cell>
          <cell r="BK19">
            <v>29</v>
          </cell>
          <cell r="BL19">
            <v>1</v>
          </cell>
          <cell r="BM19">
            <v>29</v>
          </cell>
          <cell r="BN19">
            <v>0</v>
          </cell>
          <cell r="BO19">
            <v>0</v>
          </cell>
          <cell r="BP19">
            <v>1</v>
          </cell>
          <cell r="BQ19">
            <v>120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</row>
        <row r="20">
          <cell r="AW20" t="str">
            <v>Budget Suites of America</v>
          </cell>
          <cell r="AX20">
            <v>173</v>
          </cell>
          <cell r="AY20">
            <v>6821</v>
          </cell>
          <cell r="AZ20">
            <v>1</v>
          </cell>
          <cell r="BA20">
            <v>424</v>
          </cell>
          <cell r="BB20">
            <v>0</v>
          </cell>
          <cell r="BC20">
            <v>0</v>
          </cell>
          <cell r="BD20">
            <v>1</v>
          </cell>
          <cell r="BE20">
            <v>360</v>
          </cell>
          <cell r="BF20">
            <v>1</v>
          </cell>
          <cell r="BG20">
            <v>360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1</v>
          </cell>
          <cell r="BO20">
            <v>360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</row>
        <row r="21">
          <cell r="AW21" t="str">
            <v>Candlewood Suites</v>
          </cell>
          <cell r="AX21">
            <v>94</v>
          </cell>
          <cell r="AY21">
            <v>1839</v>
          </cell>
          <cell r="AZ21">
            <v>14</v>
          </cell>
          <cell r="BA21">
            <v>1649</v>
          </cell>
          <cell r="BB21">
            <v>3</v>
          </cell>
          <cell r="BC21">
            <v>303</v>
          </cell>
          <cell r="BD21">
            <v>17</v>
          </cell>
          <cell r="BE21">
            <v>1735</v>
          </cell>
          <cell r="BF21">
            <v>20</v>
          </cell>
          <cell r="BG21">
            <v>2038</v>
          </cell>
          <cell r="BH21">
            <v>9</v>
          </cell>
          <cell r="BI21">
            <v>732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7</v>
          </cell>
          <cell r="BO21">
            <v>665</v>
          </cell>
          <cell r="BP21">
            <v>5</v>
          </cell>
          <cell r="BQ21">
            <v>422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</row>
        <row r="22">
          <cell r="AW22" t="str">
            <v>Clarion</v>
          </cell>
          <cell r="AX22">
            <v>116</v>
          </cell>
          <cell r="AY22">
            <v>10996</v>
          </cell>
          <cell r="AZ22">
            <v>4</v>
          </cell>
          <cell r="BA22">
            <v>367</v>
          </cell>
          <cell r="BB22">
            <v>3</v>
          </cell>
          <cell r="BC22">
            <v>216</v>
          </cell>
          <cell r="BD22">
            <v>0</v>
          </cell>
          <cell r="BE22">
            <v>0</v>
          </cell>
          <cell r="BF22">
            <v>3</v>
          </cell>
          <cell r="BG22">
            <v>216</v>
          </cell>
          <cell r="BH22">
            <v>1</v>
          </cell>
          <cell r="BI22">
            <v>60</v>
          </cell>
          <cell r="BJ22">
            <v>5</v>
          </cell>
          <cell r="BK22">
            <v>595</v>
          </cell>
          <cell r="BL22">
            <v>12</v>
          </cell>
          <cell r="BM22">
            <v>1412</v>
          </cell>
          <cell r="BN22">
            <v>1</v>
          </cell>
          <cell r="BO22">
            <v>60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</row>
        <row r="23">
          <cell r="AW23" t="str">
            <v>Club Hotel by Doubletree</v>
          </cell>
          <cell r="AX23">
            <v>24</v>
          </cell>
          <cell r="AY23">
            <v>17868</v>
          </cell>
          <cell r="AZ23">
            <v>0</v>
          </cell>
          <cell r="BA23">
            <v>0</v>
          </cell>
          <cell r="BB23">
            <v>2</v>
          </cell>
          <cell r="BC23">
            <v>219</v>
          </cell>
          <cell r="BD23">
            <v>1</v>
          </cell>
          <cell r="BE23">
            <v>106</v>
          </cell>
          <cell r="BF23">
            <v>3</v>
          </cell>
          <cell r="BG23">
            <v>325</v>
          </cell>
          <cell r="BH23">
            <v>1</v>
          </cell>
          <cell r="BI23">
            <v>150</v>
          </cell>
          <cell r="BJ23">
            <v>2</v>
          </cell>
          <cell r="BK23">
            <v>159</v>
          </cell>
          <cell r="BL23">
            <v>6</v>
          </cell>
          <cell r="BM23">
            <v>526</v>
          </cell>
          <cell r="BN23">
            <v>0</v>
          </cell>
          <cell r="BO23">
            <v>0</v>
          </cell>
          <cell r="BP23">
            <v>1</v>
          </cell>
          <cell r="BQ23">
            <v>150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</row>
        <row r="24">
          <cell r="AW24" t="str">
            <v>ClubHouse Inn</v>
          </cell>
          <cell r="AX24">
            <v>2</v>
          </cell>
          <cell r="AY24">
            <v>4837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1</v>
          </cell>
          <cell r="BK24">
            <v>110</v>
          </cell>
          <cell r="BL24">
            <v>1</v>
          </cell>
          <cell r="BM24">
            <v>110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</row>
        <row r="25">
          <cell r="AW25" t="str">
            <v>Comfort Inn</v>
          </cell>
          <cell r="AX25">
            <v>1317</v>
          </cell>
          <cell r="AY25">
            <v>972</v>
          </cell>
          <cell r="AZ25">
            <v>35</v>
          </cell>
          <cell r="BA25">
            <v>2251</v>
          </cell>
          <cell r="BB25">
            <v>21</v>
          </cell>
          <cell r="BC25">
            <v>1455</v>
          </cell>
          <cell r="BD25">
            <v>12</v>
          </cell>
          <cell r="BE25">
            <v>831</v>
          </cell>
          <cell r="BF25">
            <v>33</v>
          </cell>
          <cell r="BG25">
            <v>2286</v>
          </cell>
          <cell r="BH25">
            <v>4</v>
          </cell>
          <cell r="BI25">
            <v>293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3</v>
          </cell>
          <cell r="BO25">
            <v>213</v>
          </cell>
          <cell r="BP25">
            <v>1</v>
          </cell>
          <cell r="BQ25">
            <v>100</v>
          </cell>
          <cell r="BR25">
            <v>1</v>
          </cell>
          <cell r="BS25">
            <v>60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</row>
        <row r="26">
          <cell r="AW26" t="str">
            <v>Comfort Suites</v>
          </cell>
          <cell r="AX26">
            <v>301</v>
          </cell>
          <cell r="AY26">
            <v>103409</v>
          </cell>
          <cell r="AZ26">
            <v>38</v>
          </cell>
          <cell r="BA26">
            <v>2946</v>
          </cell>
          <cell r="BB26">
            <v>19</v>
          </cell>
          <cell r="BC26">
            <v>1470</v>
          </cell>
          <cell r="BD26">
            <v>32</v>
          </cell>
          <cell r="BE26">
            <v>2448</v>
          </cell>
          <cell r="BF26">
            <v>51</v>
          </cell>
          <cell r="BG26">
            <v>3918</v>
          </cell>
          <cell r="BH26">
            <v>9</v>
          </cell>
          <cell r="BI26">
            <v>805</v>
          </cell>
          <cell r="BJ26">
            <v>16</v>
          </cell>
          <cell r="BK26">
            <v>1038</v>
          </cell>
          <cell r="BL26">
            <v>30</v>
          </cell>
          <cell r="BM26">
            <v>1943</v>
          </cell>
          <cell r="BN26">
            <v>15</v>
          </cell>
          <cell r="BO26">
            <v>1285</v>
          </cell>
          <cell r="BP26">
            <v>1</v>
          </cell>
          <cell r="BQ26">
            <v>129</v>
          </cell>
          <cell r="BR26">
            <v>1</v>
          </cell>
          <cell r="BS26">
            <v>103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</row>
        <row r="27">
          <cell r="AW27" t="str">
            <v>Country Hearth Inn</v>
          </cell>
          <cell r="AX27">
            <v>58</v>
          </cell>
          <cell r="AY27">
            <v>23873</v>
          </cell>
          <cell r="AZ27">
            <v>8</v>
          </cell>
          <cell r="BA27">
            <v>349</v>
          </cell>
          <cell r="BB27">
            <v>1</v>
          </cell>
          <cell r="BC27">
            <v>100</v>
          </cell>
          <cell r="BD27">
            <v>0</v>
          </cell>
          <cell r="BE27">
            <v>0</v>
          </cell>
          <cell r="BF27">
            <v>1</v>
          </cell>
          <cell r="BG27">
            <v>100</v>
          </cell>
          <cell r="BH27">
            <v>7</v>
          </cell>
          <cell r="BI27">
            <v>349</v>
          </cell>
          <cell r="BJ27">
            <v>21</v>
          </cell>
          <cell r="BK27">
            <v>1750</v>
          </cell>
          <cell r="BL27">
            <v>33</v>
          </cell>
          <cell r="BM27">
            <v>2659</v>
          </cell>
          <cell r="BN27">
            <v>7</v>
          </cell>
          <cell r="BO27">
            <v>349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</row>
        <row r="28">
          <cell r="AW28" t="str">
            <v>Country Inn &amp; Suites</v>
          </cell>
          <cell r="AX28">
            <v>240</v>
          </cell>
          <cell r="AY28">
            <v>3562</v>
          </cell>
          <cell r="AZ28">
            <v>48</v>
          </cell>
          <cell r="BA28">
            <v>3669</v>
          </cell>
          <cell r="BB28">
            <v>24</v>
          </cell>
          <cell r="BC28">
            <v>1995</v>
          </cell>
          <cell r="BD28">
            <v>40</v>
          </cell>
          <cell r="BE28">
            <v>3304</v>
          </cell>
          <cell r="BF28">
            <v>64</v>
          </cell>
          <cell r="BG28">
            <v>5299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6</v>
          </cell>
          <cell r="BM28">
            <v>241</v>
          </cell>
          <cell r="BN28">
            <v>14</v>
          </cell>
          <cell r="BO28">
            <v>1413</v>
          </cell>
          <cell r="BP28">
            <v>3</v>
          </cell>
          <cell r="BQ28">
            <v>352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</row>
        <row r="29">
          <cell r="AW29" t="str">
            <v>Courtyard by Marriott</v>
          </cell>
          <cell r="AX29">
            <v>503</v>
          </cell>
          <cell r="AY29">
            <v>18377</v>
          </cell>
          <cell r="AZ29">
            <v>36</v>
          </cell>
          <cell r="BA29">
            <v>5528</v>
          </cell>
          <cell r="BB29">
            <v>32</v>
          </cell>
          <cell r="BC29">
            <v>4834</v>
          </cell>
          <cell r="BD29">
            <v>49</v>
          </cell>
          <cell r="BE29">
            <v>6508</v>
          </cell>
          <cell r="BF29">
            <v>81</v>
          </cell>
          <cell r="BG29">
            <v>11342</v>
          </cell>
          <cell r="BH29">
            <v>25</v>
          </cell>
          <cell r="BI29">
            <v>4300</v>
          </cell>
          <cell r="BJ29">
            <v>21</v>
          </cell>
          <cell r="BK29">
            <v>1635</v>
          </cell>
          <cell r="BL29">
            <v>46</v>
          </cell>
          <cell r="BM29">
            <v>3529</v>
          </cell>
          <cell r="BN29">
            <v>39</v>
          </cell>
          <cell r="BO29">
            <v>5086</v>
          </cell>
          <cell r="BP29">
            <v>29</v>
          </cell>
          <cell r="BQ29">
            <v>5001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</row>
        <row r="30">
          <cell r="AW30" t="str">
            <v>Crossland Economy Studios</v>
          </cell>
          <cell r="AX30">
            <v>503</v>
          </cell>
          <cell r="AY30">
            <v>69979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12</v>
          </cell>
          <cell r="BK30">
            <v>1916</v>
          </cell>
          <cell r="BL30">
            <v>28</v>
          </cell>
          <cell r="BM30">
            <v>4375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</row>
        <row r="31">
          <cell r="AW31" t="str">
            <v>Crowne Plaza</v>
          </cell>
          <cell r="AX31">
            <v>39</v>
          </cell>
          <cell r="AY31">
            <v>5068</v>
          </cell>
          <cell r="AZ31">
            <v>2</v>
          </cell>
          <cell r="BA31">
            <v>643</v>
          </cell>
          <cell r="BB31">
            <v>7</v>
          </cell>
          <cell r="BC31">
            <v>2007</v>
          </cell>
          <cell r="BD31">
            <v>2</v>
          </cell>
          <cell r="BE31">
            <v>325</v>
          </cell>
          <cell r="BF31">
            <v>9</v>
          </cell>
          <cell r="BG31">
            <v>2332</v>
          </cell>
          <cell r="BH31">
            <v>1</v>
          </cell>
          <cell r="BI31">
            <v>303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1</v>
          </cell>
          <cell r="BO31">
            <v>125</v>
          </cell>
          <cell r="BP31">
            <v>2</v>
          </cell>
          <cell r="BQ31">
            <v>503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</row>
        <row r="32">
          <cell r="AW32" t="str">
            <v>Days Inn</v>
          </cell>
          <cell r="AX32">
            <v>77</v>
          </cell>
          <cell r="AY32">
            <v>23725</v>
          </cell>
          <cell r="AZ32">
            <v>16</v>
          </cell>
          <cell r="BA32">
            <v>739</v>
          </cell>
          <cell r="BB32">
            <v>4</v>
          </cell>
          <cell r="BC32">
            <v>218</v>
          </cell>
          <cell r="BD32">
            <v>20</v>
          </cell>
          <cell r="BE32">
            <v>1860</v>
          </cell>
          <cell r="BF32">
            <v>24</v>
          </cell>
          <cell r="BG32">
            <v>2078</v>
          </cell>
          <cell r="BH32">
            <v>19</v>
          </cell>
          <cell r="BI32">
            <v>2458</v>
          </cell>
          <cell r="BJ32">
            <v>3</v>
          </cell>
          <cell r="BK32">
            <v>703</v>
          </cell>
          <cell r="BL32">
            <v>3</v>
          </cell>
          <cell r="BM32">
            <v>703</v>
          </cell>
          <cell r="BN32">
            <v>18</v>
          </cell>
          <cell r="BO32">
            <v>1436</v>
          </cell>
          <cell r="BP32">
            <v>11</v>
          </cell>
          <cell r="BQ32">
            <v>2147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</row>
        <row r="33">
          <cell r="AW33" t="str">
            <v>Doubletree Guest Suites</v>
          </cell>
          <cell r="AX33">
            <v>1815</v>
          </cell>
          <cell r="AY33">
            <v>154069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1</v>
          </cell>
          <cell r="BE33">
            <v>253</v>
          </cell>
          <cell r="BF33">
            <v>1</v>
          </cell>
          <cell r="BG33">
            <v>253</v>
          </cell>
          <cell r="BH33">
            <v>0</v>
          </cell>
          <cell r="BI33">
            <v>0</v>
          </cell>
          <cell r="BJ33">
            <v>8</v>
          </cell>
          <cell r="BK33">
            <v>385</v>
          </cell>
          <cell r="BL33">
            <v>13</v>
          </cell>
          <cell r="BM33">
            <v>606</v>
          </cell>
          <cell r="BN33">
            <v>1</v>
          </cell>
          <cell r="BO33">
            <v>253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</row>
        <row r="34">
          <cell r="AW34" t="str">
            <v>Doubletree Hotel</v>
          </cell>
          <cell r="AX34">
            <v>35</v>
          </cell>
          <cell r="AY34">
            <v>7588</v>
          </cell>
          <cell r="AZ34">
            <v>2</v>
          </cell>
          <cell r="BA34">
            <v>549</v>
          </cell>
          <cell r="BB34">
            <v>2</v>
          </cell>
          <cell r="BC34">
            <v>501</v>
          </cell>
          <cell r="BD34">
            <v>4</v>
          </cell>
          <cell r="BE34">
            <v>1840</v>
          </cell>
          <cell r="BF34">
            <v>6</v>
          </cell>
          <cell r="BG34">
            <v>2341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2</v>
          </cell>
          <cell r="BO34">
            <v>420</v>
          </cell>
          <cell r="BP34">
            <v>1</v>
          </cell>
          <cell r="BQ34">
            <v>220</v>
          </cell>
          <cell r="BR34">
            <v>1</v>
          </cell>
          <cell r="BS34">
            <v>1200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</row>
        <row r="35">
          <cell r="AW35" t="str">
            <v>Drury Inn</v>
          </cell>
          <cell r="AX35">
            <v>95</v>
          </cell>
          <cell r="AY35">
            <v>28879</v>
          </cell>
          <cell r="AZ35">
            <v>4</v>
          </cell>
          <cell r="BA35">
            <v>561</v>
          </cell>
          <cell r="BB35">
            <v>5</v>
          </cell>
          <cell r="BC35">
            <v>873</v>
          </cell>
          <cell r="BD35">
            <v>3</v>
          </cell>
          <cell r="BE35">
            <v>423</v>
          </cell>
          <cell r="BF35">
            <v>8</v>
          </cell>
          <cell r="BG35">
            <v>1296</v>
          </cell>
          <cell r="BH35">
            <v>1</v>
          </cell>
          <cell r="BI35">
            <v>160</v>
          </cell>
          <cell r="BJ35">
            <v>0</v>
          </cell>
          <cell r="BK35">
            <v>0</v>
          </cell>
          <cell r="BL35">
            <v>2</v>
          </cell>
          <cell r="BM35">
            <v>549</v>
          </cell>
          <cell r="BN35">
            <v>2</v>
          </cell>
          <cell r="BO35">
            <v>320</v>
          </cell>
          <cell r="BP35">
            <v>3</v>
          </cell>
          <cell r="BQ35">
            <v>449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</row>
        <row r="36">
          <cell r="AW36" t="str">
            <v>Econo Lodge</v>
          </cell>
          <cell r="AX36">
            <v>73</v>
          </cell>
          <cell r="AY36">
            <v>9428</v>
          </cell>
          <cell r="AZ36">
            <v>5</v>
          </cell>
          <cell r="BA36">
            <v>231</v>
          </cell>
          <cell r="BB36">
            <v>1</v>
          </cell>
          <cell r="BC36">
            <v>50</v>
          </cell>
          <cell r="BD36">
            <v>4</v>
          </cell>
          <cell r="BE36">
            <v>170</v>
          </cell>
          <cell r="BF36">
            <v>5</v>
          </cell>
          <cell r="BG36">
            <v>220</v>
          </cell>
          <cell r="BH36">
            <v>1</v>
          </cell>
          <cell r="BI36">
            <v>51</v>
          </cell>
          <cell r="BJ36">
            <v>2</v>
          </cell>
          <cell r="BK36">
            <v>243</v>
          </cell>
          <cell r="BL36">
            <v>4</v>
          </cell>
          <cell r="BM36">
            <v>544</v>
          </cell>
          <cell r="BN36">
            <v>2</v>
          </cell>
          <cell r="BO36">
            <v>86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</row>
        <row r="37">
          <cell r="AW37" t="str">
            <v>Embassy Suites</v>
          </cell>
          <cell r="AX37">
            <v>73</v>
          </cell>
          <cell r="AY37">
            <v>9428</v>
          </cell>
          <cell r="AZ37">
            <v>6</v>
          </cell>
          <cell r="BA37">
            <v>1383</v>
          </cell>
          <cell r="BB37">
            <v>7</v>
          </cell>
          <cell r="BC37">
            <v>1743</v>
          </cell>
          <cell r="BD37">
            <v>13</v>
          </cell>
          <cell r="BE37">
            <v>2991</v>
          </cell>
          <cell r="BF37">
            <v>20</v>
          </cell>
          <cell r="BG37">
            <v>4734</v>
          </cell>
          <cell r="BH37">
            <v>7</v>
          </cell>
          <cell r="BI37">
            <v>1560</v>
          </cell>
          <cell r="BJ37">
            <v>0</v>
          </cell>
          <cell r="BK37">
            <v>0</v>
          </cell>
          <cell r="BL37">
            <v>3</v>
          </cell>
          <cell r="BM37">
            <v>155</v>
          </cell>
          <cell r="BN37">
            <v>8</v>
          </cell>
          <cell r="BO37">
            <v>1490</v>
          </cell>
          <cell r="BP37">
            <v>12</v>
          </cell>
          <cell r="BQ37">
            <v>3069</v>
          </cell>
          <cell r="BR37">
            <v>2</v>
          </cell>
          <cell r="BS37">
            <v>517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</row>
        <row r="38">
          <cell r="AW38" t="str">
            <v>Extended Stay America</v>
          </cell>
          <cell r="AX38">
            <v>166</v>
          </cell>
          <cell r="AY38">
            <v>40480</v>
          </cell>
          <cell r="AZ38">
            <v>28</v>
          </cell>
          <cell r="BA38">
            <v>3116</v>
          </cell>
          <cell r="BB38">
            <v>33</v>
          </cell>
          <cell r="BC38">
            <v>3539</v>
          </cell>
          <cell r="BD38">
            <v>14</v>
          </cell>
          <cell r="BE38">
            <v>1521</v>
          </cell>
          <cell r="BF38">
            <v>47</v>
          </cell>
          <cell r="BG38">
            <v>5060</v>
          </cell>
          <cell r="BH38">
            <v>0</v>
          </cell>
          <cell r="BI38">
            <v>0</v>
          </cell>
          <cell r="BJ38">
            <v>3</v>
          </cell>
          <cell r="BK38">
            <v>796</v>
          </cell>
          <cell r="BL38">
            <v>7</v>
          </cell>
          <cell r="BM38">
            <v>1862</v>
          </cell>
          <cell r="BN38">
            <v>9</v>
          </cell>
          <cell r="BO38">
            <v>1004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</row>
        <row r="39">
          <cell r="AW39" t="str">
            <v>Fairfield Inn</v>
          </cell>
          <cell r="AX39">
            <v>277</v>
          </cell>
          <cell r="AY39">
            <v>30947</v>
          </cell>
          <cell r="AZ39">
            <v>21</v>
          </cell>
          <cell r="BA39">
            <v>2234</v>
          </cell>
          <cell r="BB39">
            <v>21</v>
          </cell>
          <cell r="BC39">
            <v>1974</v>
          </cell>
          <cell r="BD39">
            <v>25</v>
          </cell>
          <cell r="BE39">
            <v>2286</v>
          </cell>
          <cell r="BF39">
            <v>46</v>
          </cell>
          <cell r="BG39">
            <v>4260</v>
          </cell>
          <cell r="BH39">
            <v>9</v>
          </cell>
          <cell r="BI39">
            <v>803</v>
          </cell>
          <cell r="BJ39">
            <v>21</v>
          </cell>
          <cell r="BK39">
            <v>2208</v>
          </cell>
          <cell r="BL39">
            <v>34</v>
          </cell>
          <cell r="BM39">
            <v>3639</v>
          </cell>
          <cell r="BN39">
            <v>27</v>
          </cell>
          <cell r="BO39">
            <v>2455</v>
          </cell>
          <cell r="BP39">
            <v>2</v>
          </cell>
          <cell r="BQ39">
            <v>215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</row>
        <row r="40">
          <cell r="AW40" t="str">
            <v>Fairmont Hotel</v>
          </cell>
          <cell r="AX40">
            <v>473</v>
          </cell>
          <cell r="AY40">
            <v>45337</v>
          </cell>
          <cell r="AZ40">
            <v>0</v>
          </cell>
          <cell r="BA40">
            <v>0</v>
          </cell>
          <cell r="BB40">
            <v>1</v>
          </cell>
          <cell r="BC40">
            <v>264</v>
          </cell>
          <cell r="BD40">
            <v>0</v>
          </cell>
          <cell r="BE40">
            <v>0</v>
          </cell>
          <cell r="BF40">
            <v>1</v>
          </cell>
          <cell r="BG40">
            <v>264</v>
          </cell>
          <cell r="BH40">
            <v>0</v>
          </cell>
          <cell r="BI40">
            <v>0</v>
          </cell>
          <cell r="BJ40">
            <v>12</v>
          </cell>
          <cell r="BK40">
            <v>1253</v>
          </cell>
          <cell r="BL40">
            <v>21</v>
          </cell>
          <cell r="BM40">
            <v>2064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</row>
        <row r="41">
          <cell r="AW41" t="str">
            <v>Four Points Hotel</v>
          </cell>
          <cell r="AX41">
            <v>10</v>
          </cell>
          <cell r="AY41">
            <v>5576</v>
          </cell>
          <cell r="AZ41">
            <v>2</v>
          </cell>
          <cell r="BA41">
            <v>268</v>
          </cell>
          <cell r="BB41">
            <v>1</v>
          </cell>
          <cell r="BC41">
            <v>124</v>
          </cell>
          <cell r="BD41">
            <v>2</v>
          </cell>
          <cell r="BE41">
            <v>315</v>
          </cell>
          <cell r="BF41">
            <v>3</v>
          </cell>
          <cell r="BG41">
            <v>439</v>
          </cell>
          <cell r="BH41">
            <v>1</v>
          </cell>
          <cell r="BI41">
            <v>100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2</v>
          </cell>
          <cell r="BO41">
            <v>315</v>
          </cell>
          <cell r="BP41">
            <v>1</v>
          </cell>
          <cell r="BQ41">
            <v>100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</row>
        <row r="42">
          <cell r="AW42" t="str">
            <v>Four Seasons</v>
          </cell>
          <cell r="AX42">
            <v>108</v>
          </cell>
          <cell r="AY42">
            <v>21093</v>
          </cell>
          <cell r="AZ42">
            <v>0</v>
          </cell>
          <cell r="BA42">
            <v>0</v>
          </cell>
          <cell r="BB42">
            <v>3</v>
          </cell>
          <cell r="BC42">
            <v>624</v>
          </cell>
          <cell r="BD42">
            <v>0</v>
          </cell>
          <cell r="BE42">
            <v>0</v>
          </cell>
          <cell r="BF42">
            <v>3</v>
          </cell>
          <cell r="BG42">
            <v>624</v>
          </cell>
          <cell r="BH42">
            <v>0</v>
          </cell>
          <cell r="BI42">
            <v>0</v>
          </cell>
          <cell r="BJ42">
            <v>2</v>
          </cell>
          <cell r="BK42">
            <v>268</v>
          </cell>
          <cell r="BL42">
            <v>2</v>
          </cell>
          <cell r="BM42">
            <v>268</v>
          </cell>
          <cell r="BN42">
            <v>1</v>
          </cell>
          <cell r="BO42">
            <v>125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</row>
        <row r="43">
          <cell r="AW43" t="str">
            <v>Friendship Inn</v>
          </cell>
          <cell r="AX43">
            <v>23</v>
          </cell>
          <cell r="AY43">
            <v>7208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1</v>
          </cell>
          <cell r="BK43">
            <v>277</v>
          </cell>
          <cell r="BL43">
            <v>1</v>
          </cell>
          <cell r="BM43">
            <v>277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</row>
        <row r="44">
          <cell r="AW44" t="str">
            <v>GuestHouse Inn</v>
          </cell>
          <cell r="AX44">
            <v>7</v>
          </cell>
          <cell r="AY44">
            <v>210</v>
          </cell>
          <cell r="AZ44">
            <v>7</v>
          </cell>
          <cell r="BA44">
            <v>317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</row>
        <row r="45">
          <cell r="AW45" t="str">
            <v>Hampton Inn</v>
          </cell>
          <cell r="AX45">
            <v>6</v>
          </cell>
          <cell r="AY45">
            <v>267</v>
          </cell>
          <cell r="AZ45">
            <v>70</v>
          </cell>
          <cell r="BA45">
            <v>5934</v>
          </cell>
          <cell r="BB45">
            <v>41</v>
          </cell>
          <cell r="BC45">
            <v>3466</v>
          </cell>
          <cell r="BD45">
            <v>33</v>
          </cell>
          <cell r="BE45">
            <v>2784</v>
          </cell>
          <cell r="BF45">
            <v>74</v>
          </cell>
          <cell r="BG45">
            <v>6250</v>
          </cell>
          <cell r="BH45">
            <v>1</v>
          </cell>
          <cell r="BI45">
            <v>72</v>
          </cell>
          <cell r="BJ45">
            <v>1</v>
          </cell>
          <cell r="BK45">
            <v>39</v>
          </cell>
          <cell r="BL45">
            <v>6</v>
          </cell>
          <cell r="BM45">
            <v>252</v>
          </cell>
          <cell r="BN45">
            <v>10</v>
          </cell>
          <cell r="BO45">
            <v>862</v>
          </cell>
          <cell r="BP45">
            <v>1</v>
          </cell>
          <cell r="BQ45">
            <v>220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</row>
        <row r="46">
          <cell r="AW46" t="str">
            <v>Hampton Inn &amp; Suites</v>
          </cell>
          <cell r="AX46">
            <v>1020</v>
          </cell>
          <cell r="AY46">
            <v>102635</v>
          </cell>
          <cell r="AZ46">
            <v>17</v>
          </cell>
          <cell r="BA46">
            <v>1788</v>
          </cell>
          <cell r="BB46">
            <v>20</v>
          </cell>
          <cell r="BC46">
            <v>1970</v>
          </cell>
          <cell r="BD46">
            <v>43</v>
          </cell>
          <cell r="BE46">
            <v>4239</v>
          </cell>
          <cell r="BF46">
            <v>63</v>
          </cell>
          <cell r="BG46">
            <v>6209</v>
          </cell>
          <cell r="BH46">
            <v>6</v>
          </cell>
          <cell r="BI46">
            <v>559</v>
          </cell>
          <cell r="BJ46">
            <v>30</v>
          </cell>
          <cell r="BK46">
            <v>2715</v>
          </cell>
          <cell r="BL46">
            <v>65</v>
          </cell>
          <cell r="BM46">
            <v>5509</v>
          </cell>
          <cell r="BN46">
            <v>19</v>
          </cell>
          <cell r="BO46">
            <v>1956</v>
          </cell>
          <cell r="BP46">
            <v>5</v>
          </cell>
          <cell r="BQ46">
            <v>479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</row>
        <row r="47">
          <cell r="AW47" t="str">
            <v>Hawthorn Suites</v>
          </cell>
          <cell r="AX47">
            <v>103</v>
          </cell>
          <cell r="AY47">
            <v>12213</v>
          </cell>
          <cell r="AZ47">
            <v>14</v>
          </cell>
          <cell r="BA47">
            <v>1152</v>
          </cell>
          <cell r="BB47">
            <v>5</v>
          </cell>
          <cell r="BC47">
            <v>371</v>
          </cell>
          <cell r="BD47">
            <v>8</v>
          </cell>
          <cell r="BE47">
            <v>747</v>
          </cell>
          <cell r="BF47">
            <v>13</v>
          </cell>
          <cell r="BG47">
            <v>1118</v>
          </cell>
          <cell r="BH47">
            <v>37</v>
          </cell>
          <cell r="BI47">
            <v>3197</v>
          </cell>
          <cell r="BJ47">
            <v>6</v>
          </cell>
          <cell r="BK47">
            <v>582</v>
          </cell>
          <cell r="BL47">
            <v>14</v>
          </cell>
          <cell r="BM47">
            <v>1330</v>
          </cell>
          <cell r="BN47">
            <v>24</v>
          </cell>
          <cell r="BO47">
            <v>1890</v>
          </cell>
          <cell r="BP47">
            <v>16</v>
          </cell>
          <cell r="BQ47">
            <v>1634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</row>
        <row r="48">
          <cell r="AW48" t="str">
            <v>Hawthorn Suites LTD.</v>
          </cell>
          <cell r="AX48">
            <v>115</v>
          </cell>
          <cell r="AY48">
            <v>11793</v>
          </cell>
          <cell r="AZ48">
            <v>10</v>
          </cell>
          <cell r="BA48">
            <v>718</v>
          </cell>
          <cell r="BB48">
            <v>9</v>
          </cell>
          <cell r="BC48">
            <v>630</v>
          </cell>
          <cell r="BD48">
            <v>8</v>
          </cell>
          <cell r="BE48">
            <v>674</v>
          </cell>
          <cell r="BF48">
            <v>17</v>
          </cell>
          <cell r="BG48">
            <v>1304</v>
          </cell>
          <cell r="BH48">
            <v>7</v>
          </cell>
          <cell r="BI48">
            <v>602</v>
          </cell>
          <cell r="BJ48">
            <v>3</v>
          </cell>
          <cell r="BK48">
            <v>271</v>
          </cell>
          <cell r="BL48">
            <v>8</v>
          </cell>
          <cell r="BM48">
            <v>691</v>
          </cell>
          <cell r="BN48">
            <v>4</v>
          </cell>
          <cell r="BO48">
            <v>312</v>
          </cell>
          <cell r="BP48">
            <v>3</v>
          </cell>
          <cell r="BQ48">
            <v>310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</row>
        <row r="49">
          <cell r="AW49" t="str">
            <v>Hearthside Inn</v>
          </cell>
          <cell r="AX49">
            <v>41</v>
          </cell>
          <cell r="AY49">
            <v>2995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2</v>
          </cell>
          <cell r="BI49">
            <v>293</v>
          </cell>
          <cell r="BJ49">
            <v>3</v>
          </cell>
          <cell r="BK49">
            <v>186</v>
          </cell>
          <cell r="BL49">
            <v>9</v>
          </cell>
          <cell r="BM49">
            <v>614</v>
          </cell>
          <cell r="BN49">
            <v>1</v>
          </cell>
          <cell r="BO49">
            <v>148</v>
          </cell>
          <cell r="BP49">
            <v>1</v>
          </cell>
          <cell r="BQ49">
            <v>145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</row>
        <row r="50">
          <cell r="AW50" t="str">
            <v>Helmsley Hotel</v>
          </cell>
          <cell r="AX50">
            <v>41</v>
          </cell>
          <cell r="AY50">
            <v>2995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</row>
        <row r="51">
          <cell r="AW51" t="str">
            <v>Hilton Garden Inn</v>
          </cell>
          <cell r="AX51">
            <v>6</v>
          </cell>
          <cell r="AY51">
            <v>2203</v>
          </cell>
          <cell r="AZ51">
            <v>30</v>
          </cell>
          <cell r="BA51">
            <v>4033</v>
          </cell>
          <cell r="BB51">
            <v>40</v>
          </cell>
          <cell r="BC51">
            <v>5435</v>
          </cell>
          <cell r="BD51">
            <v>60</v>
          </cell>
          <cell r="BE51">
            <v>7724</v>
          </cell>
          <cell r="BF51">
            <v>100</v>
          </cell>
          <cell r="BG51">
            <v>13159</v>
          </cell>
          <cell r="BH51">
            <v>6</v>
          </cell>
          <cell r="BI51">
            <v>831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42</v>
          </cell>
          <cell r="BO51">
            <v>5200</v>
          </cell>
          <cell r="BP51">
            <v>9</v>
          </cell>
          <cell r="BQ51">
            <v>1731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</row>
        <row r="52">
          <cell r="AW52" t="str">
            <v>Hilton Hotel</v>
          </cell>
          <cell r="AX52">
            <v>111</v>
          </cell>
          <cell r="AY52">
            <v>15468</v>
          </cell>
          <cell r="AZ52">
            <v>9</v>
          </cell>
          <cell r="BA52">
            <v>2245</v>
          </cell>
          <cell r="BB52">
            <v>5</v>
          </cell>
          <cell r="BC52">
            <v>2760</v>
          </cell>
          <cell r="BD52">
            <v>5</v>
          </cell>
          <cell r="BE52">
            <v>2520</v>
          </cell>
          <cell r="BF52">
            <v>10</v>
          </cell>
          <cell r="BG52">
            <v>5280</v>
          </cell>
          <cell r="BH52">
            <v>4</v>
          </cell>
          <cell r="BI52">
            <v>1012</v>
          </cell>
          <cell r="BJ52">
            <v>20</v>
          </cell>
          <cell r="BK52">
            <v>2615</v>
          </cell>
          <cell r="BL52">
            <v>33</v>
          </cell>
          <cell r="BM52">
            <v>4315</v>
          </cell>
          <cell r="BN52">
            <v>3</v>
          </cell>
          <cell r="BO52">
            <v>720</v>
          </cell>
          <cell r="BP52">
            <v>7</v>
          </cell>
          <cell r="BQ52">
            <v>3412</v>
          </cell>
          <cell r="BR52">
            <v>1</v>
          </cell>
          <cell r="BS52">
            <v>1400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</row>
        <row r="53">
          <cell r="AW53" t="str">
            <v>HoJo Inn</v>
          </cell>
          <cell r="AX53">
            <v>227</v>
          </cell>
          <cell r="AY53">
            <v>94640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1</v>
          </cell>
          <cell r="BK53">
            <v>453</v>
          </cell>
          <cell r="BL53">
            <v>6</v>
          </cell>
          <cell r="BM53">
            <v>1504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</row>
        <row r="54">
          <cell r="AW54" t="str">
            <v>Holiday Inn</v>
          </cell>
          <cell r="AX54">
            <v>161</v>
          </cell>
          <cell r="AY54">
            <v>42495</v>
          </cell>
          <cell r="AZ54">
            <v>7</v>
          </cell>
          <cell r="BA54">
            <v>960</v>
          </cell>
          <cell r="BB54">
            <v>4</v>
          </cell>
          <cell r="BC54">
            <v>590</v>
          </cell>
          <cell r="BD54">
            <v>21</v>
          </cell>
          <cell r="BE54">
            <v>2476</v>
          </cell>
          <cell r="BF54">
            <v>25</v>
          </cell>
          <cell r="BG54">
            <v>3066</v>
          </cell>
          <cell r="BH54">
            <v>1</v>
          </cell>
          <cell r="BI54">
            <v>120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13</v>
          </cell>
          <cell r="BO54">
            <v>1468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</row>
        <row r="55">
          <cell r="AW55" t="str">
            <v>Holiday Inn Express</v>
          </cell>
          <cell r="AX55">
            <v>968</v>
          </cell>
          <cell r="AY55">
            <v>182601</v>
          </cell>
          <cell r="AZ55">
            <v>111</v>
          </cell>
          <cell r="BA55">
            <v>8710</v>
          </cell>
          <cell r="BB55">
            <v>76</v>
          </cell>
          <cell r="BC55">
            <v>6027</v>
          </cell>
          <cell r="BD55">
            <v>119</v>
          </cell>
          <cell r="BE55">
            <v>9428</v>
          </cell>
          <cell r="BF55">
            <v>195</v>
          </cell>
          <cell r="BG55">
            <v>15455</v>
          </cell>
          <cell r="BH55">
            <v>26</v>
          </cell>
          <cell r="BI55">
            <v>2244</v>
          </cell>
          <cell r="BJ55">
            <v>5</v>
          </cell>
          <cell r="BK55">
            <v>789</v>
          </cell>
          <cell r="BL55">
            <v>7</v>
          </cell>
          <cell r="BM55">
            <v>1087</v>
          </cell>
          <cell r="BN55">
            <v>61</v>
          </cell>
          <cell r="BO55">
            <v>5094</v>
          </cell>
          <cell r="BP55">
            <v>5</v>
          </cell>
          <cell r="BQ55">
            <v>501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</row>
        <row r="56">
          <cell r="AW56" t="str">
            <v>Holiday Inn Express &amp; Suites</v>
          </cell>
          <cell r="AX56">
            <v>1113</v>
          </cell>
          <cell r="AY56">
            <v>87196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57</v>
          </cell>
          <cell r="BK56">
            <v>4174</v>
          </cell>
          <cell r="BL56">
            <v>118</v>
          </cell>
          <cell r="BM56">
            <v>9008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</row>
        <row r="57">
          <cell r="AW57" t="str">
            <v>Holiday Inn Select</v>
          </cell>
          <cell r="AX57">
            <v>1113</v>
          </cell>
          <cell r="AY57">
            <v>87196</v>
          </cell>
          <cell r="AZ57">
            <v>2</v>
          </cell>
          <cell r="BA57">
            <v>349</v>
          </cell>
          <cell r="BB57">
            <v>3</v>
          </cell>
          <cell r="BC57">
            <v>573</v>
          </cell>
          <cell r="BD57">
            <v>3</v>
          </cell>
          <cell r="BE57">
            <v>652</v>
          </cell>
          <cell r="BF57">
            <v>6</v>
          </cell>
          <cell r="BG57">
            <v>1225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2</v>
          </cell>
          <cell r="BO57">
            <v>502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</row>
        <row r="58">
          <cell r="AW58" t="str">
            <v>Homestead Village</v>
          </cell>
          <cell r="AX58">
            <v>75</v>
          </cell>
          <cell r="AY58">
            <v>19547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</row>
        <row r="59">
          <cell r="AW59" t="str">
            <v>HomeTown Suites</v>
          </cell>
          <cell r="AX59">
            <v>135</v>
          </cell>
          <cell r="AY59">
            <v>17988</v>
          </cell>
          <cell r="AZ59">
            <v>1</v>
          </cell>
          <cell r="BA59">
            <v>69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1</v>
          </cell>
          <cell r="BK59">
            <v>40</v>
          </cell>
          <cell r="BL59">
            <v>1</v>
          </cell>
          <cell r="BM59">
            <v>40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</row>
        <row r="60">
          <cell r="AW60" t="str">
            <v>Homewood Suites by Hilton</v>
          </cell>
          <cell r="AX60">
            <v>135</v>
          </cell>
          <cell r="AY60">
            <v>17988</v>
          </cell>
          <cell r="AZ60">
            <v>14</v>
          </cell>
          <cell r="BA60">
            <v>1599</v>
          </cell>
          <cell r="BB60">
            <v>10</v>
          </cell>
          <cell r="BC60">
            <v>1323</v>
          </cell>
          <cell r="BD60">
            <v>23</v>
          </cell>
          <cell r="BE60">
            <v>2740</v>
          </cell>
          <cell r="BF60">
            <v>33</v>
          </cell>
          <cell r="BG60">
            <v>4063</v>
          </cell>
          <cell r="BH60">
            <v>2</v>
          </cell>
          <cell r="BI60">
            <v>288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16</v>
          </cell>
          <cell r="BO60">
            <v>1956</v>
          </cell>
          <cell r="BP60">
            <v>2</v>
          </cell>
          <cell r="BQ60">
            <v>373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</row>
        <row r="61">
          <cell r="AW61" t="str">
            <v>Hotel Sofitel</v>
          </cell>
          <cell r="AX61">
            <v>5</v>
          </cell>
          <cell r="AY61">
            <v>393</v>
          </cell>
          <cell r="AZ61">
            <v>0</v>
          </cell>
          <cell r="BA61">
            <v>0</v>
          </cell>
          <cell r="BB61">
            <v>2</v>
          </cell>
          <cell r="BC61">
            <v>649</v>
          </cell>
          <cell r="BD61">
            <v>1</v>
          </cell>
          <cell r="BE61">
            <v>400</v>
          </cell>
          <cell r="BF61">
            <v>3</v>
          </cell>
          <cell r="BG61">
            <v>1049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1</v>
          </cell>
          <cell r="BQ61">
            <v>400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</row>
        <row r="62">
          <cell r="AW62" t="str">
            <v>Howard Johnson</v>
          </cell>
          <cell r="AX62">
            <v>104</v>
          </cell>
          <cell r="AY62">
            <v>11673</v>
          </cell>
          <cell r="AZ62">
            <v>5</v>
          </cell>
          <cell r="BA62">
            <v>265</v>
          </cell>
          <cell r="BB62">
            <v>5</v>
          </cell>
          <cell r="BC62">
            <v>415</v>
          </cell>
          <cell r="BD62">
            <v>8</v>
          </cell>
          <cell r="BE62">
            <v>677</v>
          </cell>
          <cell r="BF62">
            <v>13</v>
          </cell>
          <cell r="BG62">
            <v>1092</v>
          </cell>
          <cell r="BH62">
            <v>2</v>
          </cell>
          <cell r="BI62">
            <v>174</v>
          </cell>
          <cell r="BJ62">
            <v>8</v>
          </cell>
          <cell r="BK62">
            <v>794</v>
          </cell>
          <cell r="BL62">
            <v>11</v>
          </cell>
          <cell r="BM62">
            <v>1129</v>
          </cell>
          <cell r="BN62">
            <v>2</v>
          </cell>
          <cell r="BO62">
            <v>274</v>
          </cell>
          <cell r="BP62">
            <v>1</v>
          </cell>
          <cell r="BQ62">
            <v>100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</row>
        <row r="63">
          <cell r="AW63" t="str">
            <v>Howard Johnson Express Inn</v>
          </cell>
          <cell r="AX63">
            <v>9</v>
          </cell>
          <cell r="AY63">
            <v>2777</v>
          </cell>
          <cell r="AZ63">
            <v>4</v>
          </cell>
          <cell r="BA63">
            <v>311</v>
          </cell>
          <cell r="BB63">
            <v>2</v>
          </cell>
          <cell r="BC63">
            <v>189</v>
          </cell>
          <cell r="BD63">
            <v>2</v>
          </cell>
          <cell r="BE63">
            <v>360</v>
          </cell>
          <cell r="BF63">
            <v>4</v>
          </cell>
          <cell r="BG63">
            <v>549</v>
          </cell>
          <cell r="BH63">
            <v>9</v>
          </cell>
          <cell r="BI63">
            <v>1604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3</v>
          </cell>
          <cell r="BO63">
            <v>335</v>
          </cell>
          <cell r="BP63">
            <v>7</v>
          </cell>
          <cell r="BQ63">
            <v>1519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</row>
        <row r="64">
          <cell r="AW64" t="str">
            <v>Howard Johnson Inn</v>
          </cell>
          <cell r="AX64">
            <v>9</v>
          </cell>
          <cell r="AY64">
            <v>2777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1</v>
          </cell>
          <cell r="BM64">
            <v>34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</row>
        <row r="65">
          <cell r="AW65" t="str">
            <v>Howard Johnson Lodge</v>
          </cell>
          <cell r="AX65">
            <v>182</v>
          </cell>
          <cell r="AY65">
            <v>12343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3</v>
          </cell>
          <cell r="BK65">
            <v>166</v>
          </cell>
          <cell r="BL65">
            <v>5</v>
          </cell>
          <cell r="BM65">
            <v>272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</row>
        <row r="66">
          <cell r="AW66" t="str">
            <v>Howard Johnson Plaza</v>
          </cell>
          <cell r="AX66">
            <v>244</v>
          </cell>
          <cell r="AY66">
            <v>29374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</row>
        <row r="67">
          <cell r="AW67" t="str">
            <v>Hyatt Hotel</v>
          </cell>
          <cell r="AX67">
            <v>244</v>
          </cell>
          <cell r="AY67">
            <v>29374</v>
          </cell>
          <cell r="AZ67">
            <v>6</v>
          </cell>
          <cell r="BA67">
            <v>2132</v>
          </cell>
          <cell r="BB67">
            <v>5</v>
          </cell>
          <cell r="BC67">
            <v>2319</v>
          </cell>
          <cell r="BD67">
            <v>3</v>
          </cell>
          <cell r="BE67">
            <v>1986</v>
          </cell>
          <cell r="BF67">
            <v>8</v>
          </cell>
          <cell r="BG67">
            <v>4305</v>
          </cell>
          <cell r="BH67">
            <v>2</v>
          </cell>
          <cell r="BI67">
            <v>2011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1</v>
          </cell>
          <cell r="BO67">
            <v>519</v>
          </cell>
          <cell r="BP67">
            <v>2</v>
          </cell>
          <cell r="BQ67">
            <v>986</v>
          </cell>
          <cell r="BR67">
            <v>2</v>
          </cell>
          <cell r="BS67">
            <v>1800</v>
          </cell>
          <cell r="BT67">
            <v>2</v>
          </cell>
          <cell r="BU67">
            <v>1750</v>
          </cell>
          <cell r="BV67">
            <v>0</v>
          </cell>
          <cell r="BW67">
            <v>0</v>
          </cell>
          <cell r="BX67">
            <v>1</v>
          </cell>
          <cell r="BY67">
            <v>511</v>
          </cell>
        </row>
        <row r="68">
          <cell r="AW68" t="str">
            <v>Inter-Continental</v>
          </cell>
          <cell r="AX68">
            <v>244</v>
          </cell>
          <cell r="AY68">
            <v>29374</v>
          </cell>
          <cell r="AZ68">
            <v>0</v>
          </cell>
          <cell r="BA68">
            <v>0</v>
          </cell>
          <cell r="BB68">
            <v>1</v>
          </cell>
          <cell r="BC68">
            <v>300</v>
          </cell>
          <cell r="BD68">
            <v>0</v>
          </cell>
          <cell r="BE68">
            <v>0</v>
          </cell>
          <cell r="BF68">
            <v>1</v>
          </cell>
          <cell r="BG68">
            <v>300</v>
          </cell>
          <cell r="BH68">
            <v>1</v>
          </cell>
          <cell r="BI68">
            <v>425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1</v>
          </cell>
          <cell r="BO68">
            <v>300</v>
          </cell>
          <cell r="BP68">
            <v>1</v>
          </cell>
          <cell r="BQ68">
            <v>425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</row>
        <row r="69">
          <cell r="AW69" t="str">
            <v>Intown Suites</v>
          </cell>
          <cell r="AX69">
            <v>244</v>
          </cell>
          <cell r="AY69">
            <v>29374</v>
          </cell>
          <cell r="AZ69">
            <v>13</v>
          </cell>
          <cell r="BA69">
            <v>1575</v>
          </cell>
          <cell r="BB69">
            <v>2</v>
          </cell>
          <cell r="BC69">
            <v>241</v>
          </cell>
          <cell r="BD69">
            <v>5</v>
          </cell>
          <cell r="BE69">
            <v>605</v>
          </cell>
          <cell r="BF69">
            <v>7</v>
          </cell>
          <cell r="BG69">
            <v>846</v>
          </cell>
          <cell r="BH69">
            <v>1</v>
          </cell>
          <cell r="BI69">
            <v>121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5</v>
          </cell>
          <cell r="BO69">
            <v>605</v>
          </cell>
          <cell r="BP69">
            <v>0</v>
          </cell>
          <cell r="BQ69">
            <v>0</v>
          </cell>
          <cell r="BR69">
            <v>1</v>
          </cell>
          <cell r="BS69">
            <v>121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</row>
        <row r="70">
          <cell r="AW70" t="str">
            <v>Jameson Inn</v>
          </cell>
          <cell r="AX70">
            <v>116</v>
          </cell>
          <cell r="AY70">
            <v>56290</v>
          </cell>
          <cell r="AZ70">
            <v>15</v>
          </cell>
          <cell r="BA70">
            <v>798</v>
          </cell>
          <cell r="BB70">
            <v>2</v>
          </cell>
          <cell r="BC70">
            <v>88</v>
          </cell>
          <cell r="BD70">
            <v>5</v>
          </cell>
          <cell r="BE70">
            <v>148</v>
          </cell>
          <cell r="BF70">
            <v>7</v>
          </cell>
          <cell r="BG70">
            <v>236</v>
          </cell>
          <cell r="BH70">
            <v>0</v>
          </cell>
          <cell r="BI70">
            <v>0</v>
          </cell>
          <cell r="BJ70">
            <v>1</v>
          </cell>
          <cell r="BK70">
            <v>293</v>
          </cell>
          <cell r="BL70">
            <v>5</v>
          </cell>
          <cell r="BM70">
            <v>1782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</row>
        <row r="71">
          <cell r="AW71" t="str">
            <v>Key West Inn</v>
          </cell>
          <cell r="AX71">
            <v>12</v>
          </cell>
          <cell r="AY71">
            <v>4811</v>
          </cell>
          <cell r="AZ71">
            <v>0</v>
          </cell>
          <cell r="BA71">
            <v>0</v>
          </cell>
          <cell r="BB71">
            <v>1</v>
          </cell>
          <cell r="BC71">
            <v>44</v>
          </cell>
          <cell r="BD71">
            <v>0</v>
          </cell>
          <cell r="BE71">
            <v>0</v>
          </cell>
          <cell r="BF71">
            <v>1</v>
          </cell>
          <cell r="BG71">
            <v>44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</row>
        <row r="72">
          <cell r="AW72" t="str">
            <v>Knights Inn</v>
          </cell>
          <cell r="AX72">
            <v>11</v>
          </cell>
          <cell r="AY72">
            <v>554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3</v>
          </cell>
          <cell r="BE72">
            <v>190</v>
          </cell>
          <cell r="BF72">
            <v>3</v>
          </cell>
          <cell r="BG72">
            <v>190</v>
          </cell>
          <cell r="BH72">
            <v>7</v>
          </cell>
          <cell r="BI72">
            <v>410</v>
          </cell>
          <cell r="BJ72">
            <v>5</v>
          </cell>
          <cell r="BK72">
            <v>604</v>
          </cell>
          <cell r="BL72">
            <v>12</v>
          </cell>
          <cell r="BM72">
            <v>1453</v>
          </cell>
          <cell r="BN72">
            <v>7</v>
          </cell>
          <cell r="BO72">
            <v>460</v>
          </cell>
          <cell r="BP72">
            <v>1</v>
          </cell>
          <cell r="BQ72">
            <v>50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</row>
        <row r="73">
          <cell r="AW73" t="str">
            <v>La Quinta Inn</v>
          </cell>
          <cell r="AX73">
            <v>108</v>
          </cell>
          <cell r="AY73">
            <v>5382</v>
          </cell>
          <cell r="AZ73">
            <v>1</v>
          </cell>
          <cell r="BA73">
            <v>72</v>
          </cell>
          <cell r="BB73">
            <v>4</v>
          </cell>
          <cell r="BC73">
            <v>440</v>
          </cell>
          <cell r="BD73">
            <v>14</v>
          </cell>
          <cell r="BE73">
            <v>1395</v>
          </cell>
          <cell r="BF73">
            <v>18</v>
          </cell>
          <cell r="BG73">
            <v>1835</v>
          </cell>
          <cell r="BH73">
            <v>0</v>
          </cell>
          <cell r="BI73">
            <v>0</v>
          </cell>
          <cell r="BJ73">
            <v>7</v>
          </cell>
          <cell r="BK73">
            <v>391</v>
          </cell>
          <cell r="BL73">
            <v>11</v>
          </cell>
          <cell r="BM73">
            <v>467</v>
          </cell>
          <cell r="BN73">
            <v>2</v>
          </cell>
          <cell r="BO73">
            <v>329</v>
          </cell>
          <cell r="BP73">
            <v>2</v>
          </cell>
          <cell r="BQ73">
            <v>445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</row>
        <row r="74">
          <cell r="AW74" t="str">
            <v xml:space="preserve">Le Meridien </v>
          </cell>
          <cell r="AX74">
            <v>17</v>
          </cell>
          <cell r="AY74">
            <v>845</v>
          </cell>
          <cell r="AZ74">
            <v>1</v>
          </cell>
          <cell r="BA74">
            <v>311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1</v>
          </cell>
          <cell r="BK74">
            <v>44</v>
          </cell>
          <cell r="BL74">
            <v>1</v>
          </cell>
          <cell r="BM74">
            <v>44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</row>
        <row r="75">
          <cell r="AW75" t="str">
            <v>Little America</v>
          </cell>
          <cell r="AX75">
            <v>234</v>
          </cell>
          <cell r="AY75">
            <v>18800</v>
          </cell>
          <cell r="AZ75">
            <v>1</v>
          </cell>
          <cell r="BA75">
            <v>775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</row>
        <row r="76">
          <cell r="AW76" t="str">
            <v>Loews Hotel</v>
          </cell>
          <cell r="AX76">
            <v>300</v>
          </cell>
          <cell r="AY76">
            <v>38839</v>
          </cell>
          <cell r="AZ76">
            <v>1</v>
          </cell>
          <cell r="BA76">
            <v>650</v>
          </cell>
          <cell r="BB76">
            <v>1</v>
          </cell>
          <cell r="BC76">
            <v>1000</v>
          </cell>
          <cell r="BD76">
            <v>1</v>
          </cell>
          <cell r="BE76">
            <v>390</v>
          </cell>
          <cell r="BF76">
            <v>2</v>
          </cell>
          <cell r="BG76">
            <v>1390</v>
          </cell>
          <cell r="BH76">
            <v>0</v>
          </cell>
          <cell r="BI76">
            <v>0</v>
          </cell>
          <cell r="BJ76">
            <v>1</v>
          </cell>
          <cell r="BK76">
            <v>127</v>
          </cell>
          <cell r="BL76">
            <v>2</v>
          </cell>
          <cell r="BM76">
            <v>199</v>
          </cell>
          <cell r="BN76">
            <v>1</v>
          </cell>
          <cell r="BO76">
            <v>1000</v>
          </cell>
          <cell r="BP76">
            <v>1</v>
          </cell>
          <cell r="BQ76">
            <v>390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</row>
        <row r="77">
          <cell r="AW77" t="str">
            <v>MainStay Suites</v>
          </cell>
          <cell r="AX77">
            <v>5</v>
          </cell>
          <cell r="AY77">
            <v>2217</v>
          </cell>
          <cell r="AZ77">
            <v>5</v>
          </cell>
          <cell r="BA77">
            <v>323</v>
          </cell>
          <cell r="BB77">
            <v>2</v>
          </cell>
          <cell r="BC77">
            <v>141</v>
          </cell>
          <cell r="BD77">
            <v>6</v>
          </cell>
          <cell r="BE77">
            <v>458</v>
          </cell>
          <cell r="BF77">
            <v>8</v>
          </cell>
          <cell r="BG77">
            <v>599</v>
          </cell>
          <cell r="BH77">
            <v>2</v>
          </cell>
          <cell r="BI77">
            <v>170</v>
          </cell>
          <cell r="BJ77">
            <v>1</v>
          </cell>
          <cell r="BK77">
            <v>311</v>
          </cell>
          <cell r="BL77">
            <v>1</v>
          </cell>
          <cell r="BM77">
            <v>311</v>
          </cell>
          <cell r="BN77">
            <v>3</v>
          </cell>
          <cell r="BO77">
            <v>214</v>
          </cell>
          <cell r="BP77">
            <v>1</v>
          </cell>
          <cell r="BQ77">
            <v>84</v>
          </cell>
          <cell r="BR77">
            <v>1</v>
          </cell>
          <cell r="BS77">
            <v>90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</row>
        <row r="78">
          <cell r="AW78" t="str">
            <v>Marriott Hotel</v>
          </cell>
          <cell r="AX78">
            <v>5</v>
          </cell>
          <cell r="AY78">
            <v>2053</v>
          </cell>
          <cell r="AZ78">
            <v>11</v>
          </cell>
          <cell r="BA78">
            <v>4035</v>
          </cell>
          <cell r="BB78">
            <v>19</v>
          </cell>
          <cell r="BC78">
            <v>6862</v>
          </cell>
          <cell r="BD78">
            <v>11</v>
          </cell>
          <cell r="BE78">
            <v>3511</v>
          </cell>
          <cell r="BF78">
            <v>30</v>
          </cell>
          <cell r="BG78">
            <v>10373</v>
          </cell>
          <cell r="BH78">
            <v>8</v>
          </cell>
          <cell r="BI78">
            <v>3047</v>
          </cell>
          <cell r="BJ78">
            <v>0</v>
          </cell>
          <cell r="BK78">
            <v>0</v>
          </cell>
          <cell r="BL78">
            <v>1</v>
          </cell>
          <cell r="BM78">
            <v>775</v>
          </cell>
          <cell r="BN78">
            <v>15</v>
          </cell>
          <cell r="BO78">
            <v>5767</v>
          </cell>
          <cell r="BP78">
            <v>13</v>
          </cell>
          <cell r="BQ78">
            <v>4566</v>
          </cell>
          <cell r="BR78">
            <v>2</v>
          </cell>
          <cell r="BS78">
            <v>1075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</row>
        <row r="79">
          <cell r="AW79" t="str">
            <v>Microtel Inn</v>
          </cell>
          <cell r="AX79">
            <v>14</v>
          </cell>
          <cell r="AY79">
            <v>5971</v>
          </cell>
          <cell r="AZ79">
            <v>40</v>
          </cell>
          <cell r="BA79">
            <v>2599</v>
          </cell>
          <cell r="BB79">
            <v>13</v>
          </cell>
          <cell r="BC79">
            <v>950</v>
          </cell>
          <cell r="BD79">
            <v>41</v>
          </cell>
          <cell r="BE79">
            <v>2820</v>
          </cell>
          <cell r="BF79">
            <v>54</v>
          </cell>
          <cell r="BG79">
            <v>3770</v>
          </cell>
          <cell r="BH79">
            <v>79</v>
          </cell>
          <cell r="BI79">
            <v>5611</v>
          </cell>
          <cell r="BJ79">
            <v>0</v>
          </cell>
          <cell r="BK79">
            <v>0</v>
          </cell>
          <cell r="BL79">
            <v>1</v>
          </cell>
          <cell r="BM79">
            <v>650</v>
          </cell>
          <cell r="BN79">
            <v>76</v>
          </cell>
          <cell r="BO79">
            <v>5124</v>
          </cell>
          <cell r="BP79">
            <v>22</v>
          </cell>
          <cell r="BQ79">
            <v>1950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</row>
        <row r="80">
          <cell r="AW80" t="str">
            <v>Motel 6</v>
          </cell>
          <cell r="AX80">
            <v>39</v>
          </cell>
          <cell r="AY80">
            <v>3411</v>
          </cell>
          <cell r="AZ80">
            <v>13</v>
          </cell>
          <cell r="BA80">
            <v>771</v>
          </cell>
          <cell r="BB80">
            <v>1</v>
          </cell>
          <cell r="BC80">
            <v>63</v>
          </cell>
          <cell r="BD80">
            <v>0</v>
          </cell>
          <cell r="BE80">
            <v>0</v>
          </cell>
          <cell r="BF80">
            <v>1</v>
          </cell>
          <cell r="BG80">
            <v>63</v>
          </cell>
          <cell r="BH80">
            <v>0</v>
          </cell>
          <cell r="BI80">
            <v>0</v>
          </cell>
          <cell r="BJ80">
            <v>2</v>
          </cell>
          <cell r="BK80">
            <v>127</v>
          </cell>
          <cell r="BL80">
            <v>5</v>
          </cell>
          <cell r="BM80">
            <v>323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</row>
        <row r="81">
          <cell r="AW81" t="str">
            <v>Omni Hotel</v>
          </cell>
          <cell r="AX81">
            <v>281</v>
          </cell>
          <cell r="AY81">
            <v>115140</v>
          </cell>
          <cell r="AZ81">
            <v>0</v>
          </cell>
          <cell r="BA81">
            <v>0</v>
          </cell>
          <cell r="BB81">
            <v>1</v>
          </cell>
          <cell r="BC81">
            <v>362</v>
          </cell>
          <cell r="BD81">
            <v>2</v>
          </cell>
          <cell r="BE81">
            <v>1325</v>
          </cell>
          <cell r="BF81">
            <v>3</v>
          </cell>
          <cell r="BG81">
            <v>1687</v>
          </cell>
          <cell r="BH81">
            <v>0</v>
          </cell>
          <cell r="BI81">
            <v>0</v>
          </cell>
          <cell r="BJ81">
            <v>7</v>
          </cell>
          <cell r="BK81">
            <v>1965</v>
          </cell>
          <cell r="BL81">
            <v>10</v>
          </cell>
          <cell r="BM81">
            <v>3529</v>
          </cell>
          <cell r="BN81">
            <v>0</v>
          </cell>
          <cell r="BO81">
            <v>0</v>
          </cell>
          <cell r="BP81">
            <v>2</v>
          </cell>
          <cell r="BQ81">
            <v>1325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</row>
        <row r="82">
          <cell r="AW82" t="str">
            <v>Outrigger</v>
          </cell>
          <cell r="AX82">
            <v>240</v>
          </cell>
          <cell r="AY82">
            <v>17407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20</v>
          </cell>
          <cell r="BK82">
            <v>1261</v>
          </cell>
          <cell r="BL82">
            <v>41</v>
          </cell>
          <cell r="BM82">
            <v>2674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</row>
        <row r="83">
          <cell r="AW83" t="str">
            <v>Park Inn</v>
          </cell>
          <cell r="AX83">
            <v>803</v>
          </cell>
          <cell r="AY83">
            <v>85048</v>
          </cell>
          <cell r="AZ83">
            <v>1</v>
          </cell>
          <cell r="BA83">
            <v>62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8</v>
          </cell>
          <cell r="BK83">
            <v>403</v>
          </cell>
          <cell r="BL83">
            <v>13</v>
          </cell>
          <cell r="BM83">
            <v>721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</row>
        <row r="84">
          <cell r="AW84" t="str">
            <v>Quality Inn</v>
          </cell>
          <cell r="AX84">
            <v>34</v>
          </cell>
          <cell r="AY84">
            <v>11826</v>
          </cell>
          <cell r="AZ84">
            <v>6</v>
          </cell>
          <cell r="BA84">
            <v>410</v>
          </cell>
          <cell r="BB84">
            <v>9</v>
          </cell>
          <cell r="BC84">
            <v>600</v>
          </cell>
          <cell r="BD84">
            <v>4</v>
          </cell>
          <cell r="BE84">
            <v>403</v>
          </cell>
          <cell r="BF84">
            <v>13</v>
          </cell>
          <cell r="BG84">
            <v>1003</v>
          </cell>
          <cell r="BH84">
            <v>6</v>
          </cell>
          <cell r="BI84">
            <v>460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9</v>
          </cell>
          <cell r="BO84">
            <v>793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</row>
        <row r="85">
          <cell r="AW85" t="str">
            <v>Quality Suites</v>
          </cell>
          <cell r="AX85">
            <v>11</v>
          </cell>
          <cell r="AY85">
            <v>3791</v>
          </cell>
          <cell r="AZ85">
            <v>4</v>
          </cell>
          <cell r="BA85">
            <v>335</v>
          </cell>
          <cell r="BB85">
            <v>4</v>
          </cell>
          <cell r="BC85">
            <v>297</v>
          </cell>
          <cell r="BD85">
            <v>0</v>
          </cell>
          <cell r="BE85">
            <v>0</v>
          </cell>
          <cell r="BF85">
            <v>4</v>
          </cell>
          <cell r="BG85">
            <v>297</v>
          </cell>
          <cell r="BH85">
            <v>1</v>
          </cell>
          <cell r="BI85">
            <v>90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1</v>
          </cell>
          <cell r="BO85">
            <v>90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</row>
        <row r="86">
          <cell r="AW86" t="str">
            <v>Radisson Hotel</v>
          </cell>
          <cell r="AX86">
            <v>24</v>
          </cell>
          <cell r="AY86">
            <v>2284</v>
          </cell>
          <cell r="AZ86">
            <v>1</v>
          </cell>
          <cell r="BA86">
            <v>119</v>
          </cell>
          <cell r="BB86">
            <v>4</v>
          </cell>
          <cell r="BC86">
            <v>914</v>
          </cell>
          <cell r="BD86">
            <v>2</v>
          </cell>
          <cell r="BE86">
            <v>496</v>
          </cell>
          <cell r="BF86">
            <v>6</v>
          </cell>
          <cell r="BG86">
            <v>1410</v>
          </cell>
          <cell r="BH86">
            <v>5</v>
          </cell>
          <cell r="BI86">
            <v>981</v>
          </cell>
          <cell r="BJ86">
            <v>0</v>
          </cell>
          <cell r="BK86">
            <v>0</v>
          </cell>
          <cell r="BL86">
            <v>1</v>
          </cell>
          <cell r="BM86">
            <v>62</v>
          </cell>
          <cell r="BN86">
            <v>1</v>
          </cell>
          <cell r="BO86">
            <v>402</v>
          </cell>
          <cell r="BP86">
            <v>7</v>
          </cell>
          <cell r="BQ86">
            <v>1477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</row>
        <row r="87">
          <cell r="AW87" t="str">
            <v>Ramada Inn</v>
          </cell>
          <cell r="AX87">
            <v>411</v>
          </cell>
          <cell r="AY87">
            <v>46768</v>
          </cell>
          <cell r="AZ87">
            <v>3</v>
          </cell>
          <cell r="BA87">
            <v>478</v>
          </cell>
          <cell r="BB87">
            <v>3</v>
          </cell>
          <cell r="BC87">
            <v>352</v>
          </cell>
          <cell r="BD87">
            <v>3</v>
          </cell>
          <cell r="BE87">
            <v>540</v>
          </cell>
          <cell r="BF87">
            <v>6</v>
          </cell>
          <cell r="BG87">
            <v>892</v>
          </cell>
          <cell r="BH87">
            <v>4</v>
          </cell>
          <cell r="BI87">
            <v>898</v>
          </cell>
          <cell r="BJ87">
            <v>1</v>
          </cell>
          <cell r="BK87">
            <v>84</v>
          </cell>
          <cell r="BL87">
            <v>5</v>
          </cell>
          <cell r="BM87">
            <v>373</v>
          </cell>
          <cell r="BN87">
            <v>5</v>
          </cell>
          <cell r="BO87">
            <v>770</v>
          </cell>
          <cell r="BP87">
            <v>3</v>
          </cell>
          <cell r="BQ87">
            <v>798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AW88" t="str">
            <v>Ramada Limited</v>
          </cell>
          <cell r="AX88">
            <v>41</v>
          </cell>
          <cell r="AY88">
            <v>4492</v>
          </cell>
          <cell r="AZ88">
            <v>9</v>
          </cell>
          <cell r="BA88">
            <v>530</v>
          </cell>
          <cell r="BB88">
            <v>3</v>
          </cell>
          <cell r="BC88">
            <v>220</v>
          </cell>
          <cell r="BD88">
            <v>4</v>
          </cell>
          <cell r="BE88">
            <v>363</v>
          </cell>
          <cell r="BF88">
            <v>7</v>
          </cell>
          <cell r="BG88">
            <v>583</v>
          </cell>
          <cell r="BH88">
            <v>5</v>
          </cell>
          <cell r="BI88">
            <v>730</v>
          </cell>
          <cell r="BJ88">
            <v>2</v>
          </cell>
          <cell r="BK88">
            <v>213</v>
          </cell>
          <cell r="BL88">
            <v>4</v>
          </cell>
          <cell r="BM88">
            <v>330</v>
          </cell>
          <cell r="BN88">
            <v>4</v>
          </cell>
          <cell r="BO88">
            <v>318</v>
          </cell>
          <cell r="BP88">
            <v>3</v>
          </cell>
          <cell r="BQ88">
            <v>620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</row>
        <row r="89">
          <cell r="AW89" t="str">
            <v>Ramada Plaza</v>
          </cell>
          <cell r="AX89">
            <v>242</v>
          </cell>
          <cell r="AY89">
            <v>58705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1</v>
          </cell>
          <cell r="BK89">
            <v>205</v>
          </cell>
          <cell r="BL89">
            <v>2</v>
          </cell>
          <cell r="BM89">
            <v>324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</row>
        <row r="90">
          <cell r="AW90" t="str">
            <v>Red Lion</v>
          </cell>
          <cell r="AX90">
            <v>632</v>
          </cell>
          <cell r="AY90">
            <v>95809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3</v>
          </cell>
          <cell r="BM90">
            <v>478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</row>
        <row r="91">
          <cell r="AW91" t="str">
            <v>Red Roof Inn</v>
          </cell>
          <cell r="AX91">
            <v>378</v>
          </cell>
          <cell r="AY91">
            <v>27863</v>
          </cell>
          <cell r="AZ91">
            <v>11</v>
          </cell>
          <cell r="BA91">
            <v>697</v>
          </cell>
          <cell r="BB91">
            <v>4</v>
          </cell>
          <cell r="BC91">
            <v>430</v>
          </cell>
          <cell r="BD91">
            <v>0</v>
          </cell>
          <cell r="BE91">
            <v>0</v>
          </cell>
          <cell r="BF91">
            <v>4</v>
          </cell>
          <cell r="BG91">
            <v>430</v>
          </cell>
          <cell r="BH91">
            <v>1</v>
          </cell>
          <cell r="BI91">
            <v>100</v>
          </cell>
          <cell r="BJ91">
            <v>3</v>
          </cell>
          <cell r="BK91">
            <v>163</v>
          </cell>
          <cell r="BL91">
            <v>8</v>
          </cell>
          <cell r="BM91">
            <v>458</v>
          </cell>
          <cell r="BN91">
            <v>1</v>
          </cell>
          <cell r="BO91">
            <v>163</v>
          </cell>
          <cell r="BP91">
            <v>1</v>
          </cell>
          <cell r="BQ91">
            <v>100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</row>
        <row r="92">
          <cell r="AW92" t="str">
            <v>Renaissance Hotel</v>
          </cell>
          <cell r="AX92">
            <v>378</v>
          </cell>
          <cell r="AY92">
            <v>27863</v>
          </cell>
          <cell r="AZ92">
            <v>6</v>
          </cell>
          <cell r="BA92">
            <v>1468</v>
          </cell>
          <cell r="BB92">
            <v>10</v>
          </cell>
          <cell r="BC92">
            <v>3168</v>
          </cell>
          <cell r="BD92">
            <v>5</v>
          </cell>
          <cell r="BE92">
            <v>1315</v>
          </cell>
          <cell r="BF92">
            <v>15</v>
          </cell>
          <cell r="BG92">
            <v>4483</v>
          </cell>
          <cell r="BH92">
            <v>1</v>
          </cell>
          <cell r="BI92">
            <v>211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4</v>
          </cell>
          <cell r="BO92">
            <v>933</v>
          </cell>
          <cell r="BP92">
            <v>5</v>
          </cell>
          <cell r="BQ92">
            <v>2059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</row>
        <row r="93">
          <cell r="AW93" t="str">
            <v>Residence Inn</v>
          </cell>
          <cell r="AX93">
            <v>94</v>
          </cell>
          <cell r="AY93">
            <v>6289</v>
          </cell>
          <cell r="AZ93">
            <v>33</v>
          </cell>
          <cell r="BA93">
            <v>3907</v>
          </cell>
          <cell r="BB93">
            <v>35</v>
          </cell>
          <cell r="BC93">
            <v>4754</v>
          </cell>
          <cell r="BD93">
            <v>34</v>
          </cell>
          <cell r="BE93">
            <v>4328</v>
          </cell>
          <cell r="BF93">
            <v>69</v>
          </cell>
          <cell r="BG93">
            <v>9082</v>
          </cell>
          <cell r="BH93">
            <v>19</v>
          </cell>
          <cell r="BI93">
            <v>2980</v>
          </cell>
          <cell r="BJ93">
            <v>1</v>
          </cell>
          <cell r="BK93">
            <v>28</v>
          </cell>
          <cell r="BL93">
            <v>1</v>
          </cell>
          <cell r="BM93">
            <v>28</v>
          </cell>
          <cell r="BN93">
            <v>19</v>
          </cell>
          <cell r="BO93">
            <v>2436</v>
          </cell>
          <cell r="BP93">
            <v>22</v>
          </cell>
          <cell r="BQ93">
            <v>3638</v>
          </cell>
          <cell r="BR93">
            <v>1</v>
          </cell>
          <cell r="BS93">
            <v>208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</row>
        <row r="94">
          <cell r="AW94" t="str">
            <v>Ritz-Carlton</v>
          </cell>
          <cell r="AX94">
            <v>41</v>
          </cell>
          <cell r="AY94">
            <v>6334</v>
          </cell>
          <cell r="AZ94">
            <v>5</v>
          </cell>
          <cell r="BA94">
            <v>1696</v>
          </cell>
          <cell r="BB94">
            <v>10</v>
          </cell>
          <cell r="BC94">
            <v>2887</v>
          </cell>
          <cell r="BD94">
            <v>0</v>
          </cell>
          <cell r="BE94">
            <v>0</v>
          </cell>
          <cell r="BF94">
            <v>10</v>
          </cell>
          <cell r="BG94">
            <v>2887</v>
          </cell>
          <cell r="BH94">
            <v>1</v>
          </cell>
          <cell r="BI94">
            <v>308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2</v>
          </cell>
          <cell r="BO94">
            <v>934</v>
          </cell>
          <cell r="BP94">
            <v>1</v>
          </cell>
          <cell r="BQ94">
            <v>308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</row>
        <row r="95">
          <cell r="AW95" t="str">
            <v>Rodeway Inn</v>
          </cell>
          <cell r="AX95">
            <v>357</v>
          </cell>
          <cell r="AY95">
            <v>39677</v>
          </cell>
          <cell r="AZ95">
            <v>0</v>
          </cell>
          <cell r="BA95">
            <v>0</v>
          </cell>
          <cell r="BB95">
            <v>1</v>
          </cell>
          <cell r="BC95">
            <v>62</v>
          </cell>
          <cell r="BD95">
            <v>0</v>
          </cell>
          <cell r="BE95">
            <v>0</v>
          </cell>
          <cell r="BF95">
            <v>1</v>
          </cell>
          <cell r="BG95">
            <v>62</v>
          </cell>
          <cell r="BH95">
            <v>0</v>
          </cell>
          <cell r="BI95">
            <v>0</v>
          </cell>
          <cell r="BJ95">
            <v>4</v>
          </cell>
          <cell r="BK95">
            <v>334</v>
          </cell>
          <cell r="BL95">
            <v>9</v>
          </cell>
          <cell r="BM95">
            <v>612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</row>
        <row r="96">
          <cell r="AW96" t="str">
            <v>Scottish Inn</v>
          </cell>
          <cell r="AX96">
            <v>53</v>
          </cell>
          <cell r="AY96">
            <v>20933</v>
          </cell>
          <cell r="AZ96">
            <v>2</v>
          </cell>
          <cell r="BA96">
            <v>53</v>
          </cell>
          <cell r="BB96">
            <v>1</v>
          </cell>
          <cell r="BC96">
            <v>36</v>
          </cell>
          <cell r="BD96">
            <v>0</v>
          </cell>
          <cell r="BE96">
            <v>0</v>
          </cell>
          <cell r="BF96">
            <v>1</v>
          </cell>
          <cell r="BG96">
            <v>36</v>
          </cell>
          <cell r="BH96">
            <v>0</v>
          </cell>
          <cell r="BI96">
            <v>0</v>
          </cell>
          <cell r="BJ96">
            <v>4</v>
          </cell>
          <cell r="BK96">
            <v>1090</v>
          </cell>
          <cell r="BL96">
            <v>8</v>
          </cell>
          <cell r="BM96">
            <v>1988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</row>
        <row r="97">
          <cell r="AW97" t="str">
            <v>Sheraton Hotel</v>
          </cell>
          <cell r="AX97">
            <v>372</v>
          </cell>
          <cell r="AY97">
            <v>43118</v>
          </cell>
          <cell r="AZ97">
            <v>3</v>
          </cell>
          <cell r="BA97">
            <v>1091</v>
          </cell>
          <cell r="BB97">
            <v>4</v>
          </cell>
          <cell r="BC97">
            <v>1200</v>
          </cell>
          <cell r="BD97">
            <v>0</v>
          </cell>
          <cell r="BE97">
            <v>0</v>
          </cell>
          <cell r="BF97">
            <v>4</v>
          </cell>
          <cell r="BG97">
            <v>1200</v>
          </cell>
          <cell r="BH97">
            <v>0</v>
          </cell>
          <cell r="BI97">
            <v>0</v>
          </cell>
          <cell r="BJ97">
            <v>18</v>
          </cell>
          <cell r="BK97">
            <v>2350</v>
          </cell>
          <cell r="BL97">
            <v>35</v>
          </cell>
          <cell r="BM97">
            <v>4283</v>
          </cell>
          <cell r="BN97">
            <v>2</v>
          </cell>
          <cell r="BO97">
            <v>913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</row>
        <row r="98">
          <cell r="AW98" t="str">
            <v>Sheraton Inn</v>
          </cell>
          <cell r="AX98">
            <v>24</v>
          </cell>
          <cell r="AY98">
            <v>8542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1</v>
          </cell>
          <cell r="BE98">
            <v>80</v>
          </cell>
          <cell r="BF98">
            <v>1</v>
          </cell>
          <cell r="BG98">
            <v>80</v>
          </cell>
          <cell r="BH98">
            <v>0</v>
          </cell>
          <cell r="BI98">
            <v>0</v>
          </cell>
          <cell r="BJ98">
            <v>1</v>
          </cell>
          <cell r="BK98">
            <v>269</v>
          </cell>
          <cell r="BL98">
            <v>4</v>
          </cell>
          <cell r="BM98">
            <v>1213</v>
          </cell>
          <cell r="BN98">
            <v>1</v>
          </cell>
          <cell r="BO98">
            <v>80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</row>
        <row r="99">
          <cell r="AW99" t="str">
            <v>Shoney's Inn</v>
          </cell>
          <cell r="AX99">
            <v>150</v>
          </cell>
          <cell r="AY99">
            <v>9892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1</v>
          </cell>
          <cell r="BE99">
            <v>38</v>
          </cell>
          <cell r="BF99">
            <v>1</v>
          </cell>
          <cell r="BG99">
            <v>38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</row>
        <row r="100">
          <cell r="AW100" t="str">
            <v>Sleep Inn</v>
          </cell>
          <cell r="AX100">
            <v>122</v>
          </cell>
          <cell r="AY100">
            <v>5924</v>
          </cell>
          <cell r="AZ100">
            <v>26</v>
          </cell>
          <cell r="BA100">
            <v>1952</v>
          </cell>
          <cell r="BB100">
            <v>16</v>
          </cell>
          <cell r="BC100">
            <v>1142</v>
          </cell>
          <cell r="BD100">
            <v>21</v>
          </cell>
          <cell r="BE100">
            <v>1507</v>
          </cell>
          <cell r="BF100">
            <v>37</v>
          </cell>
          <cell r="BG100">
            <v>2649</v>
          </cell>
          <cell r="BH100">
            <v>11</v>
          </cell>
          <cell r="BI100">
            <v>754</v>
          </cell>
          <cell r="BJ100">
            <v>0</v>
          </cell>
          <cell r="BK100">
            <v>0</v>
          </cell>
          <cell r="BL100">
            <v>1</v>
          </cell>
          <cell r="BM100">
            <v>33</v>
          </cell>
          <cell r="BN100">
            <v>16</v>
          </cell>
          <cell r="BO100">
            <v>1144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</row>
        <row r="101">
          <cell r="AW101" t="str">
            <v>SpringHill Suites</v>
          </cell>
          <cell r="AX101">
            <v>187</v>
          </cell>
          <cell r="AY101">
            <v>67786</v>
          </cell>
          <cell r="AZ101">
            <v>25</v>
          </cell>
          <cell r="BA101">
            <v>3337</v>
          </cell>
          <cell r="BB101">
            <v>20</v>
          </cell>
          <cell r="BC101">
            <v>2529</v>
          </cell>
          <cell r="BD101">
            <v>20</v>
          </cell>
          <cell r="BE101">
            <v>2648</v>
          </cell>
          <cell r="BF101">
            <v>40</v>
          </cell>
          <cell r="BG101">
            <v>5177</v>
          </cell>
          <cell r="BH101">
            <v>11</v>
          </cell>
          <cell r="BI101">
            <v>1706</v>
          </cell>
          <cell r="BJ101">
            <v>2</v>
          </cell>
          <cell r="BK101">
            <v>607</v>
          </cell>
          <cell r="BL101">
            <v>4</v>
          </cell>
          <cell r="BM101">
            <v>1195</v>
          </cell>
          <cell r="BN101">
            <v>8</v>
          </cell>
          <cell r="BO101">
            <v>819</v>
          </cell>
          <cell r="BP101">
            <v>20</v>
          </cell>
          <cell r="BQ101">
            <v>3233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</row>
        <row r="102">
          <cell r="AW102" t="str">
            <v>St. Regis</v>
          </cell>
          <cell r="AX102">
            <v>7</v>
          </cell>
          <cell r="AY102">
            <v>1417</v>
          </cell>
          <cell r="AZ102">
            <v>1</v>
          </cell>
          <cell r="BA102">
            <v>400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</row>
        <row r="103">
          <cell r="AW103" t="str">
            <v>Staybridge Suites</v>
          </cell>
          <cell r="AX103">
            <v>74</v>
          </cell>
          <cell r="AY103">
            <v>6958</v>
          </cell>
          <cell r="AZ103">
            <v>16</v>
          </cell>
          <cell r="BA103">
            <v>1764</v>
          </cell>
          <cell r="BB103">
            <v>12</v>
          </cell>
          <cell r="BC103">
            <v>1288</v>
          </cell>
          <cell r="BD103">
            <v>14</v>
          </cell>
          <cell r="BE103">
            <v>1597</v>
          </cell>
          <cell r="BF103">
            <v>26</v>
          </cell>
          <cell r="BG103">
            <v>2885</v>
          </cell>
          <cell r="BH103">
            <v>9</v>
          </cell>
          <cell r="BI103">
            <v>1011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12</v>
          </cell>
          <cell r="BO103">
            <v>1320</v>
          </cell>
          <cell r="BP103">
            <v>5</v>
          </cell>
          <cell r="BQ103">
            <v>634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</row>
        <row r="104">
          <cell r="AW104" t="str">
            <v>Studio 6</v>
          </cell>
          <cell r="AX104">
            <v>280</v>
          </cell>
          <cell r="AY104">
            <v>21607</v>
          </cell>
          <cell r="AZ104">
            <v>0</v>
          </cell>
          <cell r="BA104">
            <v>0</v>
          </cell>
          <cell r="BB104">
            <v>2</v>
          </cell>
          <cell r="BC104">
            <v>185</v>
          </cell>
          <cell r="BD104">
            <v>0</v>
          </cell>
          <cell r="BE104">
            <v>0</v>
          </cell>
          <cell r="BF104">
            <v>2</v>
          </cell>
          <cell r="BG104">
            <v>185</v>
          </cell>
          <cell r="BH104">
            <v>0</v>
          </cell>
          <cell r="BI104">
            <v>0</v>
          </cell>
          <cell r="BJ104">
            <v>16</v>
          </cell>
          <cell r="BK104">
            <v>1196</v>
          </cell>
          <cell r="BL104">
            <v>24</v>
          </cell>
          <cell r="BM104">
            <v>1799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</row>
        <row r="105">
          <cell r="AW105" t="str">
            <v>StudioPlus Hotel</v>
          </cell>
          <cell r="AX105">
            <v>81</v>
          </cell>
          <cell r="AY105">
            <v>9065</v>
          </cell>
          <cell r="AZ105">
            <v>2</v>
          </cell>
          <cell r="BA105">
            <v>184</v>
          </cell>
          <cell r="BB105">
            <v>1</v>
          </cell>
          <cell r="BC105">
            <v>98</v>
          </cell>
          <cell r="BD105">
            <v>0</v>
          </cell>
          <cell r="BE105">
            <v>0</v>
          </cell>
          <cell r="BF105">
            <v>1</v>
          </cell>
          <cell r="BG105">
            <v>98</v>
          </cell>
          <cell r="BH105">
            <v>0</v>
          </cell>
          <cell r="BI105">
            <v>0</v>
          </cell>
          <cell r="BJ105">
            <v>8</v>
          </cell>
          <cell r="BK105">
            <v>1061</v>
          </cell>
          <cell r="BL105">
            <v>23</v>
          </cell>
          <cell r="BM105">
            <v>2940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</row>
        <row r="106">
          <cell r="AW106" t="str">
            <v>Suburban Lodge</v>
          </cell>
          <cell r="AX106">
            <v>15</v>
          </cell>
          <cell r="AY106">
            <v>5137</v>
          </cell>
          <cell r="AZ106">
            <v>11</v>
          </cell>
          <cell r="BA106">
            <v>1387</v>
          </cell>
          <cell r="BB106">
            <v>0</v>
          </cell>
          <cell r="BC106">
            <v>0</v>
          </cell>
          <cell r="BD106">
            <v>2</v>
          </cell>
          <cell r="BE106">
            <v>280</v>
          </cell>
          <cell r="BF106">
            <v>2</v>
          </cell>
          <cell r="BG106">
            <v>280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1</v>
          </cell>
          <cell r="BM106">
            <v>400</v>
          </cell>
          <cell r="BN106">
            <v>1</v>
          </cell>
          <cell r="BO106">
            <v>130</v>
          </cell>
          <cell r="BP106">
            <v>1</v>
          </cell>
          <cell r="BQ106">
            <v>150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</row>
        <row r="107">
          <cell r="AW107" t="str">
            <v>Summerfield Suites by Wyndham</v>
          </cell>
          <cell r="AX107">
            <v>36</v>
          </cell>
          <cell r="AY107">
            <v>4116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7</v>
          </cell>
          <cell r="BK107">
            <v>739</v>
          </cell>
          <cell r="BL107">
            <v>16</v>
          </cell>
          <cell r="BM107">
            <v>1748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</row>
        <row r="108">
          <cell r="AW108" t="str">
            <v>Sun Suites</v>
          </cell>
          <cell r="AX108">
            <v>11</v>
          </cell>
          <cell r="AY108">
            <v>1253</v>
          </cell>
          <cell r="AZ108">
            <v>0</v>
          </cell>
          <cell r="BA108">
            <v>0</v>
          </cell>
          <cell r="BB108">
            <v>1</v>
          </cell>
          <cell r="BC108">
            <v>132</v>
          </cell>
          <cell r="BD108">
            <v>0</v>
          </cell>
          <cell r="BE108">
            <v>0</v>
          </cell>
          <cell r="BF108">
            <v>1</v>
          </cell>
          <cell r="BG108">
            <v>132</v>
          </cell>
          <cell r="BH108">
            <v>0</v>
          </cell>
          <cell r="BI108">
            <v>0</v>
          </cell>
          <cell r="BJ108">
            <v>1</v>
          </cell>
          <cell r="BK108">
            <v>61</v>
          </cell>
          <cell r="BL108">
            <v>1</v>
          </cell>
          <cell r="BM108">
            <v>61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</row>
        <row r="109">
          <cell r="AW109" t="str">
            <v>Sunspree Resorts</v>
          </cell>
          <cell r="AX109">
            <v>95</v>
          </cell>
          <cell r="AY109">
            <v>7624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2</v>
          </cell>
          <cell r="BM109">
            <v>184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</row>
        <row r="110">
          <cell r="AW110" t="str">
            <v>Super 8</v>
          </cell>
          <cell r="AX110">
            <v>122</v>
          </cell>
          <cell r="AY110">
            <v>16340</v>
          </cell>
          <cell r="AZ110">
            <v>41</v>
          </cell>
          <cell r="BA110">
            <v>1985</v>
          </cell>
          <cell r="BB110">
            <v>23</v>
          </cell>
          <cell r="BC110">
            <v>1320</v>
          </cell>
          <cell r="BD110">
            <v>53</v>
          </cell>
          <cell r="BE110">
            <v>3997</v>
          </cell>
          <cell r="BF110">
            <v>76</v>
          </cell>
          <cell r="BG110">
            <v>5317</v>
          </cell>
          <cell r="BH110">
            <v>29</v>
          </cell>
          <cell r="BI110">
            <v>2121</v>
          </cell>
          <cell r="BJ110">
            <v>1</v>
          </cell>
          <cell r="BK110">
            <v>137</v>
          </cell>
          <cell r="BL110">
            <v>9</v>
          </cell>
          <cell r="BM110">
            <v>1179</v>
          </cell>
          <cell r="BN110">
            <v>36</v>
          </cell>
          <cell r="BO110">
            <v>2632</v>
          </cell>
          <cell r="BP110">
            <v>3</v>
          </cell>
          <cell r="BQ110">
            <v>427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</row>
        <row r="111">
          <cell r="AW111" t="str">
            <v>Susse Chalet</v>
          </cell>
          <cell r="AX111">
            <v>38</v>
          </cell>
          <cell r="AY111">
            <v>5101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</row>
        <row r="112">
          <cell r="AW112" t="str">
            <v>ThriftLodge</v>
          </cell>
          <cell r="AX112">
            <v>27</v>
          </cell>
          <cell r="AY112">
            <v>3297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1</v>
          </cell>
          <cell r="BK112">
            <v>132</v>
          </cell>
          <cell r="BL112">
            <v>1</v>
          </cell>
          <cell r="BM112">
            <v>132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</row>
        <row r="113">
          <cell r="AW113" t="str">
            <v>TownePlace Suites</v>
          </cell>
          <cell r="AX113">
            <v>19</v>
          </cell>
          <cell r="AY113">
            <v>4242</v>
          </cell>
          <cell r="AZ113">
            <v>15</v>
          </cell>
          <cell r="BA113">
            <v>1677</v>
          </cell>
          <cell r="BB113">
            <v>3</v>
          </cell>
          <cell r="BC113">
            <v>317</v>
          </cell>
          <cell r="BD113">
            <v>4</v>
          </cell>
          <cell r="BE113">
            <v>418</v>
          </cell>
          <cell r="BF113">
            <v>7</v>
          </cell>
          <cell r="BG113">
            <v>735</v>
          </cell>
          <cell r="BH113">
            <v>4</v>
          </cell>
          <cell r="BI113">
            <v>403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6</v>
          </cell>
          <cell r="BO113">
            <v>562</v>
          </cell>
          <cell r="BP113">
            <v>2</v>
          </cell>
          <cell r="BQ113">
            <v>259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</row>
        <row r="114">
          <cell r="AW114" t="str">
            <v>Travelodge</v>
          </cell>
          <cell r="AX114">
            <v>1944</v>
          </cell>
          <cell r="AY114">
            <v>117792</v>
          </cell>
          <cell r="AZ114">
            <v>5</v>
          </cell>
          <cell r="BA114">
            <v>348</v>
          </cell>
          <cell r="BB114">
            <v>0</v>
          </cell>
          <cell r="BC114">
            <v>0</v>
          </cell>
          <cell r="BD114">
            <v>12</v>
          </cell>
          <cell r="BE114">
            <v>1026</v>
          </cell>
          <cell r="BF114">
            <v>12</v>
          </cell>
          <cell r="BG114">
            <v>1026</v>
          </cell>
          <cell r="BH114">
            <v>15</v>
          </cell>
          <cell r="BI114">
            <v>1797</v>
          </cell>
          <cell r="BJ114">
            <v>28</v>
          </cell>
          <cell r="BK114">
            <v>1404</v>
          </cell>
          <cell r="BL114">
            <v>41</v>
          </cell>
          <cell r="BM114">
            <v>1981</v>
          </cell>
          <cell r="BN114">
            <v>13</v>
          </cell>
          <cell r="BO114">
            <v>1174</v>
          </cell>
          <cell r="BP114">
            <v>6</v>
          </cell>
          <cell r="BQ114">
            <v>934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</row>
        <row r="115">
          <cell r="AW115" t="str">
            <v>Villager Lodge</v>
          </cell>
          <cell r="AX115">
            <v>30</v>
          </cell>
          <cell r="AY115">
            <v>3425</v>
          </cell>
          <cell r="AZ115">
            <v>1</v>
          </cell>
          <cell r="BA115">
            <v>150</v>
          </cell>
          <cell r="BB115">
            <v>0</v>
          </cell>
          <cell r="BC115">
            <v>0</v>
          </cell>
          <cell r="BD115">
            <v>7</v>
          </cell>
          <cell r="BE115">
            <v>857</v>
          </cell>
          <cell r="BF115">
            <v>7</v>
          </cell>
          <cell r="BG115">
            <v>857</v>
          </cell>
          <cell r="BH115">
            <v>33</v>
          </cell>
          <cell r="BI115">
            <v>4344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23</v>
          </cell>
          <cell r="BO115">
            <v>2804</v>
          </cell>
          <cell r="BP115">
            <v>12</v>
          </cell>
          <cell r="BQ115">
            <v>1990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</row>
        <row r="116">
          <cell r="AW116" t="str">
            <v>W Hotel</v>
          </cell>
          <cell r="AX116">
            <v>15</v>
          </cell>
          <cell r="AY116">
            <v>753</v>
          </cell>
          <cell r="AZ116">
            <v>1</v>
          </cell>
          <cell r="BA116">
            <v>270</v>
          </cell>
          <cell r="BB116">
            <v>2</v>
          </cell>
          <cell r="BC116">
            <v>774</v>
          </cell>
          <cell r="BD116">
            <v>1</v>
          </cell>
          <cell r="BE116">
            <v>350</v>
          </cell>
          <cell r="BF116">
            <v>3</v>
          </cell>
          <cell r="BG116">
            <v>1124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1</v>
          </cell>
          <cell r="BO116">
            <v>263</v>
          </cell>
          <cell r="BP116">
            <v>1</v>
          </cell>
          <cell r="BQ116">
            <v>350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</row>
        <row r="117">
          <cell r="AW117" t="str">
            <v>Wellesley Inn &amp; Suites</v>
          </cell>
          <cell r="AX117">
            <v>95</v>
          </cell>
          <cell r="AY117">
            <v>9707</v>
          </cell>
          <cell r="AZ117">
            <v>1</v>
          </cell>
          <cell r="BA117">
            <v>65</v>
          </cell>
          <cell r="BB117">
            <v>0</v>
          </cell>
          <cell r="BC117">
            <v>0</v>
          </cell>
          <cell r="BD117">
            <v>1</v>
          </cell>
          <cell r="BE117">
            <v>65</v>
          </cell>
          <cell r="BF117">
            <v>1</v>
          </cell>
          <cell r="BG117">
            <v>65</v>
          </cell>
          <cell r="BH117">
            <v>1</v>
          </cell>
          <cell r="BI117">
            <v>75</v>
          </cell>
          <cell r="BJ117">
            <v>4</v>
          </cell>
          <cell r="BK117">
            <v>494</v>
          </cell>
          <cell r="BL117">
            <v>12</v>
          </cell>
          <cell r="BM117">
            <v>1311</v>
          </cell>
          <cell r="BN117">
            <v>1</v>
          </cell>
          <cell r="BO117">
            <v>75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</row>
        <row r="118">
          <cell r="AW118" t="str">
            <v>Westcoast</v>
          </cell>
          <cell r="AX118">
            <v>481</v>
          </cell>
          <cell r="AY118">
            <v>37691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1</v>
          </cell>
          <cell r="BI118">
            <v>100</v>
          </cell>
          <cell r="BJ118">
            <v>2</v>
          </cell>
          <cell r="BK118">
            <v>110</v>
          </cell>
          <cell r="BL118">
            <v>5</v>
          </cell>
          <cell r="BM118">
            <v>348</v>
          </cell>
          <cell r="BN118">
            <v>0</v>
          </cell>
          <cell r="BO118">
            <v>0</v>
          </cell>
          <cell r="BP118">
            <v>1</v>
          </cell>
          <cell r="BQ118">
            <v>100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</row>
        <row r="119">
          <cell r="AW119" t="str">
            <v>Westin Hotel</v>
          </cell>
          <cell r="AX119">
            <v>127</v>
          </cell>
          <cell r="AY119">
            <v>11633</v>
          </cell>
          <cell r="AZ119">
            <v>3</v>
          </cell>
          <cell r="BA119">
            <v>707</v>
          </cell>
          <cell r="BB119">
            <v>7</v>
          </cell>
          <cell r="BC119">
            <v>4310</v>
          </cell>
          <cell r="BD119">
            <v>2</v>
          </cell>
          <cell r="BE119">
            <v>1025</v>
          </cell>
          <cell r="BF119">
            <v>9</v>
          </cell>
          <cell r="BG119">
            <v>5335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1</v>
          </cell>
          <cell r="BM119">
            <v>150</v>
          </cell>
          <cell r="BN119">
            <v>4</v>
          </cell>
          <cell r="BO119">
            <v>2161</v>
          </cell>
          <cell r="BP119">
            <v>2</v>
          </cell>
          <cell r="BQ119">
            <v>1025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</row>
        <row r="120">
          <cell r="AW120" t="str">
            <v>Wingate Inn</v>
          </cell>
          <cell r="AX120">
            <v>13</v>
          </cell>
          <cell r="AY120">
            <v>3817</v>
          </cell>
          <cell r="AZ120">
            <v>19</v>
          </cell>
          <cell r="BA120">
            <v>1773</v>
          </cell>
          <cell r="BB120">
            <v>14</v>
          </cell>
          <cell r="BC120">
            <v>1359</v>
          </cell>
          <cell r="BD120">
            <v>15</v>
          </cell>
          <cell r="BE120">
            <v>1621</v>
          </cell>
          <cell r="BF120">
            <v>29</v>
          </cell>
          <cell r="BG120">
            <v>2980</v>
          </cell>
          <cell r="BH120">
            <v>85</v>
          </cell>
          <cell r="BI120">
            <v>9414</v>
          </cell>
          <cell r="BJ120">
            <v>1</v>
          </cell>
          <cell r="BK120">
            <v>509</v>
          </cell>
          <cell r="BL120">
            <v>1</v>
          </cell>
          <cell r="BM120">
            <v>509</v>
          </cell>
          <cell r="BN120">
            <v>76</v>
          </cell>
          <cell r="BO120">
            <v>7888</v>
          </cell>
          <cell r="BP120">
            <v>21</v>
          </cell>
          <cell r="BQ120">
            <v>2847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</row>
        <row r="121">
          <cell r="AW121" t="str">
            <v>Woodfield Suites</v>
          </cell>
          <cell r="AX121">
            <v>39</v>
          </cell>
          <cell r="AY121">
            <v>4776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1</v>
          </cell>
          <cell r="BM121">
            <v>65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</row>
        <row r="122">
          <cell r="AW122" t="str">
            <v>Woodfin Suites</v>
          </cell>
          <cell r="AX122">
            <v>24</v>
          </cell>
          <cell r="AY122">
            <v>5256</v>
          </cell>
          <cell r="AZ122">
            <v>1</v>
          </cell>
          <cell r="BA122">
            <v>202</v>
          </cell>
          <cell r="BB122">
            <v>0</v>
          </cell>
          <cell r="BC122">
            <v>0</v>
          </cell>
          <cell r="BD122">
            <v>1</v>
          </cell>
          <cell r="BE122">
            <v>162</v>
          </cell>
          <cell r="BF122">
            <v>1</v>
          </cell>
          <cell r="BG122">
            <v>162</v>
          </cell>
          <cell r="BH122">
            <v>1</v>
          </cell>
          <cell r="BI122">
            <v>288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1</v>
          </cell>
          <cell r="BO122">
            <v>162</v>
          </cell>
          <cell r="BP122">
            <v>1</v>
          </cell>
          <cell r="BQ122">
            <v>288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</row>
        <row r="123">
          <cell r="AW123" t="str">
            <v xml:space="preserve">Wyndham Garden </v>
          </cell>
          <cell r="AX123">
            <v>57</v>
          </cell>
          <cell r="AY123">
            <v>27930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2</v>
          </cell>
          <cell r="BK123">
            <v>536</v>
          </cell>
          <cell r="BL123">
            <v>3</v>
          </cell>
          <cell r="BM123">
            <v>793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AW124" t="str">
            <v>Wyndham Historic Hotel</v>
          </cell>
          <cell r="AX124">
            <v>107</v>
          </cell>
          <cell r="AY124">
            <v>10010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9</v>
          </cell>
          <cell r="BK124">
            <v>837</v>
          </cell>
          <cell r="BL124">
            <v>16</v>
          </cell>
          <cell r="BM124">
            <v>1480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</row>
        <row r="125">
          <cell r="AW125" t="str">
            <v>Wyndham Hotel</v>
          </cell>
          <cell r="AX125">
            <v>7</v>
          </cell>
          <cell r="AY125">
            <v>889</v>
          </cell>
          <cell r="AZ125">
            <v>1</v>
          </cell>
          <cell r="BA125">
            <v>180</v>
          </cell>
          <cell r="BB125">
            <v>2</v>
          </cell>
          <cell r="BC125">
            <v>589</v>
          </cell>
          <cell r="BD125">
            <v>0</v>
          </cell>
          <cell r="BE125">
            <v>0</v>
          </cell>
          <cell r="BF125">
            <v>2</v>
          </cell>
          <cell r="BG125">
            <v>589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</row>
        <row r="126">
          <cell r="AW126" t="str">
            <v>Wyndham Luxury</v>
          </cell>
          <cell r="AX126">
            <v>8</v>
          </cell>
          <cell r="AY126">
            <v>1096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10 cos."/>
      <sheetName val="brand lookup"/>
      <sheetName val="Anaheim Mkt Share ExII"/>
      <sheetName val="Atlanta Mkt Share ExII"/>
      <sheetName val="Boston Mkt Share ExII"/>
      <sheetName val="Chicago Mkt Share ExII"/>
      <sheetName val="Dallas Mkt Share ExII"/>
      <sheetName val="Denver Mkt Share ExII"/>
      <sheetName val="Detroit Mkt Share ExII"/>
      <sheetName val="Houston Mkt Share ExII"/>
      <sheetName val="Las Vegas Mkt Share ExII"/>
      <sheetName val="Los Angeles Mkt Share ExII"/>
      <sheetName val="Miami Mkt Share ExII"/>
      <sheetName val="Minneapolis Mkt Share ExII"/>
      <sheetName val="Nashville Mkt Share ExII"/>
      <sheetName val="New Orleans Mkt Share ExII"/>
      <sheetName val="New York Mkt Share ExII"/>
      <sheetName val="Oahu Mkt Share ExII"/>
      <sheetName val="Orlando Mkt Share ExII"/>
      <sheetName val="Philadelphia Mkt Share ExII"/>
      <sheetName val="Phoenix Mkt Share ExII"/>
      <sheetName val="Saint Louis Mkt Share ExII"/>
      <sheetName val="San Diego Mkt Share ExII"/>
      <sheetName val="San Francisco Mkt Share ExII"/>
      <sheetName val="Seattle Mkt Share ExII"/>
      <sheetName val="Tampa Mkt Share ExII"/>
      <sheetName val="Washington Mkt Share ExII"/>
      <sheetName val="census lookups"/>
      <sheetName val="lookups"/>
      <sheetName val="3q pivots"/>
      <sheetName val="Marriott Ex III"/>
      <sheetName val="BY MSA ExIII"/>
      <sheetName val="COURTYARD Ex III"/>
      <sheetName val="FAIRFIELD Ex III"/>
      <sheetName val="MARRIOTT HRS Ex III"/>
      <sheetName val="RENAISSANCE HRS Ex III"/>
      <sheetName val="RESIDENCE Ex III"/>
      <sheetName val="RITZ Ex III"/>
      <sheetName val="SPRINGHILL Ex III"/>
      <sheetName val="TOWNEPLACE Ex III"/>
      <sheetName val="top cos ExIV"/>
      <sheetName val="Mkt Ranks ExV"/>
      <sheetName val="Mkt OpStats Rank ExVII"/>
      <sheetName val="Mkt Op Stats ExVII"/>
      <sheetName val="Brand Census ConI"/>
      <sheetName val="Mkt Census ConII"/>
      <sheetName val="Brand Op Stats ConI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>
        <row r="228">
          <cell r="B228" t="str">
            <v>Anaheim, CA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1</v>
          </cell>
          <cell r="AF228">
            <v>140</v>
          </cell>
          <cell r="AG228">
            <v>0</v>
          </cell>
          <cell r="AH228">
            <v>0</v>
          </cell>
          <cell r="AI228">
            <v>6</v>
          </cell>
          <cell r="AJ228">
            <v>907</v>
          </cell>
          <cell r="AK228">
            <v>6</v>
          </cell>
          <cell r="AL228">
            <v>907</v>
          </cell>
          <cell r="AM228">
            <v>5</v>
          </cell>
          <cell r="AN228">
            <v>1051</v>
          </cell>
          <cell r="AO228">
            <v>5</v>
          </cell>
          <cell r="AP228">
            <v>1051</v>
          </cell>
          <cell r="AQ228">
            <v>8</v>
          </cell>
          <cell r="AR228">
            <v>3511</v>
          </cell>
          <cell r="AS228">
            <v>8</v>
          </cell>
          <cell r="AT228">
            <v>3511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6</v>
          </cell>
          <cell r="AZ228">
            <v>794</v>
          </cell>
          <cell r="BA228">
            <v>6</v>
          </cell>
          <cell r="BB228">
            <v>794</v>
          </cell>
          <cell r="BC228">
            <v>1</v>
          </cell>
          <cell r="BD228">
            <v>393</v>
          </cell>
          <cell r="BE228">
            <v>1</v>
          </cell>
          <cell r="BF228">
            <v>393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1</v>
          </cell>
          <cell r="BN228">
            <v>140</v>
          </cell>
          <cell r="BO228">
            <v>6</v>
          </cell>
          <cell r="BP228">
            <v>907</v>
          </cell>
          <cell r="BQ228">
            <v>5</v>
          </cell>
          <cell r="BR228">
            <v>1051</v>
          </cell>
          <cell r="BS228">
            <v>8</v>
          </cell>
          <cell r="BT228">
            <v>3511</v>
          </cell>
          <cell r="BU228">
            <v>0</v>
          </cell>
          <cell r="BV228">
            <v>0</v>
          </cell>
          <cell r="BW228">
            <v>6</v>
          </cell>
          <cell r="BX228">
            <v>794</v>
          </cell>
          <cell r="BY228">
            <v>1</v>
          </cell>
          <cell r="BZ228">
            <v>393</v>
          </cell>
          <cell r="CA228">
            <v>0</v>
          </cell>
          <cell r="CB228">
            <v>0</v>
          </cell>
          <cell r="CC228">
            <v>1</v>
          </cell>
          <cell r="CD228">
            <v>140</v>
          </cell>
          <cell r="CE228">
            <v>27</v>
          </cell>
          <cell r="CF228">
            <v>6796</v>
          </cell>
        </row>
        <row r="229">
          <cell r="B229" t="str">
            <v>Atlanta, GA</v>
          </cell>
          <cell r="C229">
            <v>2</v>
          </cell>
          <cell r="D229">
            <v>156</v>
          </cell>
          <cell r="E229">
            <v>1</v>
          </cell>
          <cell r="F229">
            <v>154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1</v>
          </cell>
          <cell r="N229">
            <v>318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1</v>
          </cell>
          <cell r="T229">
            <v>120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</v>
          </cell>
          <cell r="AB229">
            <v>82</v>
          </cell>
          <cell r="AC229">
            <v>3</v>
          </cell>
          <cell r="AD229">
            <v>251</v>
          </cell>
          <cell r="AE229">
            <v>0</v>
          </cell>
          <cell r="AF229">
            <v>0</v>
          </cell>
          <cell r="AG229">
            <v>1</v>
          </cell>
          <cell r="AH229">
            <v>83</v>
          </cell>
          <cell r="AI229">
            <v>18</v>
          </cell>
          <cell r="AJ229">
            <v>2749</v>
          </cell>
          <cell r="AK229">
            <v>20</v>
          </cell>
          <cell r="AL229">
            <v>2905</v>
          </cell>
          <cell r="AM229">
            <v>15</v>
          </cell>
          <cell r="AN229">
            <v>1933</v>
          </cell>
          <cell r="AO229">
            <v>15</v>
          </cell>
          <cell r="AP229">
            <v>1933</v>
          </cell>
          <cell r="AQ229">
            <v>10</v>
          </cell>
          <cell r="AR229">
            <v>4918</v>
          </cell>
          <cell r="AS229">
            <v>10</v>
          </cell>
          <cell r="AT229">
            <v>4918</v>
          </cell>
          <cell r="AU229">
            <v>4</v>
          </cell>
          <cell r="AV229">
            <v>1702</v>
          </cell>
          <cell r="AW229">
            <v>4</v>
          </cell>
          <cell r="AX229">
            <v>1702</v>
          </cell>
          <cell r="AY229">
            <v>12</v>
          </cell>
          <cell r="AZ229">
            <v>1534</v>
          </cell>
          <cell r="BA229">
            <v>13</v>
          </cell>
          <cell r="BB229">
            <v>1654</v>
          </cell>
          <cell r="BC229">
            <v>2</v>
          </cell>
          <cell r="BD229">
            <v>1000</v>
          </cell>
          <cell r="BE229">
            <v>2</v>
          </cell>
          <cell r="BF229">
            <v>1000</v>
          </cell>
          <cell r="BG229">
            <v>0</v>
          </cell>
          <cell r="BH229">
            <v>0</v>
          </cell>
          <cell r="BI229">
            <v>1</v>
          </cell>
          <cell r="BJ229">
            <v>82</v>
          </cell>
          <cell r="BK229">
            <v>3</v>
          </cell>
          <cell r="BL229">
            <v>282</v>
          </cell>
          <cell r="BM229">
            <v>3</v>
          </cell>
          <cell r="BN229">
            <v>282</v>
          </cell>
          <cell r="BO229">
            <v>21</v>
          </cell>
          <cell r="BP229">
            <v>3059</v>
          </cell>
          <cell r="BQ229">
            <v>15</v>
          </cell>
          <cell r="BR229">
            <v>1933</v>
          </cell>
          <cell r="BS229">
            <v>11</v>
          </cell>
          <cell r="BT229">
            <v>5236</v>
          </cell>
          <cell r="BU229">
            <v>4</v>
          </cell>
          <cell r="BV229">
            <v>1702</v>
          </cell>
          <cell r="BW229">
            <v>13</v>
          </cell>
          <cell r="BX229">
            <v>1654</v>
          </cell>
          <cell r="BY229">
            <v>2</v>
          </cell>
          <cell r="BZ229">
            <v>1000</v>
          </cell>
          <cell r="CA229">
            <v>4</v>
          </cell>
          <cell r="CB229">
            <v>333</v>
          </cell>
          <cell r="CC229">
            <v>4</v>
          </cell>
          <cell r="CD229">
            <v>365</v>
          </cell>
          <cell r="CE229">
            <v>74</v>
          </cell>
          <cell r="CF229">
            <v>15282</v>
          </cell>
        </row>
        <row r="230">
          <cell r="B230" t="str">
            <v>Boston, MA</v>
          </cell>
          <cell r="C230">
            <v>0</v>
          </cell>
          <cell r="D230">
            <v>0</v>
          </cell>
          <cell r="E230">
            <v>1</v>
          </cell>
          <cell r="F230">
            <v>154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1</v>
          </cell>
          <cell r="T230">
            <v>209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2</v>
          </cell>
          <cell r="AF230">
            <v>222</v>
          </cell>
          <cell r="AG230">
            <v>0</v>
          </cell>
          <cell r="AH230">
            <v>0</v>
          </cell>
          <cell r="AI230">
            <v>7</v>
          </cell>
          <cell r="AJ230">
            <v>957</v>
          </cell>
          <cell r="AK230">
            <v>7</v>
          </cell>
          <cell r="AL230">
            <v>957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6</v>
          </cell>
          <cell r="AR230">
            <v>2940</v>
          </cell>
          <cell r="AS230">
            <v>6</v>
          </cell>
          <cell r="AT230">
            <v>2940</v>
          </cell>
          <cell r="AU230">
            <v>1</v>
          </cell>
          <cell r="AV230">
            <v>286</v>
          </cell>
          <cell r="AW230">
            <v>1</v>
          </cell>
          <cell r="AX230">
            <v>286</v>
          </cell>
          <cell r="AY230">
            <v>4</v>
          </cell>
          <cell r="AZ230">
            <v>415</v>
          </cell>
          <cell r="BA230">
            <v>5</v>
          </cell>
          <cell r="BB230">
            <v>624</v>
          </cell>
          <cell r="BC230">
            <v>1</v>
          </cell>
          <cell r="BD230">
            <v>275</v>
          </cell>
          <cell r="BE230">
            <v>1</v>
          </cell>
          <cell r="BF230">
            <v>275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2</v>
          </cell>
          <cell r="BN230">
            <v>222</v>
          </cell>
          <cell r="BO230">
            <v>8</v>
          </cell>
          <cell r="BP230">
            <v>1111</v>
          </cell>
          <cell r="BQ230">
            <v>0</v>
          </cell>
          <cell r="BR230">
            <v>0</v>
          </cell>
          <cell r="BS230">
            <v>6</v>
          </cell>
          <cell r="BT230">
            <v>2940</v>
          </cell>
          <cell r="BU230">
            <v>1</v>
          </cell>
          <cell r="BV230">
            <v>286</v>
          </cell>
          <cell r="BW230">
            <v>5</v>
          </cell>
          <cell r="BX230">
            <v>624</v>
          </cell>
          <cell r="BY230">
            <v>1</v>
          </cell>
          <cell r="BZ230">
            <v>275</v>
          </cell>
          <cell r="CA230">
            <v>0</v>
          </cell>
          <cell r="CB230">
            <v>0</v>
          </cell>
          <cell r="CC230">
            <v>2</v>
          </cell>
          <cell r="CD230">
            <v>222</v>
          </cell>
          <cell r="CE230">
            <v>23</v>
          </cell>
          <cell r="CF230">
            <v>5458</v>
          </cell>
        </row>
        <row r="231">
          <cell r="B231" t="str">
            <v>Chicago, IL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10</v>
          </cell>
          <cell r="AJ231">
            <v>1716</v>
          </cell>
          <cell r="AK231">
            <v>10</v>
          </cell>
          <cell r="AL231">
            <v>1716</v>
          </cell>
          <cell r="AM231">
            <v>6</v>
          </cell>
          <cell r="AN231">
            <v>685</v>
          </cell>
          <cell r="AO231">
            <v>6</v>
          </cell>
          <cell r="AP231">
            <v>685</v>
          </cell>
          <cell r="AQ231">
            <v>6</v>
          </cell>
          <cell r="AR231">
            <v>2695</v>
          </cell>
          <cell r="AS231">
            <v>6</v>
          </cell>
          <cell r="AT231">
            <v>2695</v>
          </cell>
          <cell r="AU231">
            <v>2</v>
          </cell>
          <cell r="AV231">
            <v>719</v>
          </cell>
          <cell r="AW231">
            <v>2</v>
          </cell>
          <cell r="AX231">
            <v>719</v>
          </cell>
          <cell r="AY231">
            <v>4</v>
          </cell>
          <cell r="AZ231">
            <v>728</v>
          </cell>
          <cell r="BA231">
            <v>4</v>
          </cell>
          <cell r="BB231">
            <v>728</v>
          </cell>
          <cell r="BC231">
            <v>1</v>
          </cell>
          <cell r="BD231">
            <v>435</v>
          </cell>
          <cell r="BE231">
            <v>1</v>
          </cell>
          <cell r="BF231">
            <v>435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10</v>
          </cell>
          <cell r="BP231">
            <v>1716</v>
          </cell>
          <cell r="BQ231">
            <v>6</v>
          </cell>
          <cell r="BR231">
            <v>685</v>
          </cell>
          <cell r="BS231">
            <v>6</v>
          </cell>
          <cell r="BT231">
            <v>2695</v>
          </cell>
          <cell r="BU231">
            <v>2</v>
          </cell>
          <cell r="BV231">
            <v>719</v>
          </cell>
          <cell r="BW231">
            <v>4</v>
          </cell>
          <cell r="BX231">
            <v>728</v>
          </cell>
          <cell r="BY231">
            <v>1</v>
          </cell>
          <cell r="BZ231">
            <v>435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29</v>
          </cell>
          <cell r="CF231">
            <v>6978</v>
          </cell>
        </row>
        <row r="232">
          <cell r="B232" t="str">
            <v>Dallas, TX</v>
          </cell>
          <cell r="C232">
            <v>1</v>
          </cell>
          <cell r="D232">
            <v>123</v>
          </cell>
          <cell r="E232">
            <v>1</v>
          </cell>
          <cell r="F232">
            <v>176</v>
          </cell>
          <cell r="G232">
            <v>1</v>
          </cell>
          <cell r="H232">
            <v>107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1</v>
          </cell>
          <cell r="N232">
            <v>364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1</v>
          </cell>
          <cell r="AH232">
            <v>106</v>
          </cell>
          <cell r="AI232">
            <v>11</v>
          </cell>
          <cell r="AJ232">
            <v>1647</v>
          </cell>
          <cell r="AK232">
            <v>12</v>
          </cell>
          <cell r="AL232">
            <v>1770</v>
          </cell>
          <cell r="AM232">
            <v>7</v>
          </cell>
          <cell r="AN232">
            <v>830</v>
          </cell>
          <cell r="AO232">
            <v>8</v>
          </cell>
          <cell r="AP232">
            <v>937</v>
          </cell>
          <cell r="AQ232">
            <v>5</v>
          </cell>
          <cell r="AR232">
            <v>1923</v>
          </cell>
          <cell r="AS232">
            <v>5</v>
          </cell>
          <cell r="AT232">
            <v>1923</v>
          </cell>
          <cell r="AU232">
            <v>2</v>
          </cell>
          <cell r="AV232">
            <v>838</v>
          </cell>
          <cell r="AW232">
            <v>2</v>
          </cell>
          <cell r="AX232">
            <v>838</v>
          </cell>
          <cell r="AY232">
            <v>8</v>
          </cell>
          <cell r="AZ232">
            <v>903</v>
          </cell>
          <cell r="BA232">
            <v>8</v>
          </cell>
          <cell r="BB232">
            <v>903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1</v>
          </cell>
          <cell r="BL232">
            <v>136</v>
          </cell>
          <cell r="BM232">
            <v>1</v>
          </cell>
          <cell r="BN232">
            <v>136</v>
          </cell>
          <cell r="BO232">
            <v>13</v>
          </cell>
          <cell r="BP232">
            <v>1946</v>
          </cell>
          <cell r="BQ232">
            <v>8</v>
          </cell>
          <cell r="BR232">
            <v>937</v>
          </cell>
          <cell r="BS232">
            <v>6</v>
          </cell>
          <cell r="BT232">
            <v>2287</v>
          </cell>
          <cell r="BU232">
            <v>2</v>
          </cell>
          <cell r="BV232">
            <v>838</v>
          </cell>
          <cell r="BW232">
            <v>8</v>
          </cell>
          <cell r="BX232">
            <v>903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2</v>
          </cell>
          <cell r="CD232">
            <v>242</v>
          </cell>
          <cell r="CE232">
            <v>39</v>
          </cell>
          <cell r="CF232">
            <v>7153</v>
          </cell>
        </row>
        <row r="233">
          <cell r="B233" t="str">
            <v>Denver, CO</v>
          </cell>
          <cell r="C233">
            <v>1</v>
          </cell>
          <cell r="D233">
            <v>90</v>
          </cell>
          <cell r="E233">
            <v>0</v>
          </cell>
          <cell r="F233">
            <v>0</v>
          </cell>
          <cell r="G233">
            <v>1</v>
          </cell>
          <cell r="H233">
            <v>80</v>
          </cell>
          <cell r="I233">
            <v>1</v>
          </cell>
          <cell r="J233">
            <v>82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1</v>
          </cell>
          <cell r="T233">
            <v>94</v>
          </cell>
          <cell r="U233">
            <v>1</v>
          </cell>
          <cell r="V233">
            <v>112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2</v>
          </cell>
          <cell r="AF233">
            <v>220</v>
          </cell>
          <cell r="AG233">
            <v>2</v>
          </cell>
          <cell r="AH233">
            <v>196</v>
          </cell>
          <cell r="AI233">
            <v>4</v>
          </cell>
          <cell r="AJ233">
            <v>701</v>
          </cell>
          <cell r="AK233">
            <v>5</v>
          </cell>
          <cell r="AL233">
            <v>791</v>
          </cell>
          <cell r="AM233">
            <v>5</v>
          </cell>
          <cell r="AN233">
            <v>626</v>
          </cell>
          <cell r="AO233">
            <v>6</v>
          </cell>
          <cell r="AP233">
            <v>706</v>
          </cell>
          <cell r="AQ233">
            <v>5</v>
          </cell>
          <cell r="AR233">
            <v>2381</v>
          </cell>
          <cell r="AS233">
            <v>5</v>
          </cell>
          <cell r="AT233">
            <v>2381</v>
          </cell>
          <cell r="AU233">
            <v>1</v>
          </cell>
          <cell r="AV233">
            <v>400</v>
          </cell>
          <cell r="AW233">
            <v>1</v>
          </cell>
          <cell r="AX233">
            <v>400</v>
          </cell>
          <cell r="AY233">
            <v>4</v>
          </cell>
          <cell r="AZ233">
            <v>503</v>
          </cell>
          <cell r="BA233">
            <v>5</v>
          </cell>
          <cell r="BB233">
            <v>597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2</v>
          </cell>
          <cell r="BN233">
            <v>220</v>
          </cell>
          <cell r="BO233">
            <v>5</v>
          </cell>
          <cell r="BP233">
            <v>791</v>
          </cell>
          <cell r="BQ233">
            <v>7</v>
          </cell>
          <cell r="BR233">
            <v>788</v>
          </cell>
          <cell r="BS233">
            <v>5</v>
          </cell>
          <cell r="BT233">
            <v>2381</v>
          </cell>
          <cell r="BU233">
            <v>1</v>
          </cell>
          <cell r="BV233">
            <v>400</v>
          </cell>
          <cell r="BW233">
            <v>6</v>
          </cell>
          <cell r="BX233">
            <v>709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4</v>
          </cell>
          <cell r="CD233">
            <v>416</v>
          </cell>
          <cell r="CE233">
            <v>28</v>
          </cell>
          <cell r="CF233">
            <v>5485</v>
          </cell>
        </row>
        <row r="234">
          <cell r="B234" t="str">
            <v>Detroit, MI</v>
          </cell>
          <cell r="C234">
            <v>1</v>
          </cell>
          <cell r="D234">
            <v>123</v>
          </cell>
          <cell r="E234">
            <v>0</v>
          </cell>
          <cell r="F234">
            <v>0</v>
          </cell>
          <cell r="G234">
            <v>1</v>
          </cell>
          <cell r="H234">
            <v>103</v>
          </cell>
          <cell r="I234">
            <v>1</v>
          </cell>
          <cell r="J234">
            <v>72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1</v>
          </cell>
          <cell r="AF234">
            <v>95</v>
          </cell>
          <cell r="AG234">
            <v>1</v>
          </cell>
          <cell r="AH234">
            <v>94</v>
          </cell>
          <cell r="AI234">
            <v>11</v>
          </cell>
          <cell r="AJ234">
            <v>1580</v>
          </cell>
          <cell r="AK234">
            <v>12</v>
          </cell>
          <cell r="AL234">
            <v>1703</v>
          </cell>
          <cell r="AM234">
            <v>7</v>
          </cell>
          <cell r="AN234">
            <v>820</v>
          </cell>
          <cell r="AO234">
            <v>8</v>
          </cell>
          <cell r="AP234">
            <v>923</v>
          </cell>
          <cell r="AQ234">
            <v>7</v>
          </cell>
          <cell r="AR234">
            <v>1717</v>
          </cell>
          <cell r="AS234">
            <v>7</v>
          </cell>
          <cell r="AT234">
            <v>1717</v>
          </cell>
          <cell r="AU234">
            <v>1</v>
          </cell>
          <cell r="AV234">
            <v>1306</v>
          </cell>
          <cell r="AW234">
            <v>1</v>
          </cell>
          <cell r="AX234">
            <v>1306</v>
          </cell>
          <cell r="AY234">
            <v>7</v>
          </cell>
          <cell r="AZ234">
            <v>879</v>
          </cell>
          <cell r="BA234">
            <v>7</v>
          </cell>
          <cell r="BB234">
            <v>879</v>
          </cell>
          <cell r="BC234">
            <v>2</v>
          </cell>
          <cell r="BD234">
            <v>616</v>
          </cell>
          <cell r="BE234">
            <v>2</v>
          </cell>
          <cell r="BF234">
            <v>616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1</v>
          </cell>
          <cell r="BL234">
            <v>95</v>
          </cell>
          <cell r="BM234">
            <v>2</v>
          </cell>
          <cell r="BN234">
            <v>190</v>
          </cell>
          <cell r="BO234">
            <v>12</v>
          </cell>
          <cell r="BP234">
            <v>1703</v>
          </cell>
          <cell r="BQ234">
            <v>9</v>
          </cell>
          <cell r="BR234">
            <v>995</v>
          </cell>
          <cell r="BS234">
            <v>7</v>
          </cell>
          <cell r="BT234">
            <v>1717</v>
          </cell>
          <cell r="BU234">
            <v>1</v>
          </cell>
          <cell r="BV234">
            <v>1306</v>
          </cell>
          <cell r="BW234">
            <v>7</v>
          </cell>
          <cell r="BX234">
            <v>879</v>
          </cell>
          <cell r="BY234">
            <v>2</v>
          </cell>
          <cell r="BZ234">
            <v>616</v>
          </cell>
          <cell r="CA234">
            <v>0</v>
          </cell>
          <cell r="CB234">
            <v>0</v>
          </cell>
          <cell r="CC234">
            <v>3</v>
          </cell>
          <cell r="CD234">
            <v>284</v>
          </cell>
          <cell r="CE234">
            <v>41</v>
          </cell>
          <cell r="CF234">
            <v>7500</v>
          </cell>
        </row>
        <row r="235">
          <cell r="B235" t="str">
            <v>Houston, TX</v>
          </cell>
          <cell r="C235">
            <v>1</v>
          </cell>
          <cell r="D235">
            <v>153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1</v>
          </cell>
          <cell r="T235">
            <v>120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1</v>
          </cell>
          <cell r="AF235">
            <v>95</v>
          </cell>
          <cell r="AG235">
            <v>1</v>
          </cell>
          <cell r="AH235">
            <v>127</v>
          </cell>
          <cell r="AI235">
            <v>7</v>
          </cell>
          <cell r="AJ235">
            <v>1067</v>
          </cell>
          <cell r="AK235">
            <v>8</v>
          </cell>
          <cell r="AL235">
            <v>1220</v>
          </cell>
          <cell r="AM235">
            <v>6</v>
          </cell>
          <cell r="AN235">
            <v>559</v>
          </cell>
          <cell r="AO235">
            <v>6</v>
          </cell>
          <cell r="AP235">
            <v>559</v>
          </cell>
          <cell r="AQ235">
            <v>6</v>
          </cell>
          <cell r="AR235">
            <v>2539</v>
          </cell>
          <cell r="AS235">
            <v>6</v>
          </cell>
          <cell r="AT235">
            <v>2539</v>
          </cell>
          <cell r="AU235">
            <v>1</v>
          </cell>
          <cell r="AV235">
            <v>389</v>
          </cell>
          <cell r="AW235">
            <v>1</v>
          </cell>
          <cell r="AX235">
            <v>389</v>
          </cell>
          <cell r="AY235">
            <v>5</v>
          </cell>
          <cell r="AZ235">
            <v>655</v>
          </cell>
          <cell r="BA235">
            <v>6</v>
          </cell>
          <cell r="BB235">
            <v>775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1</v>
          </cell>
          <cell r="BH235">
            <v>79</v>
          </cell>
          <cell r="BI235">
            <v>1</v>
          </cell>
          <cell r="BJ235">
            <v>79</v>
          </cell>
          <cell r="BK235">
            <v>1</v>
          </cell>
          <cell r="BL235">
            <v>95</v>
          </cell>
          <cell r="BM235">
            <v>2</v>
          </cell>
          <cell r="BN235">
            <v>190</v>
          </cell>
          <cell r="BO235">
            <v>8</v>
          </cell>
          <cell r="BP235">
            <v>1220</v>
          </cell>
          <cell r="BQ235">
            <v>6</v>
          </cell>
          <cell r="BR235">
            <v>559</v>
          </cell>
          <cell r="BS235">
            <v>6</v>
          </cell>
          <cell r="BT235">
            <v>2539</v>
          </cell>
          <cell r="BU235">
            <v>1</v>
          </cell>
          <cell r="BV235">
            <v>389</v>
          </cell>
          <cell r="BW235">
            <v>6</v>
          </cell>
          <cell r="BX235">
            <v>775</v>
          </cell>
          <cell r="BY235">
            <v>0</v>
          </cell>
          <cell r="BZ235">
            <v>0</v>
          </cell>
          <cell r="CA235">
            <v>1</v>
          </cell>
          <cell r="CB235">
            <v>79</v>
          </cell>
          <cell r="CC235">
            <v>3</v>
          </cell>
          <cell r="CD235">
            <v>317</v>
          </cell>
          <cell r="CE235">
            <v>31</v>
          </cell>
          <cell r="CF235">
            <v>5878</v>
          </cell>
        </row>
        <row r="236">
          <cell r="B236" t="str">
            <v>Las Vegas, NV</v>
          </cell>
          <cell r="C236">
            <v>0</v>
          </cell>
          <cell r="D236">
            <v>0</v>
          </cell>
          <cell r="E236">
            <v>1</v>
          </cell>
          <cell r="F236">
            <v>154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2</v>
          </cell>
          <cell r="AJ236">
            <v>304</v>
          </cell>
          <cell r="AK236">
            <v>2</v>
          </cell>
          <cell r="AL236">
            <v>304</v>
          </cell>
          <cell r="AM236">
            <v>1</v>
          </cell>
          <cell r="AN236">
            <v>129</v>
          </cell>
          <cell r="AO236">
            <v>1</v>
          </cell>
          <cell r="AP236">
            <v>129</v>
          </cell>
          <cell r="AQ236">
            <v>1</v>
          </cell>
          <cell r="AR236">
            <v>278</v>
          </cell>
          <cell r="AS236">
            <v>1</v>
          </cell>
          <cell r="AT236">
            <v>278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4</v>
          </cell>
          <cell r="AZ236">
            <v>830</v>
          </cell>
          <cell r="BA236">
            <v>4</v>
          </cell>
          <cell r="BB236">
            <v>830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3</v>
          </cell>
          <cell r="BP236">
            <v>458</v>
          </cell>
          <cell r="BQ236">
            <v>1</v>
          </cell>
          <cell r="BR236">
            <v>129</v>
          </cell>
          <cell r="BS236">
            <v>1</v>
          </cell>
          <cell r="BT236">
            <v>278</v>
          </cell>
          <cell r="BU236">
            <v>0</v>
          </cell>
          <cell r="BV236">
            <v>0</v>
          </cell>
          <cell r="BW236">
            <v>4</v>
          </cell>
          <cell r="BX236">
            <v>830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9</v>
          </cell>
          <cell r="CF236">
            <v>1695</v>
          </cell>
        </row>
        <row r="237">
          <cell r="B237" t="str">
            <v>Los Angeles, CA</v>
          </cell>
          <cell r="C237">
            <v>0</v>
          </cell>
          <cell r="D237">
            <v>0</v>
          </cell>
          <cell r="E237">
            <v>2</v>
          </cell>
          <cell r="F237">
            <v>400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</v>
          </cell>
          <cell r="AB237">
            <v>86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8</v>
          </cell>
          <cell r="AJ237">
            <v>1400</v>
          </cell>
          <cell r="AK237">
            <v>8</v>
          </cell>
          <cell r="AL237">
            <v>1400</v>
          </cell>
          <cell r="AM237">
            <v>1</v>
          </cell>
          <cell r="AN237">
            <v>66</v>
          </cell>
          <cell r="AO237">
            <v>1</v>
          </cell>
          <cell r="AP237">
            <v>66</v>
          </cell>
          <cell r="AQ237">
            <v>9</v>
          </cell>
          <cell r="AR237">
            <v>3861</v>
          </cell>
          <cell r="AS237">
            <v>9</v>
          </cell>
          <cell r="AT237">
            <v>3861</v>
          </cell>
          <cell r="AU237">
            <v>4</v>
          </cell>
          <cell r="AV237">
            <v>1294</v>
          </cell>
          <cell r="AW237">
            <v>4</v>
          </cell>
          <cell r="AX237">
            <v>1294</v>
          </cell>
          <cell r="AY237">
            <v>7</v>
          </cell>
          <cell r="AZ237">
            <v>1185</v>
          </cell>
          <cell r="BA237">
            <v>7</v>
          </cell>
          <cell r="BB237">
            <v>1185</v>
          </cell>
          <cell r="BC237">
            <v>2</v>
          </cell>
          <cell r="BD237">
            <v>689</v>
          </cell>
          <cell r="BE237">
            <v>2</v>
          </cell>
          <cell r="BF237">
            <v>689</v>
          </cell>
          <cell r="BG237">
            <v>0</v>
          </cell>
          <cell r="BH237">
            <v>0</v>
          </cell>
          <cell r="BI237">
            <v>1</v>
          </cell>
          <cell r="BJ237">
            <v>86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10</v>
          </cell>
          <cell r="BP237">
            <v>1800</v>
          </cell>
          <cell r="BQ237">
            <v>1</v>
          </cell>
          <cell r="BR237">
            <v>66</v>
          </cell>
          <cell r="BS237">
            <v>9</v>
          </cell>
          <cell r="BT237">
            <v>3861</v>
          </cell>
          <cell r="BU237">
            <v>4</v>
          </cell>
          <cell r="BV237">
            <v>1294</v>
          </cell>
          <cell r="BW237">
            <v>7</v>
          </cell>
          <cell r="BX237">
            <v>1185</v>
          </cell>
          <cell r="BY237">
            <v>2</v>
          </cell>
          <cell r="BZ237">
            <v>689</v>
          </cell>
          <cell r="CA237">
            <v>1</v>
          </cell>
          <cell r="CB237">
            <v>86</v>
          </cell>
          <cell r="CC237">
            <v>0</v>
          </cell>
          <cell r="CD237">
            <v>0</v>
          </cell>
          <cell r="CE237">
            <v>34</v>
          </cell>
          <cell r="CF237">
            <v>8981</v>
          </cell>
        </row>
        <row r="238">
          <cell r="B238" t="str">
            <v>Miami, FL</v>
          </cell>
          <cell r="C238">
            <v>1</v>
          </cell>
          <cell r="D238">
            <v>166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1</v>
          </cell>
          <cell r="N238">
            <v>300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1</v>
          </cell>
          <cell r="V238">
            <v>140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2</v>
          </cell>
          <cell r="AF238">
            <v>190</v>
          </cell>
          <cell r="AG238">
            <v>0</v>
          </cell>
          <cell r="AH238">
            <v>0</v>
          </cell>
          <cell r="AI238">
            <v>3</v>
          </cell>
          <cell r="AJ238">
            <v>547</v>
          </cell>
          <cell r="AK238">
            <v>4</v>
          </cell>
          <cell r="AL238">
            <v>713</v>
          </cell>
          <cell r="AM238">
            <v>2</v>
          </cell>
          <cell r="AN238">
            <v>419</v>
          </cell>
          <cell r="AO238">
            <v>2</v>
          </cell>
          <cell r="AP238">
            <v>419</v>
          </cell>
          <cell r="AQ238">
            <v>4</v>
          </cell>
          <cell r="AR238">
            <v>1511</v>
          </cell>
          <cell r="AS238">
            <v>4</v>
          </cell>
          <cell r="AT238">
            <v>1511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1</v>
          </cell>
          <cell r="AZ238">
            <v>112</v>
          </cell>
          <cell r="BA238">
            <v>1</v>
          </cell>
          <cell r="BB238">
            <v>112</v>
          </cell>
          <cell r="BC238">
            <v>1</v>
          </cell>
          <cell r="BD238">
            <v>128</v>
          </cell>
          <cell r="BE238">
            <v>1</v>
          </cell>
          <cell r="BF238">
            <v>128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2</v>
          </cell>
          <cell r="BN238">
            <v>190</v>
          </cell>
          <cell r="BO238">
            <v>4</v>
          </cell>
          <cell r="BP238">
            <v>713</v>
          </cell>
          <cell r="BQ238">
            <v>2</v>
          </cell>
          <cell r="BR238">
            <v>419</v>
          </cell>
          <cell r="BS238">
            <v>5</v>
          </cell>
          <cell r="BT238">
            <v>1811</v>
          </cell>
          <cell r="BU238">
            <v>0</v>
          </cell>
          <cell r="BV238">
            <v>0</v>
          </cell>
          <cell r="BW238">
            <v>2</v>
          </cell>
          <cell r="BX238">
            <v>252</v>
          </cell>
          <cell r="BY238">
            <v>1</v>
          </cell>
          <cell r="BZ238">
            <v>128</v>
          </cell>
          <cell r="CA238">
            <v>0</v>
          </cell>
          <cell r="CB238">
            <v>0</v>
          </cell>
          <cell r="CC238">
            <v>2</v>
          </cell>
          <cell r="CD238">
            <v>190</v>
          </cell>
          <cell r="CE238">
            <v>16</v>
          </cell>
          <cell r="CF238">
            <v>3513</v>
          </cell>
        </row>
        <row r="239">
          <cell r="B239" t="str">
            <v>Minneapolis, MN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1</v>
          </cell>
          <cell r="AF239">
            <v>94</v>
          </cell>
          <cell r="AG239">
            <v>0</v>
          </cell>
          <cell r="AH239">
            <v>0</v>
          </cell>
          <cell r="AI239">
            <v>3</v>
          </cell>
          <cell r="AJ239">
            <v>498</v>
          </cell>
          <cell r="AK239">
            <v>3</v>
          </cell>
          <cell r="AL239">
            <v>498</v>
          </cell>
          <cell r="AM239">
            <v>5</v>
          </cell>
          <cell r="AN239">
            <v>431</v>
          </cell>
          <cell r="AO239">
            <v>5</v>
          </cell>
          <cell r="AP239">
            <v>431</v>
          </cell>
          <cell r="AQ239">
            <v>3</v>
          </cell>
          <cell r="AR239">
            <v>1383</v>
          </cell>
          <cell r="AS239">
            <v>3</v>
          </cell>
          <cell r="AT239">
            <v>1383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5</v>
          </cell>
          <cell r="AZ239">
            <v>606</v>
          </cell>
          <cell r="BA239">
            <v>5</v>
          </cell>
          <cell r="BB239">
            <v>606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1</v>
          </cell>
          <cell r="BH239">
            <v>105</v>
          </cell>
          <cell r="BI239">
            <v>1</v>
          </cell>
          <cell r="BJ239">
            <v>105</v>
          </cell>
          <cell r="BK239">
            <v>2</v>
          </cell>
          <cell r="BL239">
            <v>247</v>
          </cell>
          <cell r="BM239">
            <v>3</v>
          </cell>
          <cell r="BN239">
            <v>341</v>
          </cell>
          <cell r="BO239">
            <v>3</v>
          </cell>
          <cell r="BP239">
            <v>498</v>
          </cell>
          <cell r="BQ239">
            <v>5</v>
          </cell>
          <cell r="BR239">
            <v>431</v>
          </cell>
          <cell r="BS239">
            <v>3</v>
          </cell>
          <cell r="BT239">
            <v>1383</v>
          </cell>
          <cell r="BU239">
            <v>0</v>
          </cell>
          <cell r="BV239">
            <v>0</v>
          </cell>
          <cell r="BW239">
            <v>5</v>
          </cell>
          <cell r="BX239">
            <v>606</v>
          </cell>
          <cell r="BY239">
            <v>0</v>
          </cell>
          <cell r="BZ239">
            <v>0</v>
          </cell>
          <cell r="CA239">
            <v>1</v>
          </cell>
          <cell r="CB239">
            <v>105</v>
          </cell>
          <cell r="CC239">
            <v>3</v>
          </cell>
          <cell r="CD239">
            <v>341</v>
          </cell>
          <cell r="CE239">
            <v>20</v>
          </cell>
          <cell r="CF239">
            <v>3364</v>
          </cell>
        </row>
        <row r="240">
          <cell r="B240" t="str">
            <v>Nashville, TN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1</v>
          </cell>
          <cell r="L240">
            <v>300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2</v>
          </cell>
          <cell r="AD240">
            <v>228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5</v>
          </cell>
          <cell r="AJ240">
            <v>710</v>
          </cell>
          <cell r="AK240">
            <v>5</v>
          </cell>
          <cell r="AL240">
            <v>710</v>
          </cell>
          <cell r="AM240">
            <v>1</v>
          </cell>
          <cell r="AN240">
            <v>109</v>
          </cell>
          <cell r="AO240">
            <v>1</v>
          </cell>
          <cell r="AP240">
            <v>109</v>
          </cell>
          <cell r="AQ240">
            <v>1</v>
          </cell>
          <cell r="AR240">
            <v>399</v>
          </cell>
          <cell r="AS240">
            <v>2</v>
          </cell>
          <cell r="AT240">
            <v>699</v>
          </cell>
          <cell r="AU240">
            <v>1</v>
          </cell>
          <cell r="AV240">
            <v>673</v>
          </cell>
          <cell r="AW240">
            <v>1</v>
          </cell>
          <cell r="AX240">
            <v>673</v>
          </cell>
          <cell r="AY240">
            <v>2</v>
          </cell>
          <cell r="AZ240">
            <v>278</v>
          </cell>
          <cell r="BA240">
            <v>2</v>
          </cell>
          <cell r="BB240">
            <v>278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5</v>
          </cell>
          <cell r="BP240">
            <v>710</v>
          </cell>
          <cell r="BQ240">
            <v>1</v>
          </cell>
          <cell r="BR240">
            <v>109</v>
          </cell>
          <cell r="BS240">
            <v>2</v>
          </cell>
          <cell r="BT240">
            <v>699</v>
          </cell>
          <cell r="BU240">
            <v>1</v>
          </cell>
          <cell r="BV240">
            <v>673</v>
          </cell>
          <cell r="BW240">
            <v>2</v>
          </cell>
          <cell r="BX240">
            <v>278</v>
          </cell>
          <cell r="BY240">
            <v>0</v>
          </cell>
          <cell r="BZ240">
            <v>0</v>
          </cell>
          <cell r="CA240">
            <v>2</v>
          </cell>
          <cell r="CB240">
            <v>228</v>
          </cell>
          <cell r="CC240">
            <v>0</v>
          </cell>
          <cell r="CD240">
            <v>0</v>
          </cell>
          <cell r="CE240">
            <v>13</v>
          </cell>
          <cell r="CF240">
            <v>2697</v>
          </cell>
        </row>
        <row r="241">
          <cell r="B241" t="str">
            <v>New Orleans, LA</v>
          </cell>
          <cell r="C241">
            <v>1</v>
          </cell>
          <cell r="D241">
            <v>154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1</v>
          </cell>
          <cell r="AH241">
            <v>123</v>
          </cell>
          <cell r="AI241">
            <v>3</v>
          </cell>
          <cell r="AJ241">
            <v>433</v>
          </cell>
          <cell r="AK241">
            <v>4</v>
          </cell>
          <cell r="AL241">
            <v>587</v>
          </cell>
          <cell r="AM241">
            <v>1</v>
          </cell>
          <cell r="AN241">
            <v>106</v>
          </cell>
          <cell r="AO241">
            <v>1</v>
          </cell>
          <cell r="AP241">
            <v>106</v>
          </cell>
          <cell r="AQ241">
            <v>1</v>
          </cell>
          <cell r="AR241">
            <v>1292</v>
          </cell>
          <cell r="AS241">
            <v>1</v>
          </cell>
          <cell r="AT241">
            <v>1292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2</v>
          </cell>
          <cell r="AZ241">
            <v>351</v>
          </cell>
          <cell r="BA241">
            <v>2</v>
          </cell>
          <cell r="BB241">
            <v>351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4</v>
          </cell>
          <cell r="BP241">
            <v>587</v>
          </cell>
          <cell r="BQ241">
            <v>1</v>
          </cell>
          <cell r="BR241">
            <v>106</v>
          </cell>
          <cell r="BS241">
            <v>1</v>
          </cell>
          <cell r="BT241">
            <v>1292</v>
          </cell>
          <cell r="BU241">
            <v>0</v>
          </cell>
          <cell r="BV241">
            <v>0</v>
          </cell>
          <cell r="BW241">
            <v>2</v>
          </cell>
          <cell r="BX241">
            <v>351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1</v>
          </cell>
          <cell r="CD241">
            <v>123</v>
          </cell>
          <cell r="CE241">
            <v>9</v>
          </cell>
          <cell r="CF241">
            <v>2459</v>
          </cell>
        </row>
        <row r="242">
          <cell r="B242" t="str">
            <v>New York, NY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1</v>
          </cell>
          <cell r="V242">
            <v>123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6</v>
          </cell>
          <cell r="AJ242">
            <v>1439</v>
          </cell>
          <cell r="AK242">
            <v>6</v>
          </cell>
          <cell r="AL242">
            <v>1439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7</v>
          </cell>
          <cell r="AR242">
            <v>5153</v>
          </cell>
          <cell r="AS242">
            <v>7</v>
          </cell>
          <cell r="AT242">
            <v>5153</v>
          </cell>
          <cell r="AU242">
            <v>2</v>
          </cell>
          <cell r="AV242">
            <v>655</v>
          </cell>
          <cell r="AW242">
            <v>2</v>
          </cell>
          <cell r="AX242">
            <v>655</v>
          </cell>
          <cell r="AY242">
            <v>1</v>
          </cell>
          <cell r="AZ242">
            <v>130</v>
          </cell>
          <cell r="BA242">
            <v>1</v>
          </cell>
          <cell r="BB242">
            <v>130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6</v>
          </cell>
          <cell r="BP242">
            <v>1439</v>
          </cell>
          <cell r="BQ242">
            <v>0</v>
          </cell>
          <cell r="BR242">
            <v>0</v>
          </cell>
          <cell r="BS242">
            <v>7</v>
          </cell>
          <cell r="BT242">
            <v>5153</v>
          </cell>
          <cell r="BU242">
            <v>2</v>
          </cell>
          <cell r="BV242">
            <v>655</v>
          </cell>
          <cell r="BW242">
            <v>2</v>
          </cell>
          <cell r="BX242">
            <v>253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17</v>
          </cell>
          <cell r="CF242">
            <v>7500</v>
          </cell>
        </row>
        <row r="243">
          <cell r="B243" t="str">
            <v>Norfolk, VA</v>
          </cell>
          <cell r="C243">
            <v>1</v>
          </cell>
          <cell r="D243">
            <v>169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1</v>
          </cell>
          <cell r="T243">
            <v>108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</v>
          </cell>
          <cell r="AD243">
            <v>120</v>
          </cell>
          <cell r="AE243">
            <v>1</v>
          </cell>
          <cell r="AF243">
            <v>119</v>
          </cell>
          <cell r="AG243">
            <v>0</v>
          </cell>
          <cell r="AH243">
            <v>0</v>
          </cell>
          <cell r="AI243">
            <v>5</v>
          </cell>
          <cell r="AJ243">
            <v>635</v>
          </cell>
          <cell r="AK243">
            <v>6</v>
          </cell>
          <cell r="AL243">
            <v>804</v>
          </cell>
          <cell r="AM243">
            <v>4</v>
          </cell>
          <cell r="AN243">
            <v>499</v>
          </cell>
          <cell r="AO243">
            <v>4</v>
          </cell>
          <cell r="AP243">
            <v>499</v>
          </cell>
          <cell r="AQ243">
            <v>2</v>
          </cell>
          <cell r="AR243">
            <v>699</v>
          </cell>
          <cell r="AS243">
            <v>2</v>
          </cell>
          <cell r="AT243">
            <v>699</v>
          </cell>
          <cell r="AU243">
            <v>1</v>
          </cell>
          <cell r="AV243">
            <v>250</v>
          </cell>
          <cell r="AW243">
            <v>1</v>
          </cell>
          <cell r="AX243">
            <v>250</v>
          </cell>
          <cell r="AY243">
            <v>0</v>
          </cell>
          <cell r="AZ243">
            <v>0</v>
          </cell>
          <cell r="BA243">
            <v>1</v>
          </cell>
          <cell r="BB243">
            <v>108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1</v>
          </cell>
          <cell r="BH243">
            <v>93</v>
          </cell>
          <cell r="BI243">
            <v>1</v>
          </cell>
          <cell r="BJ243">
            <v>93</v>
          </cell>
          <cell r="BK243">
            <v>2</v>
          </cell>
          <cell r="BL243">
            <v>190</v>
          </cell>
          <cell r="BM243">
            <v>3</v>
          </cell>
          <cell r="BN243">
            <v>309</v>
          </cell>
          <cell r="BO243">
            <v>6</v>
          </cell>
          <cell r="BP243">
            <v>804</v>
          </cell>
          <cell r="BQ243">
            <v>4</v>
          </cell>
          <cell r="BR243">
            <v>499</v>
          </cell>
          <cell r="BS243">
            <v>2</v>
          </cell>
          <cell r="BT243">
            <v>699</v>
          </cell>
          <cell r="BU243">
            <v>1</v>
          </cell>
          <cell r="BV243">
            <v>250</v>
          </cell>
          <cell r="BW243">
            <v>1</v>
          </cell>
          <cell r="BX243">
            <v>108</v>
          </cell>
          <cell r="BY243">
            <v>0</v>
          </cell>
          <cell r="BZ243">
            <v>0</v>
          </cell>
          <cell r="CA243">
            <v>2</v>
          </cell>
          <cell r="CB243">
            <v>213</v>
          </cell>
          <cell r="CC243">
            <v>3</v>
          </cell>
          <cell r="CD243">
            <v>309</v>
          </cell>
          <cell r="CE243">
            <v>19</v>
          </cell>
          <cell r="CF243">
            <v>2882</v>
          </cell>
        </row>
        <row r="244">
          <cell r="B244" t="str">
            <v>Oahu Island, HI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1</v>
          </cell>
          <cell r="AR244">
            <v>367</v>
          </cell>
          <cell r="AS244">
            <v>1</v>
          </cell>
          <cell r="AT244">
            <v>367</v>
          </cell>
          <cell r="AU244">
            <v>1</v>
          </cell>
          <cell r="AV244">
            <v>783</v>
          </cell>
          <cell r="AW244">
            <v>1</v>
          </cell>
          <cell r="AX244">
            <v>783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1</v>
          </cell>
          <cell r="BT244">
            <v>367</v>
          </cell>
          <cell r="BU244">
            <v>1</v>
          </cell>
          <cell r="BV244">
            <v>783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2</v>
          </cell>
          <cell r="CF244">
            <v>1150</v>
          </cell>
        </row>
        <row r="245">
          <cell r="B245" t="str">
            <v>Orlando, FL</v>
          </cell>
          <cell r="C245">
            <v>1</v>
          </cell>
          <cell r="D245">
            <v>198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1</v>
          </cell>
          <cell r="T245">
            <v>124</v>
          </cell>
          <cell r="U245">
            <v>1</v>
          </cell>
          <cell r="V245">
            <v>99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1</v>
          </cell>
          <cell r="AB245">
            <v>167</v>
          </cell>
          <cell r="AC245">
            <v>2</v>
          </cell>
          <cell r="AD245">
            <v>196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9</v>
          </cell>
          <cell r="AJ245">
            <v>1585</v>
          </cell>
          <cell r="AK245">
            <v>10</v>
          </cell>
          <cell r="AL245">
            <v>1783</v>
          </cell>
          <cell r="AM245">
            <v>5</v>
          </cell>
          <cell r="AN245">
            <v>930</v>
          </cell>
          <cell r="AO245">
            <v>5</v>
          </cell>
          <cell r="AP245">
            <v>930</v>
          </cell>
          <cell r="AQ245">
            <v>5</v>
          </cell>
          <cell r="AR245">
            <v>3587</v>
          </cell>
          <cell r="AS245">
            <v>5</v>
          </cell>
          <cell r="AT245">
            <v>3587</v>
          </cell>
          <cell r="AU245">
            <v>2</v>
          </cell>
          <cell r="AV245">
            <v>1078</v>
          </cell>
          <cell r="AW245">
            <v>2</v>
          </cell>
          <cell r="AX245">
            <v>1078</v>
          </cell>
          <cell r="AY245">
            <v>3</v>
          </cell>
          <cell r="AZ245">
            <v>992</v>
          </cell>
          <cell r="BA245">
            <v>4</v>
          </cell>
          <cell r="BB245">
            <v>1116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1</v>
          </cell>
          <cell r="BH245">
            <v>400</v>
          </cell>
          <cell r="BI245">
            <v>2</v>
          </cell>
          <cell r="BJ245">
            <v>567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10</v>
          </cell>
          <cell r="BP245">
            <v>1783</v>
          </cell>
          <cell r="BQ245">
            <v>5</v>
          </cell>
          <cell r="BR245">
            <v>930</v>
          </cell>
          <cell r="BS245">
            <v>5</v>
          </cell>
          <cell r="BT245">
            <v>3587</v>
          </cell>
          <cell r="BU245">
            <v>2</v>
          </cell>
          <cell r="BV245">
            <v>1078</v>
          </cell>
          <cell r="BW245">
            <v>5</v>
          </cell>
          <cell r="BX245">
            <v>1215</v>
          </cell>
          <cell r="BY245">
            <v>0</v>
          </cell>
          <cell r="BZ245">
            <v>0</v>
          </cell>
          <cell r="CA245">
            <v>4</v>
          </cell>
          <cell r="CB245">
            <v>763</v>
          </cell>
          <cell r="CC245">
            <v>0</v>
          </cell>
          <cell r="CD245">
            <v>0</v>
          </cell>
          <cell r="CE245">
            <v>31</v>
          </cell>
          <cell r="CF245">
            <v>9356</v>
          </cell>
        </row>
        <row r="246">
          <cell r="B246" t="str">
            <v>Philadelphia, PA</v>
          </cell>
          <cell r="C246">
            <v>1</v>
          </cell>
          <cell r="D246">
            <v>498</v>
          </cell>
          <cell r="E246">
            <v>0</v>
          </cell>
          <cell r="F246">
            <v>0</v>
          </cell>
          <cell r="G246">
            <v>2</v>
          </cell>
          <cell r="H246">
            <v>210</v>
          </cell>
          <cell r="I246">
            <v>0</v>
          </cell>
          <cell r="J246">
            <v>0</v>
          </cell>
          <cell r="K246">
            <v>1</v>
          </cell>
          <cell r="L246">
            <v>210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2</v>
          </cell>
          <cell r="V246">
            <v>198</v>
          </cell>
          <cell r="W246">
            <v>0</v>
          </cell>
          <cell r="X246">
            <v>0</v>
          </cell>
          <cell r="Y246">
            <v>1</v>
          </cell>
          <cell r="Z246">
            <v>330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2</v>
          </cell>
          <cell r="AF246">
            <v>190</v>
          </cell>
          <cell r="AG246">
            <v>0</v>
          </cell>
          <cell r="AH246">
            <v>0</v>
          </cell>
          <cell r="AI246">
            <v>5</v>
          </cell>
          <cell r="AJ246">
            <v>773</v>
          </cell>
          <cell r="AK246">
            <v>6</v>
          </cell>
          <cell r="AL246">
            <v>1271</v>
          </cell>
          <cell r="AM246">
            <v>2</v>
          </cell>
          <cell r="AN246">
            <v>198</v>
          </cell>
          <cell r="AO246">
            <v>4</v>
          </cell>
          <cell r="AP246">
            <v>408</v>
          </cell>
          <cell r="AQ246">
            <v>4</v>
          </cell>
          <cell r="AR246">
            <v>2153</v>
          </cell>
          <cell r="AS246">
            <v>5</v>
          </cell>
          <cell r="AT246">
            <v>2363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4</v>
          </cell>
          <cell r="AZ246">
            <v>390</v>
          </cell>
          <cell r="BA246">
            <v>4</v>
          </cell>
          <cell r="BB246">
            <v>390</v>
          </cell>
          <cell r="BC246">
            <v>2</v>
          </cell>
          <cell r="BD246">
            <v>620</v>
          </cell>
          <cell r="BE246">
            <v>2</v>
          </cell>
          <cell r="BF246">
            <v>620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2</v>
          </cell>
          <cell r="BN246">
            <v>190</v>
          </cell>
          <cell r="BO246">
            <v>6</v>
          </cell>
          <cell r="BP246">
            <v>1271</v>
          </cell>
          <cell r="BQ246">
            <v>4</v>
          </cell>
          <cell r="BR246">
            <v>408</v>
          </cell>
          <cell r="BS246">
            <v>5</v>
          </cell>
          <cell r="BT246">
            <v>2363</v>
          </cell>
          <cell r="BU246">
            <v>0</v>
          </cell>
          <cell r="BV246">
            <v>0</v>
          </cell>
          <cell r="BW246">
            <v>6</v>
          </cell>
          <cell r="BX246">
            <v>588</v>
          </cell>
          <cell r="BY246">
            <v>3</v>
          </cell>
          <cell r="BZ246">
            <v>950</v>
          </cell>
          <cell r="CA246">
            <v>0</v>
          </cell>
          <cell r="CB246">
            <v>0</v>
          </cell>
          <cell r="CC246">
            <v>2</v>
          </cell>
          <cell r="CD246">
            <v>190</v>
          </cell>
          <cell r="CE246">
            <v>26</v>
          </cell>
          <cell r="CF246">
            <v>5770</v>
          </cell>
        </row>
        <row r="247">
          <cell r="B247" t="str">
            <v>Phoenix, AZ</v>
          </cell>
          <cell r="C247">
            <v>1</v>
          </cell>
          <cell r="D247">
            <v>202</v>
          </cell>
          <cell r="E247">
            <v>1</v>
          </cell>
          <cell r="F247">
            <v>156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1</v>
          </cell>
          <cell r="L247">
            <v>278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2</v>
          </cell>
          <cell r="T247">
            <v>317</v>
          </cell>
          <cell r="U247">
            <v>1</v>
          </cell>
          <cell r="V247">
            <v>102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2</v>
          </cell>
          <cell r="AD247">
            <v>198</v>
          </cell>
          <cell r="AE247">
            <v>1</v>
          </cell>
          <cell r="AF247">
            <v>95</v>
          </cell>
          <cell r="AG247">
            <v>1</v>
          </cell>
          <cell r="AH247">
            <v>131</v>
          </cell>
          <cell r="AI247">
            <v>7</v>
          </cell>
          <cell r="AJ247">
            <v>1031</v>
          </cell>
          <cell r="AK247">
            <v>8</v>
          </cell>
          <cell r="AL247">
            <v>1233</v>
          </cell>
          <cell r="AM247">
            <v>7</v>
          </cell>
          <cell r="AN247">
            <v>785</v>
          </cell>
          <cell r="AO247">
            <v>7</v>
          </cell>
          <cell r="AP247">
            <v>785</v>
          </cell>
          <cell r="AQ247">
            <v>4</v>
          </cell>
          <cell r="AR247">
            <v>1390</v>
          </cell>
          <cell r="AS247">
            <v>5</v>
          </cell>
          <cell r="AT247">
            <v>1668</v>
          </cell>
          <cell r="AU247">
            <v>1</v>
          </cell>
          <cell r="AV247">
            <v>171</v>
          </cell>
          <cell r="AW247">
            <v>1</v>
          </cell>
          <cell r="AX247">
            <v>171</v>
          </cell>
          <cell r="AY247">
            <v>4</v>
          </cell>
          <cell r="AZ247">
            <v>506</v>
          </cell>
          <cell r="BA247">
            <v>6</v>
          </cell>
          <cell r="BB247">
            <v>823</v>
          </cell>
          <cell r="BC247">
            <v>1</v>
          </cell>
          <cell r="BD247">
            <v>281</v>
          </cell>
          <cell r="BE247">
            <v>1</v>
          </cell>
          <cell r="BF247">
            <v>281</v>
          </cell>
          <cell r="BG247">
            <v>5</v>
          </cell>
          <cell r="BH247">
            <v>544</v>
          </cell>
          <cell r="BI247">
            <v>5</v>
          </cell>
          <cell r="BJ247">
            <v>544</v>
          </cell>
          <cell r="BK247">
            <v>1</v>
          </cell>
          <cell r="BL247">
            <v>119</v>
          </cell>
          <cell r="BM247">
            <v>2</v>
          </cell>
          <cell r="BN247">
            <v>214</v>
          </cell>
          <cell r="BO247">
            <v>9</v>
          </cell>
          <cell r="BP247">
            <v>1389</v>
          </cell>
          <cell r="BQ247">
            <v>7</v>
          </cell>
          <cell r="BR247">
            <v>785</v>
          </cell>
          <cell r="BS247">
            <v>5</v>
          </cell>
          <cell r="BT247">
            <v>1668</v>
          </cell>
          <cell r="BU247">
            <v>1</v>
          </cell>
          <cell r="BV247">
            <v>171</v>
          </cell>
          <cell r="BW247">
            <v>7</v>
          </cell>
          <cell r="BX247">
            <v>925</v>
          </cell>
          <cell r="BY247">
            <v>1</v>
          </cell>
          <cell r="BZ247">
            <v>281</v>
          </cell>
          <cell r="CA247">
            <v>7</v>
          </cell>
          <cell r="CB247">
            <v>742</v>
          </cell>
          <cell r="CC247">
            <v>3</v>
          </cell>
          <cell r="CD247">
            <v>345</v>
          </cell>
          <cell r="CE247">
            <v>40</v>
          </cell>
          <cell r="CF247">
            <v>6306</v>
          </cell>
        </row>
        <row r="248">
          <cell r="B248" t="str">
            <v>Saint Louis, MO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1</v>
          </cell>
          <cell r="AF248">
            <v>95</v>
          </cell>
          <cell r="AG248">
            <v>0</v>
          </cell>
          <cell r="AH248">
            <v>0</v>
          </cell>
          <cell r="AI248">
            <v>5</v>
          </cell>
          <cell r="AJ248">
            <v>696</v>
          </cell>
          <cell r="AK248">
            <v>5</v>
          </cell>
          <cell r="AL248">
            <v>696</v>
          </cell>
          <cell r="AM248">
            <v>5</v>
          </cell>
          <cell r="AN248">
            <v>448</v>
          </cell>
          <cell r="AO248">
            <v>5</v>
          </cell>
          <cell r="AP248">
            <v>448</v>
          </cell>
          <cell r="AQ248">
            <v>3</v>
          </cell>
          <cell r="AR248">
            <v>1573</v>
          </cell>
          <cell r="AS248">
            <v>3</v>
          </cell>
          <cell r="AT248">
            <v>1573</v>
          </cell>
          <cell r="AU248">
            <v>1</v>
          </cell>
          <cell r="AV248">
            <v>394</v>
          </cell>
          <cell r="AW248">
            <v>1</v>
          </cell>
          <cell r="AX248">
            <v>394</v>
          </cell>
          <cell r="AY248">
            <v>3</v>
          </cell>
          <cell r="AZ248">
            <v>336</v>
          </cell>
          <cell r="BA248">
            <v>3</v>
          </cell>
          <cell r="BB248">
            <v>336</v>
          </cell>
          <cell r="BC248">
            <v>1</v>
          </cell>
          <cell r="BD248">
            <v>301</v>
          </cell>
          <cell r="BE248">
            <v>1</v>
          </cell>
          <cell r="BF248">
            <v>301</v>
          </cell>
          <cell r="BG248">
            <v>1</v>
          </cell>
          <cell r="BH248">
            <v>92</v>
          </cell>
          <cell r="BI248">
            <v>1</v>
          </cell>
          <cell r="BJ248">
            <v>92</v>
          </cell>
          <cell r="BK248">
            <v>1</v>
          </cell>
          <cell r="BL248">
            <v>95</v>
          </cell>
          <cell r="BM248">
            <v>2</v>
          </cell>
          <cell r="BN248">
            <v>190</v>
          </cell>
          <cell r="BO248">
            <v>5</v>
          </cell>
          <cell r="BP248">
            <v>696</v>
          </cell>
          <cell r="BQ248">
            <v>5</v>
          </cell>
          <cell r="BR248">
            <v>448</v>
          </cell>
          <cell r="BS248">
            <v>3</v>
          </cell>
          <cell r="BT248">
            <v>1573</v>
          </cell>
          <cell r="BU248">
            <v>1</v>
          </cell>
          <cell r="BV248">
            <v>394</v>
          </cell>
          <cell r="BW248">
            <v>3</v>
          </cell>
          <cell r="BX248">
            <v>336</v>
          </cell>
          <cell r="BY248">
            <v>1</v>
          </cell>
          <cell r="BZ248">
            <v>301</v>
          </cell>
          <cell r="CA248">
            <v>1</v>
          </cell>
          <cell r="CB248">
            <v>92</v>
          </cell>
          <cell r="CC248">
            <v>2</v>
          </cell>
          <cell r="CD248">
            <v>190</v>
          </cell>
          <cell r="CE248">
            <v>21</v>
          </cell>
          <cell r="CF248">
            <v>4030</v>
          </cell>
        </row>
        <row r="249">
          <cell r="B249" t="str">
            <v>San Diego, CA</v>
          </cell>
          <cell r="C249">
            <v>1</v>
          </cell>
          <cell r="D249">
            <v>246</v>
          </cell>
          <cell r="E249">
            <v>1</v>
          </cell>
          <cell r="F249">
            <v>145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3</v>
          </cell>
          <cell r="T249">
            <v>392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2</v>
          </cell>
          <cell r="AJ249">
            <v>264</v>
          </cell>
          <cell r="AK249">
            <v>3</v>
          </cell>
          <cell r="AL249">
            <v>510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5</v>
          </cell>
          <cell r="AR249">
            <v>2629</v>
          </cell>
          <cell r="AS249">
            <v>5</v>
          </cell>
          <cell r="AT249">
            <v>2629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3</v>
          </cell>
          <cell r="AZ249">
            <v>583</v>
          </cell>
          <cell r="BA249">
            <v>6</v>
          </cell>
          <cell r="BB249">
            <v>975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4</v>
          </cell>
          <cell r="BP249">
            <v>655</v>
          </cell>
          <cell r="BQ249">
            <v>0</v>
          </cell>
          <cell r="BR249">
            <v>0</v>
          </cell>
          <cell r="BS249">
            <v>5</v>
          </cell>
          <cell r="BT249">
            <v>2629</v>
          </cell>
          <cell r="BU249">
            <v>0</v>
          </cell>
          <cell r="BV249">
            <v>0</v>
          </cell>
          <cell r="BW249">
            <v>6</v>
          </cell>
          <cell r="BX249">
            <v>975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15</v>
          </cell>
          <cell r="CF249">
            <v>4259</v>
          </cell>
        </row>
        <row r="250">
          <cell r="B250" t="str">
            <v>San Francisco, CA</v>
          </cell>
          <cell r="C250">
            <v>1</v>
          </cell>
          <cell r="D250">
            <v>136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1</v>
          </cell>
          <cell r="N250">
            <v>313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3</v>
          </cell>
          <cell r="AJ250">
            <v>440</v>
          </cell>
          <cell r="AK250">
            <v>4</v>
          </cell>
          <cell r="AL250">
            <v>576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3</v>
          </cell>
          <cell r="AR250">
            <v>2439</v>
          </cell>
          <cell r="AS250">
            <v>3</v>
          </cell>
          <cell r="AT250">
            <v>2439</v>
          </cell>
          <cell r="AU250">
            <v>2</v>
          </cell>
          <cell r="AV250">
            <v>1401</v>
          </cell>
          <cell r="AW250">
            <v>2</v>
          </cell>
          <cell r="AX250">
            <v>1401</v>
          </cell>
          <cell r="AY250">
            <v>1</v>
          </cell>
          <cell r="AZ250">
            <v>159</v>
          </cell>
          <cell r="BA250">
            <v>1</v>
          </cell>
          <cell r="BB250">
            <v>159</v>
          </cell>
          <cell r="BC250">
            <v>1</v>
          </cell>
          <cell r="BD250">
            <v>336</v>
          </cell>
          <cell r="BE250">
            <v>1</v>
          </cell>
          <cell r="BF250">
            <v>336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4</v>
          </cell>
          <cell r="BP250">
            <v>576</v>
          </cell>
          <cell r="BQ250">
            <v>0</v>
          </cell>
          <cell r="BR250">
            <v>0</v>
          </cell>
          <cell r="BS250">
            <v>4</v>
          </cell>
          <cell r="BT250">
            <v>2752</v>
          </cell>
          <cell r="BU250">
            <v>2</v>
          </cell>
          <cell r="BV250">
            <v>1401</v>
          </cell>
          <cell r="BW250">
            <v>1</v>
          </cell>
          <cell r="BX250">
            <v>159</v>
          </cell>
          <cell r="BY250">
            <v>1</v>
          </cell>
          <cell r="BZ250">
            <v>336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12</v>
          </cell>
          <cell r="CF250">
            <v>5224</v>
          </cell>
        </row>
        <row r="251">
          <cell r="B251" t="str">
            <v>Seattle, WA</v>
          </cell>
          <cell r="C251">
            <v>3</v>
          </cell>
          <cell r="D251">
            <v>625</v>
          </cell>
          <cell r="E251">
            <v>1</v>
          </cell>
          <cell r="F251">
            <v>160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1</v>
          </cell>
          <cell r="T251">
            <v>180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1</v>
          </cell>
          <cell r="AB251">
            <v>84</v>
          </cell>
          <cell r="AC251">
            <v>1</v>
          </cell>
          <cell r="AD251">
            <v>114</v>
          </cell>
          <cell r="AE251">
            <v>0</v>
          </cell>
          <cell r="AF251">
            <v>0</v>
          </cell>
          <cell r="AG251">
            <v>1</v>
          </cell>
          <cell r="AH251">
            <v>135</v>
          </cell>
          <cell r="AI251">
            <v>2</v>
          </cell>
          <cell r="AJ251">
            <v>301</v>
          </cell>
          <cell r="AK251">
            <v>5</v>
          </cell>
          <cell r="AL251">
            <v>926</v>
          </cell>
          <cell r="AM251">
            <v>2</v>
          </cell>
          <cell r="AN251">
            <v>204</v>
          </cell>
          <cell r="AO251">
            <v>2</v>
          </cell>
          <cell r="AP251">
            <v>204</v>
          </cell>
          <cell r="AQ251">
            <v>1</v>
          </cell>
          <cell r="AR251">
            <v>459</v>
          </cell>
          <cell r="AS251">
            <v>1</v>
          </cell>
          <cell r="AT251">
            <v>459</v>
          </cell>
          <cell r="AU251">
            <v>1</v>
          </cell>
          <cell r="AV251">
            <v>553</v>
          </cell>
          <cell r="AW251">
            <v>1</v>
          </cell>
          <cell r="AX251">
            <v>553</v>
          </cell>
          <cell r="AY251">
            <v>5</v>
          </cell>
          <cell r="AZ251">
            <v>648</v>
          </cell>
          <cell r="BA251">
            <v>6</v>
          </cell>
          <cell r="BB251">
            <v>828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1</v>
          </cell>
          <cell r="BJ251">
            <v>84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6</v>
          </cell>
          <cell r="BP251">
            <v>1086</v>
          </cell>
          <cell r="BQ251">
            <v>2</v>
          </cell>
          <cell r="BR251">
            <v>204</v>
          </cell>
          <cell r="BS251">
            <v>1</v>
          </cell>
          <cell r="BT251">
            <v>459</v>
          </cell>
          <cell r="BU251">
            <v>1</v>
          </cell>
          <cell r="BV251">
            <v>553</v>
          </cell>
          <cell r="BW251">
            <v>6</v>
          </cell>
          <cell r="BX251">
            <v>828</v>
          </cell>
          <cell r="BY251">
            <v>0</v>
          </cell>
          <cell r="BZ251">
            <v>0</v>
          </cell>
          <cell r="CA251">
            <v>2</v>
          </cell>
          <cell r="CB251">
            <v>198</v>
          </cell>
          <cell r="CC251">
            <v>1</v>
          </cell>
          <cell r="CD251">
            <v>135</v>
          </cell>
          <cell r="CE251">
            <v>19</v>
          </cell>
          <cell r="CF251">
            <v>3463</v>
          </cell>
        </row>
        <row r="252">
          <cell r="B252" t="str">
            <v>Tampa, FL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1</v>
          </cell>
          <cell r="N252">
            <v>717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2</v>
          </cell>
          <cell r="AF252">
            <v>190</v>
          </cell>
          <cell r="AG252">
            <v>0</v>
          </cell>
          <cell r="AH252">
            <v>0</v>
          </cell>
          <cell r="AI252">
            <v>5</v>
          </cell>
          <cell r="AJ252">
            <v>598</v>
          </cell>
          <cell r="AK252">
            <v>5</v>
          </cell>
          <cell r="AL252">
            <v>598</v>
          </cell>
          <cell r="AM252">
            <v>3</v>
          </cell>
          <cell r="AN252">
            <v>273</v>
          </cell>
          <cell r="AO252">
            <v>3</v>
          </cell>
          <cell r="AP252">
            <v>273</v>
          </cell>
          <cell r="AQ252">
            <v>2</v>
          </cell>
          <cell r="AR252">
            <v>606</v>
          </cell>
          <cell r="AS252">
            <v>2</v>
          </cell>
          <cell r="AT252">
            <v>606</v>
          </cell>
          <cell r="AU252">
            <v>1</v>
          </cell>
          <cell r="AV252">
            <v>360</v>
          </cell>
          <cell r="AW252">
            <v>1</v>
          </cell>
          <cell r="AX252">
            <v>360</v>
          </cell>
          <cell r="AY252">
            <v>5</v>
          </cell>
          <cell r="AZ252">
            <v>522</v>
          </cell>
          <cell r="BA252">
            <v>5</v>
          </cell>
          <cell r="BB252">
            <v>522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2</v>
          </cell>
          <cell r="BN252">
            <v>190</v>
          </cell>
          <cell r="BO252">
            <v>5</v>
          </cell>
          <cell r="BP252">
            <v>598</v>
          </cell>
          <cell r="BQ252">
            <v>3</v>
          </cell>
          <cell r="BR252">
            <v>273</v>
          </cell>
          <cell r="BS252">
            <v>3</v>
          </cell>
          <cell r="BT252">
            <v>1323</v>
          </cell>
          <cell r="BU252">
            <v>1</v>
          </cell>
          <cell r="BV252">
            <v>360</v>
          </cell>
          <cell r="BW252">
            <v>5</v>
          </cell>
          <cell r="BX252">
            <v>522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2</v>
          </cell>
          <cell r="CD252">
            <v>190</v>
          </cell>
          <cell r="CE252">
            <v>19</v>
          </cell>
          <cell r="CF252">
            <v>3266</v>
          </cell>
        </row>
        <row r="253">
          <cell r="B253" t="str">
            <v>Washington, DC</v>
          </cell>
          <cell r="C253">
            <v>2</v>
          </cell>
          <cell r="D253">
            <v>278</v>
          </cell>
          <cell r="E253">
            <v>0</v>
          </cell>
          <cell r="F253">
            <v>0</v>
          </cell>
          <cell r="G253">
            <v>1</v>
          </cell>
          <cell r="H253">
            <v>80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2</v>
          </cell>
          <cell r="T253">
            <v>378</v>
          </cell>
          <cell r="U253">
            <v>2</v>
          </cell>
          <cell r="V253">
            <v>266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1</v>
          </cell>
          <cell r="AB253">
            <v>136</v>
          </cell>
          <cell r="AC253">
            <v>1</v>
          </cell>
          <cell r="AD253">
            <v>162</v>
          </cell>
          <cell r="AE253">
            <v>3</v>
          </cell>
          <cell r="AF253">
            <v>312</v>
          </cell>
          <cell r="AG253">
            <v>0</v>
          </cell>
          <cell r="AH253">
            <v>0</v>
          </cell>
          <cell r="AI253">
            <v>14</v>
          </cell>
          <cell r="AJ253">
            <v>2321</v>
          </cell>
          <cell r="AK253">
            <v>16</v>
          </cell>
          <cell r="AL253">
            <v>2599</v>
          </cell>
          <cell r="AM253">
            <v>5</v>
          </cell>
          <cell r="AN253">
            <v>573</v>
          </cell>
          <cell r="AO253">
            <v>6</v>
          </cell>
          <cell r="AP253">
            <v>653</v>
          </cell>
          <cell r="AQ253">
            <v>17</v>
          </cell>
          <cell r="AR253">
            <v>7724</v>
          </cell>
          <cell r="AS253">
            <v>17</v>
          </cell>
          <cell r="AT253">
            <v>7724</v>
          </cell>
          <cell r="AU253">
            <v>2</v>
          </cell>
          <cell r="AV253">
            <v>1459</v>
          </cell>
          <cell r="AW253">
            <v>2</v>
          </cell>
          <cell r="AX253">
            <v>1459</v>
          </cell>
          <cell r="AY253">
            <v>6</v>
          </cell>
          <cell r="AZ253">
            <v>996</v>
          </cell>
          <cell r="BA253">
            <v>8</v>
          </cell>
          <cell r="BB253">
            <v>1374</v>
          </cell>
          <cell r="BC253">
            <v>3</v>
          </cell>
          <cell r="BD253">
            <v>1044</v>
          </cell>
          <cell r="BE253">
            <v>3</v>
          </cell>
          <cell r="BF253">
            <v>1044</v>
          </cell>
          <cell r="BG253">
            <v>0</v>
          </cell>
          <cell r="BH253">
            <v>0</v>
          </cell>
          <cell r="BI253">
            <v>1</v>
          </cell>
          <cell r="BJ253">
            <v>136</v>
          </cell>
          <cell r="BK253">
            <v>2</v>
          </cell>
          <cell r="BL253">
            <v>191</v>
          </cell>
          <cell r="BM253">
            <v>5</v>
          </cell>
          <cell r="BN253">
            <v>503</v>
          </cell>
          <cell r="BO253">
            <v>16</v>
          </cell>
          <cell r="BP253">
            <v>2599</v>
          </cell>
          <cell r="BQ253">
            <v>6</v>
          </cell>
          <cell r="BR253">
            <v>653</v>
          </cell>
          <cell r="BS253">
            <v>17</v>
          </cell>
          <cell r="BT253">
            <v>7724</v>
          </cell>
          <cell r="BU253">
            <v>2</v>
          </cell>
          <cell r="BV253">
            <v>1459</v>
          </cell>
          <cell r="BW253">
            <v>10</v>
          </cell>
          <cell r="BX253">
            <v>1640</v>
          </cell>
          <cell r="BY253">
            <v>3</v>
          </cell>
          <cell r="BZ253">
            <v>1044</v>
          </cell>
          <cell r="CA253">
            <v>2</v>
          </cell>
          <cell r="CB253">
            <v>298</v>
          </cell>
          <cell r="CC253">
            <v>5</v>
          </cell>
          <cell r="CD253">
            <v>503</v>
          </cell>
          <cell r="CE253">
            <v>61</v>
          </cell>
          <cell r="CF253">
            <v>15920</v>
          </cell>
        </row>
      </sheetData>
      <sheetData sheetId="28" refreshError="1">
        <row r="253">
          <cell r="B253" t="str">
            <v>Club Hotel by Doubletree</v>
          </cell>
          <cell r="C253">
            <v>1</v>
          </cell>
          <cell r="D253">
            <v>268</v>
          </cell>
          <cell r="E253">
            <v>0</v>
          </cell>
          <cell r="F253">
            <v>0</v>
          </cell>
          <cell r="G253">
            <v>2</v>
          </cell>
          <cell r="H253">
            <v>375</v>
          </cell>
          <cell r="I253">
            <v>2</v>
          </cell>
          <cell r="J253">
            <v>375</v>
          </cell>
          <cell r="K253">
            <v>3</v>
          </cell>
          <cell r="L253">
            <v>462</v>
          </cell>
          <cell r="M253" t="str">
            <v>Club Hotel by Doubletree</v>
          </cell>
        </row>
        <row r="254">
          <cell r="B254" t="str">
            <v>Courtyard by Marriott</v>
          </cell>
          <cell r="C254">
            <v>41</v>
          </cell>
          <cell r="D254">
            <v>5712</v>
          </cell>
          <cell r="E254">
            <v>46</v>
          </cell>
          <cell r="F254">
            <v>7381</v>
          </cell>
          <cell r="G254">
            <v>31</v>
          </cell>
          <cell r="H254">
            <v>4596</v>
          </cell>
          <cell r="I254">
            <v>77</v>
          </cell>
          <cell r="J254">
            <v>11977</v>
          </cell>
          <cell r="K254">
            <v>38</v>
          </cell>
          <cell r="L254">
            <v>5160</v>
          </cell>
          <cell r="M254" t="str">
            <v>Courtyard by Marriott</v>
          </cell>
        </row>
        <row r="255">
          <cell r="B255" t="str">
            <v>Doubletree Guest Suites</v>
          </cell>
          <cell r="C255">
            <v>2</v>
          </cell>
          <cell r="D255">
            <v>470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 t="str">
            <v>Doubletree Guest Suites</v>
          </cell>
        </row>
        <row r="256">
          <cell r="B256" t="str">
            <v>Doubletree Hotel</v>
          </cell>
          <cell r="C256">
            <v>2</v>
          </cell>
          <cell r="D256">
            <v>308</v>
          </cell>
          <cell r="E256">
            <v>3</v>
          </cell>
          <cell r="F256">
            <v>980</v>
          </cell>
          <cell r="G256">
            <v>3</v>
          </cell>
          <cell r="H256">
            <v>624</v>
          </cell>
          <cell r="I256">
            <v>6</v>
          </cell>
          <cell r="J256">
            <v>1604</v>
          </cell>
          <cell r="K256">
            <v>4</v>
          </cell>
          <cell r="L256">
            <v>1242</v>
          </cell>
          <cell r="M256" t="str">
            <v>Doubletree Hotel</v>
          </cell>
        </row>
        <row r="257">
          <cell r="B257" t="str">
            <v>Embassy Suites</v>
          </cell>
          <cell r="C257">
            <v>6</v>
          </cell>
          <cell r="D257">
            <v>1589</v>
          </cell>
          <cell r="E257">
            <v>12</v>
          </cell>
          <cell r="F257">
            <v>3010</v>
          </cell>
          <cell r="G257">
            <v>5</v>
          </cell>
          <cell r="H257">
            <v>1261</v>
          </cell>
          <cell r="I257">
            <v>17</v>
          </cell>
          <cell r="J257">
            <v>4271</v>
          </cell>
          <cell r="K257">
            <v>14</v>
          </cell>
          <cell r="L257">
            <v>3172</v>
          </cell>
          <cell r="M257" t="str">
            <v>Embassy Suites</v>
          </cell>
        </row>
        <row r="258">
          <cell r="B258" t="str">
            <v>Fairfield Inn</v>
          </cell>
          <cell r="C258">
            <v>20</v>
          </cell>
          <cell r="D258">
            <v>1622</v>
          </cell>
          <cell r="E258">
            <v>19</v>
          </cell>
          <cell r="F258">
            <v>2007</v>
          </cell>
          <cell r="G258">
            <v>19</v>
          </cell>
          <cell r="H258">
            <v>1722</v>
          </cell>
          <cell r="I258">
            <v>38</v>
          </cell>
          <cell r="J258">
            <v>3729</v>
          </cell>
          <cell r="K258">
            <v>20</v>
          </cell>
          <cell r="L258">
            <v>1845</v>
          </cell>
          <cell r="M258" t="str">
            <v>Fairfield Inn</v>
          </cell>
        </row>
        <row r="259">
          <cell r="B259" t="str">
            <v>Hampton Inn</v>
          </cell>
          <cell r="C259">
            <v>68</v>
          </cell>
          <cell r="D259">
            <v>6136</v>
          </cell>
          <cell r="E259">
            <v>69</v>
          </cell>
          <cell r="F259">
            <v>6064</v>
          </cell>
          <cell r="G259">
            <v>20</v>
          </cell>
          <cell r="H259">
            <v>1781</v>
          </cell>
          <cell r="I259">
            <v>89</v>
          </cell>
          <cell r="J259">
            <v>7845</v>
          </cell>
          <cell r="K259">
            <v>40</v>
          </cell>
          <cell r="L259">
            <v>3571</v>
          </cell>
          <cell r="M259" t="str">
            <v>Hampton Inn</v>
          </cell>
        </row>
        <row r="260">
          <cell r="B260" t="str">
            <v>Hampton Inn &amp; Suites</v>
          </cell>
          <cell r="C260">
            <v>21</v>
          </cell>
          <cell r="D260">
            <v>2467</v>
          </cell>
          <cell r="E260">
            <v>17</v>
          </cell>
          <cell r="F260">
            <v>1926</v>
          </cell>
          <cell r="G260">
            <v>10</v>
          </cell>
          <cell r="H260">
            <v>1026</v>
          </cell>
          <cell r="I260">
            <v>27</v>
          </cell>
          <cell r="J260">
            <v>2952</v>
          </cell>
          <cell r="K260">
            <v>27</v>
          </cell>
          <cell r="L260">
            <v>2495</v>
          </cell>
          <cell r="M260" t="str">
            <v>Hampton Inn &amp; Suites</v>
          </cell>
        </row>
        <row r="261">
          <cell r="B261" t="str">
            <v>Hilton Garden Inn</v>
          </cell>
          <cell r="C261">
            <v>33</v>
          </cell>
          <cell r="D261">
            <v>4927</v>
          </cell>
          <cell r="E261">
            <v>33</v>
          </cell>
          <cell r="F261">
            <v>4744</v>
          </cell>
          <cell r="G261">
            <v>52</v>
          </cell>
          <cell r="H261">
            <v>6770</v>
          </cell>
          <cell r="I261">
            <v>85</v>
          </cell>
          <cell r="J261">
            <v>11514</v>
          </cell>
          <cell r="K261">
            <v>45</v>
          </cell>
          <cell r="L261">
            <v>5756</v>
          </cell>
          <cell r="M261" t="str">
            <v>Hilton Garden Inn</v>
          </cell>
        </row>
        <row r="262">
          <cell r="B262" t="str">
            <v>Hilton Hotel</v>
          </cell>
          <cell r="C262">
            <v>9</v>
          </cell>
          <cell r="D262">
            <v>2201</v>
          </cell>
          <cell r="E262">
            <v>8</v>
          </cell>
          <cell r="F262">
            <v>2529</v>
          </cell>
          <cell r="G262">
            <v>8</v>
          </cell>
          <cell r="H262">
            <v>4113</v>
          </cell>
          <cell r="I262">
            <v>16</v>
          </cell>
          <cell r="J262">
            <v>6642</v>
          </cell>
          <cell r="K262">
            <v>7</v>
          </cell>
          <cell r="L262">
            <v>1586</v>
          </cell>
          <cell r="M262" t="str">
            <v>Hilton Hotel</v>
          </cell>
        </row>
        <row r="263">
          <cell r="B263" t="str">
            <v>Homewood Suites by Hilton</v>
          </cell>
          <cell r="C263">
            <v>6</v>
          </cell>
          <cell r="D263">
            <v>641</v>
          </cell>
          <cell r="E263">
            <v>13</v>
          </cell>
          <cell r="F263">
            <v>1560</v>
          </cell>
          <cell r="G263">
            <v>6</v>
          </cell>
          <cell r="H263">
            <v>714</v>
          </cell>
          <cell r="I263">
            <v>19</v>
          </cell>
          <cell r="J263">
            <v>2274</v>
          </cell>
          <cell r="K263">
            <v>15</v>
          </cell>
          <cell r="L263">
            <v>1736</v>
          </cell>
          <cell r="M263" t="str">
            <v>Homewood Suites by Hilton</v>
          </cell>
        </row>
        <row r="264">
          <cell r="B264" t="str">
            <v>Marriott HRS</v>
          </cell>
          <cell r="C264">
            <v>9</v>
          </cell>
          <cell r="D264">
            <v>3295</v>
          </cell>
          <cell r="E264">
            <v>18</v>
          </cell>
          <cell r="F264">
            <v>6278</v>
          </cell>
          <cell r="G264">
            <v>12</v>
          </cell>
          <cell r="H264">
            <v>5211</v>
          </cell>
          <cell r="I264">
            <v>30</v>
          </cell>
          <cell r="J264">
            <v>11489</v>
          </cell>
          <cell r="K264">
            <v>15</v>
          </cell>
          <cell r="L264">
            <v>4183</v>
          </cell>
          <cell r="M264" t="str">
            <v>Marriott HRS</v>
          </cell>
        </row>
        <row r="265">
          <cell r="B265" t="str">
            <v>Renaissance Hotel</v>
          </cell>
          <cell r="C265">
            <v>4</v>
          </cell>
          <cell r="D265">
            <v>915</v>
          </cell>
          <cell r="E265">
            <v>12</v>
          </cell>
          <cell r="F265">
            <v>3185</v>
          </cell>
          <cell r="G265">
            <v>3</v>
          </cell>
          <cell r="H265">
            <v>1326</v>
          </cell>
          <cell r="I265">
            <v>15</v>
          </cell>
          <cell r="J265">
            <v>4511</v>
          </cell>
          <cell r="K265">
            <v>5</v>
          </cell>
          <cell r="L265">
            <v>1499</v>
          </cell>
          <cell r="M265" t="str">
            <v>Renaissance Hotel</v>
          </cell>
        </row>
        <row r="266">
          <cell r="B266" t="str">
            <v>Residence Inn</v>
          </cell>
          <cell r="C266">
            <v>32</v>
          </cell>
          <cell r="D266">
            <v>3492</v>
          </cell>
          <cell r="E266">
            <v>33</v>
          </cell>
          <cell r="F266">
            <v>4322</v>
          </cell>
          <cell r="G266">
            <v>40</v>
          </cell>
          <cell r="H266">
            <v>5034</v>
          </cell>
          <cell r="I266">
            <v>73</v>
          </cell>
          <cell r="J266">
            <v>9356</v>
          </cell>
          <cell r="K266">
            <v>37</v>
          </cell>
          <cell r="L266">
            <v>4931</v>
          </cell>
          <cell r="M266" t="str">
            <v>Residence Inn</v>
          </cell>
        </row>
        <row r="267">
          <cell r="B267" t="str">
            <v>Ritz-Carlton</v>
          </cell>
          <cell r="C267">
            <v>1</v>
          </cell>
          <cell r="D267">
            <v>330</v>
          </cell>
          <cell r="E267">
            <v>13</v>
          </cell>
          <cell r="F267">
            <v>3653</v>
          </cell>
          <cell r="G267">
            <v>7</v>
          </cell>
          <cell r="H267">
            <v>2299</v>
          </cell>
          <cell r="I267">
            <v>20</v>
          </cell>
          <cell r="J267">
            <v>5952</v>
          </cell>
          <cell r="K267">
            <v>2</v>
          </cell>
          <cell r="L267">
            <v>508</v>
          </cell>
          <cell r="M267" t="str">
            <v>Ritz-Carlton</v>
          </cell>
        </row>
        <row r="268">
          <cell r="B268" t="str">
            <v>SpringHill Suites</v>
          </cell>
          <cell r="C268">
            <v>24</v>
          </cell>
          <cell r="D268">
            <v>2374</v>
          </cell>
          <cell r="E268">
            <v>23</v>
          </cell>
          <cell r="F268">
            <v>3276</v>
          </cell>
          <cell r="G268">
            <v>22</v>
          </cell>
          <cell r="H268">
            <v>2835</v>
          </cell>
          <cell r="I268">
            <v>45</v>
          </cell>
          <cell r="J268">
            <v>6111</v>
          </cell>
          <cell r="K268">
            <v>24</v>
          </cell>
          <cell r="L268">
            <v>3552</v>
          </cell>
          <cell r="M268" t="str">
            <v>SpringHill Suites</v>
          </cell>
        </row>
        <row r="269">
          <cell r="B269" t="str">
            <v>TownePlace Suites</v>
          </cell>
          <cell r="C269">
            <v>30</v>
          </cell>
          <cell r="D269">
            <v>3042</v>
          </cell>
          <cell r="E269">
            <v>14</v>
          </cell>
          <cell r="F269">
            <v>1595</v>
          </cell>
          <cell r="G269">
            <v>7</v>
          </cell>
          <cell r="H269">
            <v>695</v>
          </cell>
          <cell r="I269">
            <v>21</v>
          </cell>
          <cell r="J269">
            <v>2290</v>
          </cell>
          <cell r="K269">
            <v>7</v>
          </cell>
          <cell r="L269">
            <v>729</v>
          </cell>
          <cell r="M269" t="str">
            <v>TownePlace Suites</v>
          </cell>
        </row>
        <row r="321">
          <cell r="B321" t="str">
            <v>Anaheim, CA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1</v>
          </cell>
          <cell r="Z321">
            <v>371</v>
          </cell>
          <cell r="AA321">
            <v>0</v>
          </cell>
          <cell r="AB321">
            <v>0</v>
          </cell>
          <cell r="AC321">
            <v>1</v>
          </cell>
          <cell r="AD321">
            <v>371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1</v>
          </cell>
          <cell r="AT321">
            <v>174</v>
          </cell>
          <cell r="AU321">
            <v>2</v>
          </cell>
          <cell r="AV321">
            <v>280</v>
          </cell>
          <cell r="AW321">
            <v>3</v>
          </cell>
          <cell r="AX321">
            <v>454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1</v>
          </cell>
          <cell r="BF321">
            <v>275</v>
          </cell>
          <cell r="BG321">
            <v>1</v>
          </cell>
          <cell r="BH321">
            <v>275</v>
          </cell>
          <cell r="BI321">
            <v>1</v>
          </cell>
          <cell r="BJ321">
            <v>308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1</v>
          </cell>
          <cell r="BP321">
            <v>100</v>
          </cell>
          <cell r="BQ321">
            <v>1</v>
          </cell>
          <cell r="BR321">
            <v>100</v>
          </cell>
          <cell r="BS321">
            <v>0</v>
          </cell>
          <cell r="BT321">
            <v>0</v>
          </cell>
          <cell r="BU321">
            <v>1</v>
          </cell>
          <cell r="BV321">
            <v>140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</row>
        <row r="322">
          <cell r="B322" t="str">
            <v>Atlanta, GA</v>
          </cell>
          <cell r="C322">
            <v>1</v>
          </cell>
          <cell r="D322">
            <v>154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1</v>
          </cell>
          <cell r="X322">
            <v>318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2</v>
          </cell>
          <cell r="AZ322">
            <v>174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3</v>
          </cell>
          <cell r="BL322">
            <v>251</v>
          </cell>
          <cell r="BM322">
            <v>0</v>
          </cell>
          <cell r="BN322">
            <v>0</v>
          </cell>
          <cell r="BO322">
            <v>1</v>
          </cell>
          <cell r="BP322">
            <v>98</v>
          </cell>
          <cell r="BQ322">
            <v>1</v>
          </cell>
          <cell r="BR322">
            <v>98</v>
          </cell>
          <cell r="BS322">
            <v>4</v>
          </cell>
          <cell r="BT322">
            <v>647</v>
          </cell>
          <cell r="BU322">
            <v>1</v>
          </cell>
          <cell r="BV322">
            <v>83</v>
          </cell>
          <cell r="BW322">
            <v>0</v>
          </cell>
          <cell r="BX322">
            <v>0</v>
          </cell>
          <cell r="BY322">
            <v>1</v>
          </cell>
          <cell r="BZ322">
            <v>95</v>
          </cell>
          <cell r="CA322">
            <v>1</v>
          </cell>
          <cell r="CB322">
            <v>95</v>
          </cell>
          <cell r="CC322">
            <v>1</v>
          </cell>
          <cell r="CD322">
            <v>110</v>
          </cell>
        </row>
        <row r="323">
          <cell r="B323" t="str">
            <v>Boston, MA</v>
          </cell>
          <cell r="C323">
            <v>1</v>
          </cell>
          <cell r="D323">
            <v>154</v>
          </cell>
          <cell r="E323">
            <v>1</v>
          </cell>
          <cell r="F323">
            <v>166</v>
          </cell>
          <cell r="G323">
            <v>2</v>
          </cell>
          <cell r="H323">
            <v>384</v>
          </cell>
          <cell r="I323">
            <v>3</v>
          </cell>
          <cell r="J323">
            <v>550</v>
          </cell>
          <cell r="K323">
            <v>2</v>
          </cell>
          <cell r="L323">
            <v>315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1</v>
          </cell>
          <cell r="Z323">
            <v>461</v>
          </cell>
          <cell r="AA323">
            <v>0</v>
          </cell>
          <cell r="AB323">
            <v>0</v>
          </cell>
          <cell r="AC323">
            <v>1</v>
          </cell>
          <cell r="AD323">
            <v>461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2</v>
          </cell>
          <cell r="AT323">
            <v>233</v>
          </cell>
          <cell r="AU323">
            <v>5</v>
          </cell>
          <cell r="AV323">
            <v>563</v>
          </cell>
          <cell r="AW323">
            <v>7</v>
          </cell>
          <cell r="AX323">
            <v>796</v>
          </cell>
          <cell r="AY323">
            <v>1</v>
          </cell>
          <cell r="AZ323">
            <v>149</v>
          </cell>
          <cell r="BA323">
            <v>0</v>
          </cell>
          <cell r="BB323">
            <v>0</v>
          </cell>
          <cell r="BC323">
            <v>1</v>
          </cell>
          <cell r="BD323">
            <v>192</v>
          </cell>
          <cell r="BE323">
            <v>0</v>
          </cell>
          <cell r="BF323">
            <v>0</v>
          </cell>
          <cell r="BG323">
            <v>1</v>
          </cell>
          <cell r="BH323">
            <v>192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1</v>
          </cell>
          <cell r="BN323">
            <v>137</v>
          </cell>
          <cell r="BO323">
            <v>1</v>
          </cell>
          <cell r="BP323">
            <v>164</v>
          </cell>
          <cell r="BQ323">
            <v>2</v>
          </cell>
          <cell r="BR323">
            <v>301</v>
          </cell>
          <cell r="BS323">
            <v>0</v>
          </cell>
          <cell r="BT323">
            <v>0</v>
          </cell>
          <cell r="BU323">
            <v>1</v>
          </cell>
          <cell r="BV323">
            <v>127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1</v>
          </cell>
          <cell r="CD323">
            <v>95</v>
          </cell>
        </row>
        <row r="324">
          <cell r="B324" t="str">
            <v>Chicago, IL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2</v>
          </cell>
          <cell r="H324">
            <v>352</v>
          </cell>
          <cell r="I324">
            <v>2</v>
          </cell>
          <cell r="J324">
            <v>352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1</v>
          </cell>
          <cell r="P324">
            <v>189</v>
          </cell>
          <cell r="Q324">
            <v>0</v>
          </cell>
          <cell r="R324">
            <v>0</v>
          </cell>
          <cell r="S324">
            <v>1</v>
          </cell>
          <cell r="T324">
            <v>189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2</v>
          </cell>
          <cell r="AF324">
            <v>652</v>
          </cell>
          <cell r="AG324">
            <v>0</v>
          </cell>
          <cell r="AH324">
            <v>0</v>
          </cell>
          <cell r="AI324">
            <v>1</v>
          </cell>
          <cell r="AJ324">
            <v>362</v>
          </cell>
          <cell r="AK324">
            <v>0</v>
          </cell>
          <cell r="AL324">
            <v>0</v>
          </cell>
          <cell r="AM324">
            <v>1</v>
          </cell>
          <cell r="AN324">
            <v>362</v>
          </cell>
          <cell r="AO324">
            <v>1</v>
          </cell>
          <cell r="AP324">
            <v>314</v>
          </cell>
          <cell r="AQ324">
            <v>0</v>
          </cell>
          <cell r="AR324">
            <v>0</v>
          </cell>
          <cell r="AS324">
            <v>1</v>
          </cell>
          <cell r="AT324">
            <v>124</v>
          </cell>
          <cell r="AU324">
            <v>1</v>
          </cell>
          <cell r="AV324">
            <v>96</v>
          </cell>
          <cell r="AW324">
            <v>2</v>
          </cell>
          <cell r="AX324">
            <v>220</v>
          </cell>
          <cell r="AY324">
            <v>1</v>
          </cell>
          <cell r="AZ324">
            <v>155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1</v>
          </cell>
          <cell r="BN324">
            <v>132</v>
          </cell>
          <cell r="BO324">
            <v>1</v>
          </cell>
          <cell r="BP324">
            <v>139</v>
          </cell>
          <cell r="BQ324">
            <v>2</v>
          </cell>
          <cell r="BR324">
            <v>271</v>
          </cell>
          <cell r="BS324">
            <v>1</v>
          </cell>
          <cell r="BT324">
            <v>230</v>
          </cell>
          <cell r="BU324">
            <v>0</v>
          </cell>
          <cell r="BV324">
            <v>0</v>
          </cell>
          <cell r="BW324">
            <v>1</v>
          </cell>
          <cell r="BX324">
            <v>127</v>
          </cell>
          <cell r="BY324">
            <v>0</v>
          </cell>
          <cell r="BZ324">
            <v>0</v>
          </cell>
          <cell r="CA324">
            <v>1</v>
          </cell>
          <cell r="CB324">
            <v>127</v>
          </cell>
          <cell r="CC324">
            <v>1</v>
          </cell>
          <cell r="CD324">
            <v>143</v>
          </cell>
        </row>
        <row r="325">
          <cell r="B325" t="str">
            <v>Dallas, TX</v>
          </cell>
          <cell r="C325">
            <v>2</v>
          </cell>
          <cell r="D325">
            <v>299</v>
          </cell>
          <cell r="E325">
            <v>1</v>
          </cell>
          <cell r="F325">
            <v>121</v>
          </cell>
          <cell r="G325">
            <v>0</v>
          </cell>
          <cell r="H325">
            <v>0</v>
          </cell>
          <cell r="I325">
            <v>1</v>
          </cell>
          <cell r="J325">
            <v>121</v>
          </cell>
          <cell r="K325">
            <v>2</v>
          </cell>
          <cell r="L325">
            <v>293</v>
          </cell>
          <cell r="M325">
            <v>0</v>
          </cell>
          <cell r="N325">
            <v>0</v>
          </cell>
          <cell r="O325">
            <v>1</v>
          </cell>
          <cell r="P325">
            <v>71</v>
          </cell>
          <cell r="Q325">
            <v>0</v>
          </cell>
          <cell r="R325">
            <v>0</v>
          </cell>
          <cell r="S325">
            <v>1</v>
          </cell>
          <cell r="T325">
            <v>71</v>
          </cell>
          <cell r="U325">
            <v>0</v>
          </cell>
          <cell r="V325">
            <v>0</v>
          </cell>
          <cell r="W325">
            <v>1</v>
          </cell>
          <cell r="X325">
            <v>364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2</v>
          </cell>
          <cell r="AF325">
            <v>400</v>
          </cell>
          <cell r="AG325">
            <v>0</v>
          </cell>
          <cell r="AH325">
            <v>0</v>
          </cell>
          <cell r="AI325">
            <v>1</v>
          </cell>
          <cell r="AJ325">
            <v>337</v>
          </cell>
          <cell r="AK325">
            <v>0</v>
          </cell>
          <cell r="AL325">
            <v>0</v>
          </cell>
          <cell r="AM325">
            <v>1</v>
          </cell>
          <cell r="AN325">
            <v>337</v>
          </cell>
          <cell r="AO325">
            <v>1</v>
          </cell>
          <cell r="AP325">
            <v>211</v>
          </cell>
          <cell r="AQ325">
            <v>0</v>
          </cell>
          <cell r="AR325">
            <v>0</v>
          </cell>
          <cell r="AS325">
            <v>1</v>
          </cell>
          <cell r="AT325">
            <v>100</v>
          </cell>
          <cell r="AU325">
            <v>1</v>
          </cell>
          <cell r="AV325">
            <v>139</v>
          </cell>
          <cell r="AW325">
            <v>2</v>
          </cell>
          <cell r="AX325">
            <v>239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1</v>
          </cell>
          <cell r="BT325">
            <v>159</v>
          </cell>
          <cell r="BU325">
            <v>1</v>
          </cell>
          <cell r="BV325">
            <v>106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</row>
        <row r="326">
          <cell r="B326" t="str">
            <v>Denver, CO</v>
          </cell>
          <cell r="C326">
            <v>0</v>
          </cell>
          <cell r="D326">
            <v>0</v>
          </cell>
          <cell r="E326">
            <v>2</v>
          </cell>
          <cell r="F326">
            <v>262</v>
          </cell>
          <cell r="G326">
            <v>0</v>
          </cell>
          <cell r="H326">
            <v>0</v>
          </cell>
          <cell r="I326">
            <v>2</v>
          </cell>
          <cell r="J326">
            <v>262</v>
          </cell>
          <cell r="K326">
            <v>0</v>
          </cell>
          <cell r="L326">
            <v>0</v>
          </cell>
          <cell r="M326">
            <v>1</v>
          </cell>
          <cell r="N326">
            <v>82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1</v>
          </cell>
          <cell r="AR326">
            <v>112</v>
          </cell>
          <cell r="AS326">
            <v>1</v>
          </cell>
          <cell r="AT326">
            <v>88</v>
          </cell>
          <cell r="AU326">
            <v>0</v>
          </cell>
          <cell r="AV326">
            <v>0</v>
          </cell>
          <cell r="AW326">
            <v>1</v>
          </cell>
          <cell r="AX326">
            <v>88</v>
          </cell>
          <cell r="AY326">
            <v>2</v>
          </cell>
          <cell r="AZ326">
            <v>349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1</v>
          </cell>
          <cell r="BP326">
            <v>142</v>
          </cell>
          <cell r="BQ326">
            <v>1</v>
          </cell>
          <cell r="BR326">
            <v>142</v>
          </cell>
          <cell r="BS326">
            <v>0</v>
          </cell>
          <cell r="BT326">
            <v>0</v>
          </cell>
          <cell r="BU326">
            <v>2</v>
          </cell>
          <cell r="BV326">
            <v>196</v>
          </cell>
          <cell r="BW326">
            <v>1</v>
          </cell>
          <cell r="BX326">
            <v>122</v>
          </cell>
          <cell r="BY326">
            <v>0</v>
          </cell>
          <cell r="BZ326">
            <v>0</v>
          </cell>
          <cell r="CA326">
            <v>1</v>
          </cell>
          <cell r="CB326">
            <v>122</v>
          </cell>
          <cell r="CC326">
            <v>0</v>
          </cell>
          <cell r="CD326">
            <v>0</v>
          </cell>
        </row>
        <row r="327">
          <cell r="B327" t="str">
            <v>Detroit, MI</v>
          </cell>
          <cell r="C327">
            <v>1</v>
          </cell>
          <cell r="D327">
            <v>123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1</v>
          </cell>
          <cell r="N327">
            <v>72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1</v>
          </cell>
          <cell r="Z327">
            <v>290</v>
          </cell>
          <cell r="AA327">
            <v>0</v>
          </cell>
          <cell r="AB327">
            <v>0</v>
          </cell>
          <cell r="AC327">
            <v>1</v>
          </cell>
          <cell r="AD327">
            <v>290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1</v>
          </cell>
          <cell r="AZ327">
            <v>90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1</v>
          </cell>
          <cell r="BP327">
            <v>162</v>
          </cell>
          <cell r="BQ327">
            <v>1</v>
          </cell>
          <cell r="BR327">
            <v>162</v>
          </cell>
          <cell r="BS327">
            <v>0</v>
          </cell>
          <cell r="BT327">
            <v>0</v>
          </cell>
          <cell r="BU327">
            <v>2</v>
          </cell>
          <cell r="BV327">
            <v>189</v>
          </cell>
          <cell r="BW327">
            <v>2</v>
          </cell>
          <cell r="BX327">
            <v>243</v>
          </cell>
          <cell r="BY327">
            <v>0</v>
          </cell>
          <cell r="BZ327">
            <v>0</v>
          </cell>
          <cell r="CA327">
            <v>2</v>
          </cell>
          <cell r="CB327">
            <v>243</v>
          </cell>
          <cell r="CC327">
            <v>0</v>
          </cell>
          <cell r="CD327">
            <v>0</v>
          </cell>
        </row>
        <row r="328">
          <cell r="B328" t="str">
            <v>Houston, TX</v>
          </cell>
          <cell r="C328">
            <v>0</v>
          </cell>
          <cell r="D328">
            <v>0</v>
          </cell>
          <cell r="E328">
            <v>2</v>
          </cell>
          <cell r="F328">
            <v>317</v>
          </cell>
          <cell r="G328">
            <v>1</v>
          </cell>
          <cell r="H328">
            <v>90</v>
          </cell>
          <cell r="I328">
            <v>3</v>
          </cell>
          <cell r="J328">
            <v>407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2</v>
          </cell>
          <cell r="AT328">
            <v>290</v>
          </cell>
          <cell r="AU328">
            <v>0</v>
          </cell>
          <cell r="AV328">
            <v>0</v>
          </cell>
          <cell r="AW328">
            <v>2</v>
          </cell>
          <cell r="AX328">
            <v>290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1</v>
          </cell>
          <cell r="BD328">
            <v>325</v>
          </cell>
          <cell r="BE328">
            <v>0</v>
          </cell>
          <cell r="BF328">
            <v>0</v>
          </cell>
          <cell r="BG328">
            <v>1</v>
          </cell>
          <cell r="BH328">
            <v>325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1</v>
          </cell>
          <cell r="BV328">
            <v>127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</row>
        <row r="329">
          <cell r="B329" t="str">
            <v>Las Vegas, NV</v>
          </cell>
          <cell r="C329">
            <v>1</v>
          </cell>
          <cell r="D329">
            <v>154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</row>
        <row r="330">
          <cell r="B330" t="str">
            <v>Los Angeles, CA</v>
          </cell>
          <cell r="C330">
            <v>2</v>
          </cell>
          <cell r="D330">
            <v>400</v>
          </cell>
          <cell r="E330">
            <v>0</v>
          </cell>
          <cell r="F330">
            <v>0</v>
          </cell>
          <cell r="G330">
            <v>1</v>
          </cell>
          <cell r="H330">
            <v>190</v>
          </cell>
          <cell r="I330">
            <v>1</v>
          </cell>
          <cell r="J330">
            <v>190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1</v>
          </cell>
          <cell r="AB330">
            <v>430</v>
          </cell>
          <cell r="AC330">
            <v>1</v>
          </cell>
          <cell r="AD330">
            <v>430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1</v>
          </cell>
          <cell r="AJ330">
            <v>400</v>
          </cell>
          <cell r="AK330">
            <v>0</v>
          </cell>
          <cell r="AL330">
            <v>0</v>
          </cell>
          <cell r="AM330">
            <v>1</v>
          </cell>
          <cell r="AN330">
            <v>400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2</v>
          </cell>
          <cell r="AT330">
            <v>234</v>
          </cell>
          <cell r="AU330">
            <v>0</v>
          </cell>
          <cell r="AV330">
            <v>0</v>
          </cell>
          <cell r="AW330">
            <v>2</v>
          </cell>
          <cell r="AX330">
            <v>234</v>
          </cell>
          <cell r="AY330">
            <v>1</v>
          </cell>
          <cell r="AZ330">
            <v>253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1</v>
          </cell>
          <cell r="BL330">
            <v>86</v>
          </cell>
          <cell r="BM330">
            <v>1</v>
          </cell>
          <cell r="BN330">
            <v>165</v>
          </cell>
          <cell r="BO330">
            <v>0</v>
          </cell>
          <cell r="BP330">
            <v>0</v>
          </cell>
          <cell r="BQ330">
            <v>1</v>
          </cell>
          <cell r="BR330">
            <v>165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1</v>
          </cell>
          <cell r="BX330">
            <v>142</v>
          </cell>
          <cell r="BY330">
            <v>0</v>
          </cell>
          <cell r="BZ330">
            <v>0</v>
          </cell>
          <cell r="CA330">
            <v>1</v>
          </cell>
          <cell r="CB330">
            <v>142</v>
          </cell>
          <cell r="CC330">
            <v>0</v>
          </cell>
          <cell r="CD330">
            <v>0</v>
          </cell>
        </row>
        <row r="331">
          <cell r="B331" t="str">
            <v>Miami, FL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2</v>
          </cell>
          <cell r="L331">
            <v>330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1</v>
          </cell>
          <cell r="X331">
            <v>300</v>
          </cell>
          <cell r="Y331">
            <v>1</v>
          </cell>
          <cell r="Z331">
            <v>239</v>
          </cell>
          <cell r="AA331">
            <v>0</v>
          </cell>
          <cell r="AB331">
            <v>0</v>
          </cell>
          <cell r="AC331">
            <v>1</v>
          </cell>
          <cell r="AD331">
            <v>239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1</v>
          </cell>
          <cell r="AR331">
            <v>140</v>
          </cell>
          <cell r="AS331">
            <v>0</v>
          </cell>
          <cell r="AT331">
            <v>0</v>
          </cell>
          <cell r="AU331">
            <v>2</v>
          </cell>
          <cell r="AV331">
            <v>276</v>
          </cell>
          <cell r="AW331">
            <v>2</v>
          </cell>
          <cell r="AX331">
            <v>276</v>
          </cell>
          <cell r="AY331">
            <v>1</v>
          </cell>
          <cell r="AZ331">
            <v>196</v>
          </cell>
          <cell r="BA331">
            <v>0</v>
          </cell>
          <cell r="BB331">
            <v>0</v>
          </cell>
          <cell r="BC331">
            <v>3</v>
          </cell>
          <cell r="BD331">
            <v>894</v>
          </cell>
          <cell r="BE331">
            <v>0</v>
          </cell>
          <cell r="BF331">
            <v>0</v>
          </cell>
          <cell r="BG331">
            <v>3</v>
          </cell>
          <cell r="BH331">
            <v>894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1</v>
          </cell>
          <cell r="BT331">
            <v>174</v>
          </cell>
          <cell r="BU331">
            <v>1</v>
          </cell>
          <cell r="BV331">
            <v>95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</row>
        <row r="332">
          <cell r="B332" t="str">
            <v>Minneapolis, MN</v>
          </cell>
          <cell r="C332">
            <v>0</v>
          </cell>
          <cell r="D332">
            <v>0</v>
          </cell>
          <cell r="E332">
            <v>1</v>
          </cell>
          <cell r="F332">
            <v>225</v>
          </cell>
          <cell r="G332">
            <v>1</v>
          </cell>
          <cell r="H332">
            <v>120</v>
          </cell>
          <cell r="I332">
            <v>2</v>
          </cell>
          <cell r="J332">
            <v>345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1</v>
          </cell>
          <cell r="AL332">
            <v>256</v>
          </cell>
          <cell r="AM332">
            <v>1</v>
          </cell>
          <cell r="AN332">
            <v>256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1</v>
          </cell>
          <cell r="AT332">
            <v>130</v>
          </cell>
          <cell r="AU332">
            <v>0</v>
          </cell>
          <cell r="AV332">
            <v>0</v>
          </cell>
          <cell r="AW332">
            <v>1</v>
          </cell>
          <cell r="AX332">
            <v>130</v>
          </cell>
          <cell r="AY332">
            <v>1</v>
          </cell>
          <cell r="AZ332">
            <v>108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2</v>
          </cell>
          <cell r="BP332">
            <v>264</v>
          </cell>
          <cell r="BQ332">
            <v>2</v>
          </cell>
          <cell r="BR332">
            <v>264</v>
          </cell>
          <cell r="BS332">
            <v>0</v>
          </cell>
          <cell r="BT332">
            <v>0</v>
          </cell>
          <cell r="BU332">
            <v>1</v>
          </cell>
          <cell r="BV332">
            <v>94</v>
          </cell>
          <cell r="BW332">
            <v>1</v>
          </cell>
          <cell r="BX332">
            <v>144</v>
          </cell>
          <cell r="BY332">
            <v>1</v>
          </cell>
          <cell r="BZ332">
            <v>95</v>
          </cell>
          <cell r="CA332">
            <v>2</v>
          </cell>
          <cell r="CB332">
            <v>239</v>
          </cell>
          <cell r="CC332">
            <v>0</v>
          </cell>
          <cell r="CD332">
            <v>0</v>
          </cell>
        </row>
        <row r="333">
          <cell r="B333" t="str">
            <v>Nashville, TN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2</v>
          </cell>
          <cell r="P333">
            <v>156</v>
          </cell>
          <cell r="Q333">
            <v>0</v>
          </cell>
          <cell r="R333">
            <v>0</v>
          </cell>
          <cell r="S333">
            <v>2</v>
          </cell>
          <cell r="T333">
            <v>156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1</v>
          </cell>
          <cell r="Z333">
            <v>307</v>
          </cell>
          <cell r="AA333">
            <v>0</v>
          </cell>
          <cell r="AB333">
            <v>0</v>
          </cell>
          <cell r="AC333">
            <v>1</v>
          </cell>
          <cell r="AD333">
            <v>307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2</v>
          </cell>
          <cell r="BL333">
            <v>228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</row>
        <row r="334">
          <cell r="B334" t="str">
            <v>New Orleans, LA</v>
          </cell>
          <cell r="C334">
            <v>1</v>
          </cell>
          <cell r="D334">
            <v>154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2</v>
          </cell>
          <cell r="AF334">
            <v>910</v>
          </cell>
          <cell r="AG334">
            <v>0</v>
          </cell>
          <cell r="AH334">
            <v>0</v>
          </cell>
          <cell r="AI334">
            <v>2</v>
          </cell>
          <cell r="AJ334">
            <v>491</v>
          </cell>
          <cell r="AK334">
            <v>0</v>
          </cell>
          <cell r="AL334">
            <v>0</v>
          </cell>
          <cell r="AM334">
            <v>2</v>
          </cell>
          <cell r="AN334">
            <v>491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1</v>
          </cell>
          <cell r="BD334">
            <v>452</v>
          </cell>
          <cell r="BE334">
            <v>0</v>
          </cell>
          <cell r="BF334">
            <v>0</v>
          </cell>
          <cell r="BG334">
            <v>1</v>
          </cell>
          <cell r="BH334">
            <v>452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1</v>
          </cell>
          <cell r="BP334">
            <v>208</v>
          </cell>
          <cell r="BQ334">
            <v>1</v>
          </cell>
          <cell r="BR334">
            <v>208</v>
          </cell>
          <cell r="BS334">
            <v>0</v>
          </cell>
          <cell r="BT334">
            <v>0</v>
          </cell>
          <cell r="BU334">
            <v>1</v>
          </cell>
          <cell r="BV334">
            <v>123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</row>
        <row r="335">
          <cell r="B335" t="str">
            <v>New York, NY</v>
          </cell>
          <cell r="C335">
            <v>0</v>
          </cell>
          <cell r="D335">
            <v>0</v>
          </cell>
          <cell r="E335">
            <v>1</v>
          </cell>
          <cell r="F335">
            <v>166</v>
          </cell>
          <cell r="G335">
            <v>0</v>
          </cell>
          <cell r="H335">
            <v>0</v>
          </cell>
          <cell r="I335">
            <v>1</v>
          </cell>
          <cell r="J335">
            <v>166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1</v>
          </cell>
          <cell r="R335">
            <v>82</v>
          </cell>
          <cell r="S335">
            <v>1</v>
          </cell>
          <cell r="T335">
            <v>82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1</v>
          </cell>
          <cell r="AF335">
            <v>285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1</v>
          </cell>
          <cell r="AR335">
            <v>123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1</v>
          </cell>
          <cell r="AZ335">
            <v>420</v>
          </cell>
          <cell r="BA335">
            <v>0</v>
          </cell>
          <cell r="BB335">
            <v>0</v>
          </cell>
          <cell r="BC335">
            <v>1</v>
          </cell>
          <cell r="BD335">
            <v>314</v>
          </cell>
          <cell r="BE335">
            <v>0</v>
          </cell>
          <cell r="BF335">
            <v>0</v>
          </cell>
          <cell r="BG335">
            <v>1</v>
          </cell>
          <cell r="BH335">
            <v>314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1</v>
          </cell>
          <cell r="BP335">
            <v>140</v>
          </cell>
          <cell r="BQ335">
            <v>1</v>
          </cell>
          <cell r="BR335">
            <v>140</v>
          </cell>
          <cell r="BS335">
            <v>1</v>
          </cell>
          <cell r="BT335">
            <v>134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</row>
        <row r="336">
          <cell r="B336" t="str">
            <v>Norfolk, VA</v>
          </cell>
          <cell r="C336">
            <v>0</v>
          </cell>
          <cell r="D336">
            <v>0</v>
          </cell>
          <cell r="E336">
            <v>1</v>
          </cell>
          <cell r="F336">
            <v>140</v>
          </cell>
          <cell r="G336">
            <v>0</v>
          </cell>
          <cell r="H336">
            <v>0</v>
          </cell>
          <cell r="I336">
            <v>1</v>
          </cell>
          <cell r="J336">
            <v>140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1</v>
          </cell>
          <cell r="AF336">
            <v>300</v>
          </cell>
          <cell r="AG336">
            <v>0</v>
          </cell>
          <cell r="AH336">
            <v>0</v>
          </cell>
          <cell r="AI336">
            <v>1</v>
          </cell>
          <cell r="AJ336">
            <v>250</v>
          </cell>
          <cell r="AK336">
            <v>0</v>
          </cell>
          <cell r="AL336">
            <v>0</v>
          </cell>
          <cell r="AM336">
            <v>1</v>
          </cell>
          <cell r="AN336">
            <v>250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1</v>
          </cell>
          <cell r="BL336">
            <v>120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</row>
        <row r="337">
          <cell r="B337" t="str">
            <v>Oahu Island, HI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1</v>
          </cell>
          <cell r="H337">
            <v>299</v>
          </cell>
          <cell r="I337">
            <v>1</v>
          </cell>
          <cell r="J337">
            <v>299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</row>
        <row r="338">
          <cell r="B338" t="str">
            <v>Orlando, FL</v>
          </cell>
          <cell r="C338">
            <v>0</v>
          </cell>
          <cell r="D338">
            <v>0</v>
          </cell>
          <cell r="E338">
            <v>1</v>
          </cell>
          <cell r="F338">
            <v>312</v>
          </cell>
          <cell r="G338">
            <v>0</v>
          </cell>
          <cell r="H338">
            <v>0</v>
          </cell>
          <cell r="I338">
            <v>1</v>
          </cell>
          <cell r="J338">
            <v>312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1</v>
          </cell>
          <cell r="P338">
            <v>389</v>
          </cell>
          <cell r="Q338">
            <v>1</v>
          </cell>
          <cell r="R338">
            <v>200</v>
          </cell>
          <cell r="S338">
            <v>2</v>
          </cell>
          <cell r="T338">
            <v>589</v>
          </cell>
          <cell r="U338">
            <v>1</v>
          </cell>
          <cell r="V338">
            <v>117</v>
          </cell>
          <cell r="W338">
            <v>0</v>
          </cell>
          <cell r="X338">
            <v>0</v>
          </cell>
          <cell r="Y338">
            <v>1</v>
          </cell>
          <cell r="Z338">
            <v>500</v>
          </cell>
          <cell r="AA338">
            <v>1</v>
          </cell>
          <cell r="AB338">
            <v>1100</v>
          </cell>
          <cell r="AC338">
            <v>2</v>
          </cell>
          <cell r="AD338">
            <v>1600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1</v>
          </cell>
          <cell r="AR338">
            <v>99</v>
          </cell>
          <cell r="AS338">
            <v>1</v>
          </cell>
          <cell r="AT338">
            <v>205</v>
          </cell>
          <cell r="AU338">
            <v>1</v>
          </cell>
          <cell r="AV338">
            <v>350</v>
          </cell>
          <cell r="AW338">
            <v>2</v>
          </cell>
          <cell r="AX338">
            <v>555</v>
          </cell>
          <cell r="AY338">
            <v>2</v>
          </cell>
          <cell r="AZ338">
            <v>272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1</v>
          </cell>
          <cell r="BF338">
            <v>584</v>
          </cell>
          <cell r="BG338">
            <v>1</v>
          </cell>
          <cell r="BH338">
            <v>584</v>
          </cell>
          <cell r="BI338">
            <v>0</v>
          </cell>
          <cell r="BJ338">
            <v>0</v>
          </cell>
          <cell r="BK338">
            <v>2</v>
          </cell>
          <cell r="BL338">
            <v>196</v>
          </cell>
          <cell r="BM338">
            <v>1</v>
          </cell>
          <cell r="BN338">
            <v>400</v>
          </cell>
          <cell r="BO338">
            <v>0</v>
          </cell>
          <cell r="BP338">
            <v>0</v>
          </cell>
          <cell r="BQ338">
            <v>1</v>
          </cell>
          <cell r="BR338">
            <v>400</v>
          </cell>
          <cell r="BS338">
            <v>1</v>
          </cell>
          <cell r="BT338">
            <v>125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</row>
        <row r="339">
          <cell r="B339" t="str">
            <v>Philadelphia, PA</v>
          </cell>
          <cell r="C339">
            <v>1</v>
          </cell>
          <cell r="D339">
            <v>498</v>
          </cell>
          <cell r="E339">
            <v>0</v>
          </cell>
          <cell r="F339">
            <v>0</v>
          </cell>
          <cell r="G339">
            <v>2</v>
          </cell>
          <cell r="H339">
            <v>238</v>
          </cell>
          <cell r="I339">
            <v>2</v>
          </cell>
          <cell r="J339">
            <v>238</v>
          </cell>
          <cell r="K339">
            <v>1</v>
          </cell>
          <cell r="L339">
            <v>102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1</v>
          </cell>
          <cell r="V339">
            <v>96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2</v>
          </cell>
          <cell r="AR339">
            <v>198</v>
          </cell>
          <cell r="AS339">
            <v>2</v>
          </cell>
          <cell r="AT339">
            <v>409</v>
          </cell>
          <cell r="AU339">
            <v>2</v>
          </cell>
          <cell r="AV339">
            <v>210</v>
          </cell>
          <cell r="AW339">
            <v>4</v>
          </cell>
          <cell r="AX339">
            <v>619</v>
          </cell>
          <cell r="AY339">
            <v>3</v>
          </cell>
          <cell r="AZ339">
            <v>341</v>
          </cell>
          <cell r="BA339">
            <v>1</v>
          </cell>
          <cell r="BB339">
            <v>330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2</v>
          </cell>
          <cell r="BN339">
            <v>359</v>
          </cell>
          <cell r="BO339">
            <v>1</v>
          </cell>
          <cell r="BP339">
            <v>128</v>
          </cell>
          <cell r="BQ339">
            <v>3</v>
          </cell>
          <cell r="BR339">
            <v>487</v>
          </cell>
          <cell r="BS339">
            <v>1</v>
          </cell>
          <cell r="BT339">
            <v>135</v>
          </cell>
          <cell r="BU339">
            <v>1</v>
          </cell>
          <cell r="BV339">
            <v>95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</row>
        <row r="340">
          <cell r="B340" t="str">
            <v>Phoenix, AZ</v>
          </cell>
          <cell r="C340">
            <v>1</v>
          </cell>
          <cell r="D340">
            <v>156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2</v>
          </cell>
          <cell r="AB340">
            <v>1225</v>
          </cell>
          <cell r="AC340">
            <v>2</v>
          </cell>
          <cell r="AD340">
            <v>1225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1</v>
          </cell>
          <cell r="AR340">
            <v>102</v>
          </cell>
          <cell r="AS340">
            <v>0</v>
          </cell>
          <cell r="AT340">
            <v>0</v>
          </cell>
          <cell r="AU340">
            <v>2</v>
          </cell>
          <cell r="AV340">
            <v>312</v>
          </cell>
          <cell r="AW340">
            <v>2</v>
          </cell>
          <cell r="AX340">
            <v>312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2</v>
          </cell>
          <cell r="BL340">
            <v>198</v>
          </cell>
          <cell r="BM340">
            <v>1</v>
          </cell>
          <cell r="BN340">
            <v>123</v>
          </cell>
          <cell r="BO340">
            <v>1</v>
          </cell>
          <cell r="BP340">
            <v>114</v>
          </cell>
          <cell r="BQ340">
            <v>2</v>
          </cell>
          <cell r="BR340">
            <v>237</v>
          </cell>
          <cell r="BS340">
            <v>0</v>
          </cell>
          <cell r="BT340">
            <v>0</v>
          </cell>
          <cell r="BU340">
            <v>1</v>
          </cell>
          <cell r="BV340">
            <v>131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</row>
        <row r="341">
          <cell r="B341" t="str">
            <v>Saint Louis, MO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2</v>
          </cell>
          <cell r="AL341">
            <v>1070</v>
          </cell>
          <cell r="AM341">
            <v>2</v>
          </cell>
          <cell r="AN341">
            <v>1070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</row>
        <row r="342">
          <cell r="B342" t="str">
            <v>San Diego, CA</v>
          </cell>
          <cell r="C342">
            <v>2</v>
          </cell>
          <cell r="D342">
            <v>391</v>
          </cell>
          <cell r="E342">
            <v>1</v>
          </cell>
          <cell r="F342">
            <v>246</v>
          </cell>
          <cell r="G342">
            <v>0</v>
          </cell>
          <cell r="H342">
            <v>0</v>
          </cell>
          <cell r="I342">
            <v>1</v>
          </cell>
          <cell r="J342">
            <v>246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</v>
          </cell>
          <cell r="Z342">
            <v>284</v>
          </cell>
          <cell r="AA342">
            <v>0</v>
          </cell>
          <cell r="AB342">
            <v>0</v>
          </cell>
          <cell r="AC342">
            <v>1</v>
          </cell>
          <cell r="AD342">
            <v>284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2</v>
          </cell>
          <cell r="AV342">
            <v>294</v>
          </cell>
          <cell r="AW342">
            <v>2</v>
          </cell>
          <cell r="AX342">
            <v>294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1</v>
          </cell>
          <cell r="BP342">
            <v>137</v>
          </cell>
          <cell r="BQ342">
            <v>1</v>
          </cell>
          <cell r="BR342">
            <v>137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1</v>
          </cell>
          <cell r="CD342">
            <v>95</v>
          </cell>
        </row>
        <row r="343">
          <cell r="B343" t="str">
            <v>San Francisco, CA</v>
          </cell>
          <cell r="C343">
            <v>0</v>
          </cell>
          <cell r="D343">
            <v>0</v>
          </cell>
          <cell r="E343">
            <v>2</v>
          </cell>
          <cell r="F343">
            <v>603</v>
          </cell>
          <cell r="G343">
            <v>0</v>
          </cell>
          <cell r="H343">
            <v>0</v>
          </cell>
          <cell r="I343">
            <v>2</v>
          </cell>
          <cell r="J343">
            <v>603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1</v>
          </cell>
          <cell r="X343">
            <v>313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150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1</v>
          </cell>
          <cell r="AT343">
            <v>152</v>
          </cell>
          <cell r="AU343">
            <v>0</v>
          </cell>
          <cell r="AV343">
            <v>0</v>
          </cell>
          <cell r="AW343">
            <v>1</v>
          </cell>
          <cell r="AX343">
            <v>152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1</v>
          </cell>
          <cell r="BD343">
            <v>266</v>
          </cell>
          <cell r="BE343">
            <v>0</v>
          </cell>
          <cell r="BF343">
            <v>0</v>
          </cell>
          <cell r="BG343">
            <v>1</v>
          </cell>
          <cell r="BH343">
            <v>266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</row>
        <row r="344">
          <cell r="B344" t="str">
            <v>Seattle, WA</v>
          </cell>
          <cell r="C344">
            <v>1</v>
          </cell>
          <cell r="D344">
            <v>160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1</v>
          </cell>
          <cell r="L344">
            <v>187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</v>
          </cell>
          <cell r="V344">
            <v>150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2</v>
          </cell>
          <cell r="AB344">
            <v>910</v>
          </cell>
          <cell r="AC344">
            <v>2</v>
          </cell>
          <cell r="AD344">
            <v>910</v>
          </cell>
          <cell r="AE344">
            <v>1</v>
          </cell>
          <cell r="AF344">
            <v>245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1</v>
          </cell>
          <cell r="AZ344">
            <v>150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1</v>
          </cell>
          <cell r="BF344">
            <v>300</v>
          </cell>
          <cell r="BG344">
            <v>1</v>
          </cell>
          <cell r="BH344">
            <v>300</v>
          </cell>
          <cell r="BI344">
            <v>0</v>
          </cell>
          <cell r="BJ344">
            <v>0</v>
          </cell>
          <cell r="BK344">
            <v>2</v>
          </cell>
          <cell r="BL344">
            <v>198</v>
          </cell>
          <cell r="BM344">
            <v>1</v>
          </cell>
          <cell r="BN344">
            <v>234</v>
          </cell>
          <cell r="BO344">
            <v>0</v>
          </cell>
          <cell r="BP344">
            <v>0</v>
          </cell>
          <cell r="BQ344">
            <v>1</v>
          </cell>
          <cell r="BR344">
            <v>234</v>
          </cell>
          <cell r="BS344">
            <v>0</v>
          </cell>
          <cell r="BT344">
            <v>0</v>
          </cell>
          <cell r="BU344">
            <v>1</v>
          </cell>
          <cell r="BV344">
            <v>135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</row>
        <row r="345">
          <cell r="B345" t="str">
            <v>Tampa, FL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1</v>
          </cell>
          <cell r="L345">
            <v>141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1</v>
          </cell>
          <cell r="R345">
            <v>113</v>
          </cell>
          <cell r="S345">
            <v>1</v>
          </cell>
          <cell r="T345">
            <v>113</v>
          </cell>
          <cell r="U345">
            <v>0</v>
          </cell>
          <cell r="V345">
            <v>0</v>
          </cell>
          <cell r="W345">
            <v>1</v>
          </cell>
          <cell r="X345">
            <v>717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1</v>
          </cell>
          <cell r="AT345">
            <v>109</v>
          </cell>
          <cell r="AU345">
            <v>1</v>
          </cell>
          <cell r="AV345">
            <v>160</v>
          </cell>
          <cell r="AW345">
            <v>2</v>
          </cell>
          <cell r="AX345">
            <v>269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1</v>
          </cell>
          <cell r="BP345">
            <v>79</v>
          </cell>
          <cell r="BQ345">
            <v>1</v>
          </cell>
          <cell r="BR345">
            <v>79</v>
          </cell>
          <cell r="BS345">
            <v>1</v>
          </cell>
          <cell r="BT345">
            <v>173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1</v>
          </cell>
          <cell r="CD345">
            <v>95</v>
          </cell>
        </row>
        <row r="346">
          <cell r="B346" t="str">
            <v>Washington, DC</v>
          </cell>
          <cell r="C346">
            <v>0</v>
          </cell>
          <cell r="D346">
            <v>0</v>
          </cell>
          <cell r="E346">
            <v>3</v>
          </cell>
          <cell r="F346">
            <v>573</v>
          </cell>
          <cell r="G346">
            <v>1</v>
          </cell>
          <cell r="H346">
            <v>200</v>
          </cell>
          <cell r="I346">
            <v>4</v>
          </cell>
          <cell r="J346">
            <v>773</v>
          </cell>
          <cell r="K346">
            <v>2</v>
          </cell>
          <cell r="L346">
            <v>326</v>
          </cell>
          <cell r="M346">
            <v>0</v>
          </cell>
          <cell r="N346">
            <v>0</v>
          </cell>
          <cell r="O346">
            <v>1</v>
          </cell>
          <cell r="P346">
            <v>86</v>
          </cell>
          <cell r="Q346">
            <v>0</v>
          </cell>
          <cell r="R346">
            <v>0</v>
          </cell>
          <cell r="S346">
            <v>1</v>
          </cell>
          <cell r="T346">
            <v>86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1</v>
          </cell>
          <cell r="AB346">
            <v>250</v>
          </cell>
          <cell r="AC346">
            <v>1</v>
          </cell>
          <cell r="AD346">
            <v>250</v>
          </cell>
          <cell r="AE346">
            <v>2</v>
          </cell>
          <cell r="AF346">
            <v>685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3</v>
          </cell>
          <cell r="AR346">
            <v>442</v>
          </cell>
          <cell r="AS346">
            <v>1</v>
          </cell>
          <cell r="AT346">
            <v>128</v>
          </cell>
          <cell r="AU346">
            <v>2</v>
          </cell>
          <cell r="AV346">
            <v>375</v>
          </cell>
          <cell r="AW346">
            <v>3</v>
          </cell>
          <cell r="AX346">
            <v>503</v>
          </cell>
          <cell r="AY346">
            <v>1</v>
          </cell>
          <cell r="AZ346">
            <v>175</v>
          </cell>
          <cell r="BA346">
            <v>0</v>
          </cell>
          <cell r="BB346">
            <v>0</v>
          </cell>
          <cell r="BC346">
            <v>2</v>
          </cell>
          <cell r="BD346">
            <v>393</v>
          </cell>
          <cell r="BE346">
            <v>0</v>
          </cell>
          <cell r="BF346">
            <v>0</v>
          </cell>
          <cell r="BG346">
            <v>2</v>
          </cell>
          <cell r="BH346">
            <v>393</v>
          </cell>
          <cell r="BI346">
            <v>0</v>
          </cell>
          <cell r="BJ346">
            <v>0</v>
          </cell>
          <cell r="BK346">
            <v>2</v>
          </cell>
          <cell r="BL346">
            <v>298</v>
          </cell>
          <cell r="BM346">
            <v>1</v>
          </cell>
          <cell r="BN346">
            <v>136</v>
          </cell>
          <cell r="BO346">
            <v>1</v>
          </cell>
          <cell r="BP346">
            <v>162</v>
          </cell>
          <cell r="BQ346">
            <v>2</v>
          </cell>
          <cell r="BR346">
            <v>298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1</v>
          </cell>
          <cell r="BZ346">
            <v>142</v>
          </cell>
          <cell r="CA346">
            <v>1</v>
          </cell>
          <cell r="CB346">
            <v>142</v>
          </cell>
          <cell r="CC346">
            <v>0</v>
          </cell>
          <cell r="CD346">
            <v>0</v>
          </cell>
        </row>
        <row r="354">
          <cell r="B354" t="str">
            <v>Anaheim, CA</v>
          </cell>
          <cell r="C354">
            <v>366</v>
          </cell>
          <cell r="D354">
            <v>46100</v>
          </cell>
        </row>
        <row r="355">
          <cell r="B355" t="str">
            <v>Atlanta, GA</v>
          </cell>
          <cell r="C355">
            <v>628</v>
          </cell>
          <cell r="D355">
            <v>83442</v>
          </cell>
        </row>
        <row r="356">
          <cell r="B356" t="str">
            <v>Boston, MA</v>
          </cell>
          <cell r="C356">
            <v>258</v>
          </cell>
          <cell r="D356">
            <v>40381</v>
          </cell>
        </row>
        <row r="357">
          <cell r="B357" t="str">
            <v>Chicago, IL</v>
          </cell>
          <cell r="C357">
            <v>458</v>
          </cell>
          <cell r="D357">
            <v>79238</v>
          </cell>
        </row>
        <row r="358">
          <cell r="B358" t="str">
            <v>Dallas, TX</v>
          </cell>
          <cell r="C358">
            <v>422</v>
          </cell>
          <cell r="D358">
            <v>63301</v>
          </cell>
        </row>
        <row r="359">
          <cell r="B359" t="str">
            <v>Denver, CO</v>
          </cell>
          <cell r="C359">
            <v>229</v>
          </cell>
          <cell r="D359">
            <v>34595</v>
          </cell>
        </row>
        <row r="360">
          <cell r="B360" t="str">
            <v>Detroit, MI</v>
          </cell>
          <cell r="C360">
            <v>294</v>
          </cell>
          <cell r="D360">
            <v>36238</v>
          </cell>
        </row>
        <row r="361">
          <cell r="B361" t="str">
            <v>Houston, TX</v>
          </cell>
          <cell r="C361">
            <v>371</v>
          </cell>
          <cell r="D361">
            <v>51545</v>
          </cell>
        </row>
        <row r="362">
          <cell r="B362" t="str">
            <v>Las Vegas, NV</v>
          </cell>
          <cell r="C362">
            <v>306</v>
          </cell>
          <cell r="D362">
            <v>127740</v>
          </cell>
        </row>
        <row r="363">
          <cell r="B363" t="str">
            <v>Los Angeles, CA</v>
          </cell>
          <cell r="C363">
            <v>679</v>
          </cell>
          <cell r="D363">
            <v>82321</v>
          </cell>
        </row>
        <row r="364">
          <cell r="B364" t="str">
            <v>Miami, FL</v>
          </cell>
          <cell r="C364">
            <v>273</v>
          </cell>
          <cell r="D364">
            <v>43406</v>
          </cell>
        </row>
        <row r="365">
          <cell r="B365" t="str">
            <v>Minneapolis, MN</v>
          </cell>
          <cell r="C365">
            <v>253</v>
          </cell>
          <cell r="D365">
            <v>31499</v>
          </cell>
        </row>
        <row r="366">
          <cell r="B366" t="str">
            <v>Nashville, TN</v>
          </cell>
          <cell r="C366">
            <v>261</v>
          </cell>
          <cell r="D366">
            <v>31585</v>
          </cell>
        </row>
        <row r="367">
          <cell r="B367" t="str">
            <v>New Orleans, LA</v>
          </cell>
          <cell r="C367">
            <v>180</v>
          </cell>
          <cell r="D367">
            <v>31001</v>
          </cell>
        </row>
        <row r="368">
          <cell r="B368" t="str">
            <v>New York, NY</v>
          </cell>
          <cell r="C368">
            <v>274</v>
          </cell>
          <cell r="D368">
            <v>73191</v>
          </cell>
        </row>
        <row r="369">
          <cell r="B369" t="str">
            <v>Norfolk, VA</v>
          </cell>
          <cell r="C369">
            <v>327</v>
          </cell>
          <cell r="D369">
            <v>34517</v>
          </cell>
        </row>
        <row r="370">
          <cell r="B370" t="str">
            <v>Oahu Island, HI</v>
          </cell>
          <cell r="C370">
            <v>118</v>
          </cell>
          <cell r="D370">
            <v>36385</v>
          </cell>
        </row>
        <row r="371">
          <cell r="B371" t="str">
            <v>Orlando, FL</v>
          </cell>
          <cell r="C371">
            <v>413</v>
          </cell>
          <cell r="D371">
            <v>108198</v>
          </cell>
        </row>
        <row r="372">
          <cell r="B372" t="str">
            <v>Philadelphia, PA</v>
          </cell>
          <cell r="C372">
            <v>263</v>
          </cell>
          <cell r="D372">
            <v>37132</v>
          </cell>
        </row>
        <row r="373">
          <cell r="B373" t="str">
            <v>Phoenix, AZ</v>
          </cell>
          <cell r="C373">
            <v>338</v>
          </cell>
          <cell r="D373">
            <v>50600</v>
          </cell>
        </row>
        <row r="374">
          <cell r="B374" t="str">
            <v>Saint Louis, MO</v>
          </cell>
          <cell r="C374">
            <v>240</v>
          </cell>
          <cell r="D374">
            <v>30921</v>
          </cell>
        </row>
        <row r="375">
          <cell r="B375" t="str">
            <v>San Diego, CA</v>
          </cell>
          <cell r="C375">
            <v>417</v>
          </cell>
          <cell r="D375">
            <v>49579</v>
          </cell>
        </row>
        <row r="376">
          <cell r="B376" t="str">
            <v>San Francisco, CA</v>
          </cell>
          <cell r="C376">
            <v>339</v>
          </cell>
          <cell r="D376">
            <v>46755</v>
          </cell>
        </row>
        <row r="377">
          <cell r="B377" t="str">
            <v>Seattle, WA</v>
          </cell>
          <cell r="C377">
            <v>280</v>
          </cell>
          <cell r="D377">
            <v>32747</v>
          </cell>
        </row>
        <row r="378">
          <cell r="B378" t="str">
            <v>Tampa, FL</v>
          </cell>
          <cell r="C378">
            <v>333</v>
          </cell>
          <cell r="D378">
            <v>39217</v>
          </cell>
        </row>
        <row r="379">
          <cell r="B379" t="str">
            <v>Washington, DC</v>
          </cell>
          <cell r="C379">
            <v>427</v>
          </cell>
          <cell r="D379">
            <v>76563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brand census"/>
      <sheetName val="chain census"/>
      <sheetName val="brand lookup"/>
      <sheetName val="msa lookup"/>
      <sheetName val="mkt-state-company lookups"/>
      <sheetName val="brand pivots"/>
      <sheetName val="category pivots"/>
      <sheetName val="company pivots"/>
      <sheetName val="attrition "/>
      <sheetName val="Est Opens - no EP"/>
      <sheetName val="Est Open pivots"/>
      <sheetName val="MKT pivots"/>
      <sheetName val="mkt census pivot"/>
      <sheetName val="MSA pivots"/>
      <sheetName val="old open pivots"/>
      <sheetName val="qtr pivots"/>
      <sheetName val="region pivots"/>
      <sheetName val="State Pivots"/>
      <sheetName val="summary pivots"/>
    </sheetNames>
    <sheetDataSet>
      <sheetData sheetId="0" refreshError="1"/>
      <sheetData sheetId="1" refreshError="1">
        <row r="2">
          <cell r="A2" t="str">
            <v>Adam's Mark</v>
          </cell>
          <cell r="B2">
            <v>24</v>
          </cell>
          <cell r="C2">
            <v>13286</v>
          </cell>
        </row>
        <row r="3">
          <cell r="A3" t="str">
            <v>Admiral Benbow Inn</v>
          </cell>
          <cell r="B3">
            <v>5</v>
          </cell>
          <cell r="C3">
            <v>425</v>
          </cell>
        </row>
        <row r="4">
          <cell r="A4" t="str">
            <v>AmericInn</v>
          </cell>
          <cell r="B4">
            <v>170</v>
          </cell>
          <cell r="C4">
            <v>8884</v>
          </cell>
        </row>
        <row r="5">
          <cell r="A5" t="str">
            <v>Amerihost</v>
          </cell>
          <cell r="B5">
            <v>86</v>
          </cell>
          <cell r="C5">
            <v>5825</v>
          </cell>
        </row>
        <row r="6">
          <cell r="A6" t="str">
            <v>AmeriSuites</v>
          </cell>
          <cell r="B6">
            <v>139</v>
          </cell>
          <cell r="C6">
            <v>17639</v>
          </cell>
        </row>
        <row r="7">
          <cell r="A7" t="str">
            <v>AMFAC</v>
          </cell>
          <cell r="B7">
            <v>33</v>
          </cell>
          <cell r="C7">
            <v>5524</v>
          </cell>
        </row>
        <row r="8">
          <cell r="A8" t="str">
            <v>Aston</v>
          </cell>
          <cell r="B8">
            <v>34</v>
          </cell>
          <cell r="C8">
            <v>5099</v>
          </cell>
        </row>
        <row r="9">
          <cell r="A9" t="str">
            <v>Baymont Inn</v>
          </cell>
          <cell r="B9">
            <v>190</v>
          </cell>
          <cell r="C9">
            <v>18126</v>
          </cell>
        </row>
        <row r="10">
          <cell r="A10" t="str">
            <v>Bayview Int'l Hotels &amp; Resorts</v>
          </cell>
          <cell r="B10">
            <v>1</v>
          </cell>
          <cell r="C10">
            <v>58</v>
          </cell>
        </row>
        <row r="11">
          <cell r="A11" t="str">
            <v>Best Hotels</v>
          </cell>
          <cell r="B11">
            <v>2</v>
          </cell>
          <cell r="C11">
            <v>197</v>
          </cell>
        </row>
        <row r="12">
          <cell r="A12" t="str">
            <v>Best Inn</v>
          </cell>
          <cell r="B12">
            <v>138</v>
          </cell>
          <cell r="C12">
            <v>11082</v>
          </cell>
        </row>
        <row r="13">
          <cell r="A13" t="str">
            <v>Best Value</v>
          </cell>
          <cell r="B13">
            <v>123</v>
          </cell>
          <cell r="C13">
            <v>6505</v>
          </cell>
        </row>
        <row r="14">
          <cell r="A14" t="str">
            <v>Best Western</v>
          </cell>
          <cell r="B14">
            <v>2117</v>
          </cell>
          <cell r="C14">
            <v>185760</v>
          </cell>
        </row>
        <row r="15">
          <cell r="A15" t="str">
            <v>Bradford Homesuites</v>
          </cell>
          <cell r="B15">
            <v>9</v>
          </cell>
          <cell r="C15">
            <v>1222</v>
          </cell>
        </row>
        <row r="16">
          <cell r="A16" t="str">
            <v>Budget Host</v>
          </cell>
          <cell r="B16">
            <v>170</v>
          </cell>
          <cell r="C16">
            <v>6376</v>
          </cell>
        </row>
        <row r="17">
          <cell r="A17" t="str">
            <v>Budget Inn</v>
          </cell>
          <cell r="B17">
            <v>4</v>
          </cell>
          <cell r="C17">
            <v>159</v>
          </cell>
        </row>
        <row r="18">
          <cell r="A18" t="str">
            <v>Cabot Lodge</v>
          </cell>
          <cell r="B18">
            <v>6</v>
          </cell>
          <cell r="C18">
            <v>1076</v>
          </cell>
        </row>
        <row r="19">
          <cell r="A19" t="str">
            <v>Caesars</v>
          </cell>
          <cell r="B19">
            <v>6</v>
          </cell>
          <cell r="C19">
            <v>1839</v>
          </cell>
        </row>
        <row r="20">
          <cell r="A20" t="str">
            <v>Candlewood Hotels</v>
          </cell>
          <cell r="B20">
            <v>101</v>
          </cell>
          <cell r="C20">
            <v>11863</v>
          </cell>
        </row>
        <row r="21">
          <cell r="A21" t="str">
            <v>Clarion</v>
          </cell>
          <cell r="B21">
            <v>126</v>
          </cell>
          <cell r="C21">
            <v>19065</v>
          </cell>
        </row>
        <row r="22">
          <cell r="A22" t="str">
            <v>Club Hotel by Doubletree</v>
          </cell>
          <cell r="B22">
            <v>25</v>
          </cell>
          <cell r="C22">
            <v>4889</v>
          </cell>
        </row>
        <row r="23">
          <cell r="A23" t="str">
            <v>Club Med</v>
          </cell>
          <cell r="B23">
            <v>2</v>
          </cell>
          <cell r="C23">
            <v>514</v>
          </cell>
        </row>
        <row r="24">
          <cell r="A24" t="str">
            <v>Clubhouse Inn</v>
          </cell>
          <cell r="B24">
            <v>13</v>
          </cell>
          <cell r="C24">
            <v>1752</v>
          </cell>
        </row>
        <row r="25">
          <cell r="A25" t="str">
            <v>Colony</v>
          </cell>
          <cell r="B25">
            <v>7</v>
          </cell>
          <cell r="C25">
            <v>689</v>
          </cell>
        </row>
        <row r="26">
          <cell r="A26" t="str">
            <v>Comfort Inn</v>
          </cell>
          <cell r="B26">
            <v>1319</v>
          </cell>
          <cell r="C26">
            <v>103768</v>
          </cell>
        </row>
        <row r="27">
          <cell r="A27" t="str">
            <v>Comfort Suites</v>
          </cell>
          <cell r="B27">
            <v>308</v>
          </cell>
          <cell r="C27">
            <v>24457</v>
          </cell>
        </row>
        <row r="28">
          <cell r="A28" t="str">
            <v>Conley Inn</v>
          </cell>
          <cell r="B28">
            <v>5</v>
          </cell>
          <cell r="C28">
            <v>291</v>
          </cell>
        </row>
        <row r="29">
          <cell r="A29" t="str">
            <v>Country Hearth Inn</v>
          </cell>
          <cell r="B29">
            <v>60</v>
          </cell>
          <cell r="C29">
            <v>3372</v>
          </cell>
        </row>
        <row r="30">
          <cell r="A30" t="str">
            <v>Country Inn &amp; Suites</v>
          </cell>
          <cell r="B30">
            <v>268</v>
          </cell>
          <cell r="C30">
            <v>20778</v>
          </cell>
        </row>
        <row r="31">
          <cell r="A31" t="str">
            <v>Courtyard by Marriott</v>
          </cell>
          <cell r="B31">
            <v>517</v>
          </cell>
          <cell r="C31">
            <v>72611</v>
          </cell>
        </row>
        <row r="32">
          <cell r="A32" t="str">
            <v>Cricket Inn</v>
          </cell>
          <cell r="B32">
            <v>1</v>
          </cell>
          <cell r="C32">
            <v>126</v>
          </cell>
        </row>
        <row r="33">
          <cell r="A33" t="str">
            <v>Cross Country Inn</v>
          </cell>
          <cell r="B33">
            <v>25</v>
          </cell>
          <cell r="C33">
            <v>3009</v>
          </cell>
        </row>
        <row r="34">
          <cell r="A34" t="str">
            <v>Crossland Economy Studios</v>
          </cell>
          <cell r="B34">
            <v>39</v>
          </cell>
          <cell r="C34">
            <v>5068</v>
          </cell>
        </row>
        <row r="35">
          <cell r="A35" t="str">
            <v>Crowne Plaza</v>
          </cell>
          <cell r="B35">
            <v>87</v>
          </cell>
          <cell r="C35">
            <v>26052</v>
          </cell>
        </row>
        <row r="36">
          <cell r="A36" t="str">
            <v>Days Inn</v>
          </cell>
          <cell r="B36">
            <v>1842</v>
          </cell>
          <cell r="C36">
            <v>155985</v>
          </cell>
        </row>
        <row r="37">
          <cell r="A37" t="str">
            <v>Delta Hotels</v>
          </cell>
          <cell r="B37">
            <v>1</v>
          </cell>
          <cell r="C37">
            <v>679</v>
          </cell>
        </row>
        <row r="38">
          <cell r="A38" t="str">
            <v>Doral</v>
          </cell>
          <cell r="B38">
            <v>6</v>
          </cell>
          <cell r="C38">
            <v>2537</v>
          </cell>
        </row>
        <row r="39">
          <cell r="A39" t="str">
            <v>Doubletree Guest Suites</v>
          </cell>
          <cell r="B39">
            <v>36</v>
          </cell>
          <cell r="C39">
            <v>7483</v>
          </cell>
        </row>
        <row r="40">
          <cell r="A40" t="str">
            <v>Doubletree Hotel</v>
          </cell>
          <cell r="B40">
            <v>93</v>
          </cell>
          <cell r="C40">
            <v>28449</v>
          </cell>
        </row>
        <row r="41">
          <cell r="A41" t="str">
            <v>Downtowner Motor Inn</v>
          </cell>
          <cell r="B41">
            <v>4</v>
          </cell>
          <cell r="C41">
            <v>276</v>
          </cell>
        </row>
        <row r="42">
          <cell r="A42" t="str">
            <v>Drury Inn</v>
          </cell>
          <cell r="B42">
            <v>76</v>
          </cell>
          <cell r="C42">
            <v>9796</v>
          </cell>
        </row>
        <row r="43">
          <cell r="A43" t="str">
            <v>E-Z 8</v>
          </cell>
          <cell r="B43">
            <v>25</v>
          </cell>
          <cell r="C43">
            <v>2693</v>
          </cell>
        </row>
        <row r="44">
          <cell r="A44" t="str">
            <v>Econo Lodge</v>
          </cell>
          <cell r="B44">
            <v>717</v>
          </cell>
          <cell r="C44">
            <v>44966</v>
          </cell>
        </row>
        <row r="45">
          <cell r="A45" t="str">
            <v>Embassy Suites</v>
          </cell>
          <cell r="B45">
            <v>163</v>
          </cell>
          <cell r="C45">
            <v>39853</v>
          </cell>
        </row>
        <row r="46">
          <cell r="A46" t="str">
            <v>Embassy Vacation Resorts</v>
          </cell>
          <cell r="B46">
            <v>4</v>
          </cell>
          <cell r="C46">
            <v>1124</v>
          </cell>
        </row>
        <row r="47">
          <cell r="A47" t="str">
            <v>Envoy Inn</v>
          </cell>
          <cell r="B47">
            <v>1</v>
          </cell>
          <cell r="C47">
            <v>82</v>
          </cell>
        </row>
        <row r="48">
          <cell r="A48" t="str">
            <v>Exel Inn</v>
          </cell>
          <cell r="B48">
            <v>24</v>
          </cell>
          <cell r="C48">
            <v>2714</v>
          </cell>
        </row>
        <row r="49">
          <cell r="A49" t="str">
            <v>Extended Stay America</v>
          </cell>
          <cell r="B49">
            <v>297</v>
          </cell>
          <cell r="C49">
            <v>33066</v>
          </cell>
        </row>
        <row r="50">
          <cell r="A50" t="str">
            <v>Fairfield Inn</v>
          </cell>
          <cell r="B50">
            <v>480</v>
          </cell>
          <cell r="C50">
            <v>46256</v>
          </cell>
        </row>
        <row r="51">
          <cell r="A51" t="str">
            <v>Fairmont Hotel</v>
          </cell>
          <cell r="B51">
            <v>11</v>
          </cell>
          <cell r="C51">
            <v>6025</v>
          </cell>
        </row>
        <row r="52">
          <cell r="A52" t="str">
            <v>Family Inns of America</v>
          </cell>
          <cell r="B52">
            <v>24</v>
          </cell>
          <cell r="C52">
            <v>2126</v>
          </cell>
        </row>
        <row r="53">
          <cell r="A53" t="str">
            <v>Four Points</v>
          </cell>
          <cell r="B53">
            <v>125</v>
          </cell>
          <cell r="C53">
            <v>24972</v>
          </cell>
        </row>
        <row r="54">
          <cell r="A54" t="str">
            <v>Four Seasons</v>
          </cell>
          <cell r="B54">
            <v>23</v>
          </cell>
          <cell r="C54">
            <v>7245</v>
          </cell>
        </row>
        <row r="55">
          <cell r="A55" t="str">
            <v>Friendship Inn</v>
          </cell>
          <cell r="B55">
            <v>6</v>
          </cell>
          <cell r="C55">
            <v>171</v>
          </cell>
        </row>
        <row r="56">
          <cell r="A56" t="str">
            <v>Garden Plaza</v>
          </cell>
          <cell r="B56">
            <v>4</v>
          </cell>
          <cell r="C56">
            <v>689</v>
          </cell>
        </row>
        <row r="57">
          <cell r="A57" t="str">
            <v>Golden Tulip</v>
          </cell>
          <cell r="B57">
            <v>3</v>
          </cell>
          <cell r="C57">
            <v>270</v>
          </cell>
        </row>
        <row r="58">
          <cell r="A58" t="str">
            <v>Good Nite Inn</v>
          </cell>
          <cell r="B58">
            <v>13</v>
          </cell>
          <cell r="C58">
            <v>1619</v>
          </cell>
        </row>
        <row r="59">
          <cell r="A59" t="str">
            <v>Great Western</v>
          </cell>
          <cell r="B59">
            <v>6</v>
          </cell>
          <cell r="C59">
            <v>305</v>
          </cell>
        </row>
        <row r="60">
          <cell r="A60" t="str">
            <v>Guesthouse Inn</v>
          </cell>
          <cell r="B60">
            <v>67</v>
          </cell>
          <cell r="C60">
            <v>4937</v>
          </cell>
        </row>
        <row r="61">
          <cell r="A61" t="str">
            <v>Ha' Penny</v>
          </cell>
          <cell r="B61">
            <v>2</v>
          </cell>
          <cell r="C61">
            <v>150</v>
          </cell>
        </row>
        <row r="62">
          <cell r="A62" t="str">
            <v>Hampton Inn</v>
          </cell>
          <cell r="B62">
            <v>1038</v>
          </cell>
          <cell r="C62">
            <v>104884</v>
          </cell>
        </row>
        <row r="63">
          <cell r="A63" t="str">
            <v>Hampton Inn &amp; Suites</v>
          </cell>
          <cell r="B63">
            <v>107</v>
          </cell>
          <cell r="C63">
            <v>12258</v>
          </cell>
        </row>
        <row r="64">
          <cell r="A64" t="str">
            <v>Harley Hotel</v>
          </cell>
          <cell r="B64">
            <v>2</v>
          </cell>
          <cell r="C64">
            <v>300</v>
          </cell>
        </row>
        <row r="65">
          <cell r="A65" t="str">
            <v>Harrah's</v>
          </cell>
          <cell r="B65">
            <v>11</v>
          </cell>
          <cell r="C65">
            <v>6504</v>
          </cell>
        </row>
        <row r="66">
          <cell r="A66" t="str">
            <v>Harvey Hotel</v>
          </cell>
          <cell r="B66">
            <v>6</v>
          </cell>
          <cell r="C66">
            <v>2253</v>
          </cell>
        </row>
        <row r="67">
          <cell r="A67" t="str">
            <v>Hawthorn Inn &amp; Suites</v>
          </cell>
          <cell r="B67">
            <v>20</v>
          </cell>
          <cell r="C67">
            <v>1598</v>
          </cell>
        </row>
        <row r="68">
          <cell r="A68" t="str">
            <v>Hawthorn Suites</v>
          </cell>
          <cell r="B68">
            <v>58</v>
          </cell>
          <cell r="C68">
            <v>6796</v>
          </cell>
        </row>
        <row r="69">
          <cell r="A69" t="str">
            <v>Hawthorn Suites LTD.</v>
          </cell>
          <cell r="B69">
            <v>52</v>
          </cell>
          <cell r="C69">
            <v>4609</v>
          </cell>
        </row>
        <row r="70">
          <cell r="A70" t="str">
            <v>Heartland</v>
          </cell>
          <cell r="B70">
            <v>20</v>
          </cell>
          <cell r="C70">
            <v>1653</v>
          </cell>
        </row>
        <row r="71">
          <cell r="A71" t="str">
            <v>Helmsley Hotel</v>
          </cell>
          <cell r="B71">
            <v>6</v>
          </cell>
          <cell r="C71">
            <v>2198</v>
          </cell>
        </row>
        <row r="72">
          <cell r="A72" t="str">
            <v>Hilton Gaming</v>
          </cell>
          <cell r="B72">
            <v>9</v>
          </cell>
          <cell r="C72">
            <v>15803</v>
          </cell>
        </row>
        <row r="73">
          <cell r="A73" t="str">
            <v>Hilton Garden Inn</v>
          </cell>
          <cell r="B73">
            <v>124</v>
          </cell>
          <cell r="C73">
            <v>17290</v>
          </cell>
        </row>
        <row r="74">
          <cell r="A74" t="str">
            <v>Hilton Hotel</v>
          </cell>
          <cell r="B74">
            <v>223</v>
          </cell>
          <cell r="C74">
            <v>79666</v>
          </cell>
        </row>
        <row r="75">
          <cell r="A75" t="str">
            <v>Hilton Inn</v>
          </cell>
          <cell r="B75">
            <v>5</v>
          </cell>
          <cell r="C75">
            <v>1112</v>
          </cell>
        </row>
        <row r="76">
          <cell r="A76" t="str">
            <v>Holiday Inn</v>
          </cell>
          <cell r="B76">
            <v>996</v>
          </cell>
          <cell r="C76">
            <v>186418</v>
          </cell>
        </row>
        <row r="77">
          <cell r="A77" t="str">
            <v>Holiday Inn Express</v>
          </cell>
          <cell r="B77">
            <v>1214</v>
          </cell>
          <cell r="C77">
            <v>95458</v>
          </cell>
        </row>
        <row r="78">
          <cell r="A78" t="str">
            <v>Holiday Inn Select</v>
          </cell>
          <cell r="B78">
            <v>77</v>
          </cell>
          <cell r="C78">
            <v>19855</v>
          </cell>
        </row>
        <row r="79">
          <cell r="A79" t="str">
            <v>HomeGate</v>
          </cell>
          <cell r="B79">
            <v>7</v>
          </cell>
          <cell r="C79">
            <v>867</v>
          </cell>
        </row>
        <row r="80">
          <cell r="A80" t="str">
            <v>Homestead</v>
          </cell>
          <cell r="B80">
            <v>112</v>
          </cell>
          <cell r="C80">
            <v>14834</v>
          </cell>
        </row>
        <row r="81">
          <cell r="A81" t="str">
            <v>Hometown Inn</v>
          </cell>
          <cell r="B81">
            <v>4</v>
          </cell>
          <cell r="C81">
            <v>259</v>
          </cell>
        </row>
        <row r="82">
          <cell r="A82" t="str">
            <v>Homewood Suites by Hilton</v>
          </cell>
          <cell r="B82">
            <v>104</v>
          </cell>
          <cell r="C82">
            <v>11801</v>
          </cell>
        </row>
        <row r="83">
          <cell r="A83" t="str">
            <v>Hotel Novotel</v>
          </cell>
          <cell r="B83">
            <v>2</v>
          </cell>
          <cell r="C83">
            <v>699</v>
          </cell>
        </row>
        <row r="84">
          <cell r="A84" t="str">
            <v>Hotel Sofitel</v>
          </cell>
          <cell r="B84">
            <v>8</v>
          </cell>
          <cell r="C84">
            <v>2633</v>
          </cell>
        </row>
        <row r="85">
          <cell r="A85" t="str">
            <v>Howard Johnson</v>
          </cell>
          <cell r="B85">
            <v>250</v>
          </cell>
          <cell r="C85">
            <v>29779</v>
          </cell>
        </row>
        <row r="86">
          <cell r="A86" t="str">
            <v>Howard Johnson Express Inn</v>
          </cell>
          <cell r="B86">
            <v>180</v>
          </cell>
          <cell r="C86">
            <v>12123</v>
          </cell>
        </row>
        <row r="87">
          <cell r="A87" t="str">
            <v>Hyatt Hotel</v>
          </cell>
          <cell r="B87">
            <v>115</v>
          </cell>
          <cell r="C87">
            <v>56276</v>
          </cell>
        </row>
        <row r="88">
          <cell r="A88" t="str">
            <v>Imperial Inns</v>
          </cell>
          <cell r="B88">
            <v>3</v>
          </cell>
          <cell r="C88">
            <v>95</v>
          </cell>
        </row>
        <row r="89">
          <cell r="A89" t="str">
            <v>Independent</v>
          </cell>
          <cell r="B89">
            <v>16406</v>
          </cell>
          <cell r="C89">
            <v>1270206</v>
          </cell>
        </row>
        <row r="90">
          <cell r="A90" t="str">
            <v>INNCAL</v>
          </cell>
          <cell r="B90">
            <v>3</v>
          </cell>
          <cell r="C90">
            <v>317</v>
          </cell>
        </row>
        <row r="91">
          <cell r="A91" t="str">
            <v>Innkeeper</v>
          </cell>
          <cell r="B91">
            <v>18</v>
          </cell>
          <cell r="C91">
            <v>1550</v>
          </cell>
        </row>
        <row r="92">
          <cell r="A92" t="str">
            <v>Inns of America</v>
          </cell>
          <cell r="B92">
            <v>10</v>
          </cell>
          <cell r="C92">
            <v>1140</v>
          </cell>
        </row>
        <row r="93">
          <cell r="A93" t="str">
            <v>Innsuites Hotels</v>
          </cell>
          <cell r="B93">
            <v>7</v>
          </cell>
          <cell r="C93">
            <v>1215</v>
          </cell>
        </row>
        <row r="94">
          <cell r="A94" t="str">
            <v>Inter-Continental</v>
          </cell>
          <cell r="B94">
            <v>12</v>
          </cell>
          <cell r="C94">
            <v>5610</v>
          </cell>
        </row>
        <row r="95">
          <cell r="A95" t="str">
            <v>Interstate Inn</v>
          </cell>
          <cell r="B95">
            <v>10</v>
          </cell>
          <cell r="C95">
            <v>379</v>
          </cell>
        </row>
        <row r="96">
          <cell r="A96" t="str">
            <v>Intown Suites</v>
          </cell>
          <cell r="B96">
            <v>19</v>
          </cell>
          <cell r="C96">
            <v>2498</v>
          </cell>
        </row>
        <row r="97">
          <cell r="A97" t="str">
            <v>Jameson Inn</v>
          </cell>
          <cell r="B97">
            <v>107</v>
          </cell>
          <cell r="C97">
            <v>5576</v>
          </cell>
        </row>
        <row r="98">
          <cell r="A98" t="str">
            <v>Jolly Hotels</v>
          </cell>
          <cell r="B98">
            <v>1</v>
          </cell>
          <cell r="C98">
            <v>216</v>
          </cell>
        </row>
        <row r="99">
          <cell r="A99" t="str">
            <v>Key West Inn</v>
          </cell>
          <cell r="B99">
            <v>16</v>
          </cell>
          <cell r="C99">
            <v>743</v>
          </cell>
        </row>
        <row r="100">
          <cell r="A100" t="str">
            <v>Key West Inns &amp; Suites</v>
          </cell>
          <cell r="B100">
            <v>2</v>
          </cell>
          <cell r="C100">
            <v>171</v>
          </cell>
        </row>
        <row r="101">
          <cell r="A101" t="str">
            <v>Kings Inn</v>
          </cell>
          <cell r="B101">
            <v>4</v>
          </cell>
          <cell r="C101">
            <v>280</v>
          </cell>
        </row>
        <row r="102">
          <cell r="A102" t="str">
            <v>Knights Inn</v>
          </cell>
          <cell r="B102">
            <v>229</v>
          </cell>
          <cell r="C102">
            <v>18461</v>
          </cell>
        </row>
        <row r="103">
          <cell r="A103" t="str">
            <v>La Quinta</v>
          </cell>
          <cell r="B103">
            <v>319</v>
          </cell>
          <cell r="C103">
            <v>40238</v>
          </cell>
        </row>
        <row r="104">
          <cell r="A104" t="str">
            <v>Le Meridien</v>
          </cell>
          <cell r="B104">
            <v>6</v>
          </cell>
          <cell r="C104">
            <v>2526</v>
          </cell>
        </row>
        <row r="105">
          <cell r="A105" t="str">
            <v>Lee's Inn of America</v>
          </cell>
          <cell r="B105">
            <v>18</v>
          </cell>
          <cell r="C105">
            <v>1420</v>
          </cell>
        </row>
        <row r="106">
          <cell r="A106" t="str">
            <v>Lexington Hotel Suites</v>
          </cell>
          <cell r="B106">
            <v>7</v>
          </cell>
          <cell r="C106">
            <v>1072</v>
          </cell>
        </row>
        <row r="107">
          <cell r="A107" t="str">
            <v>Little America</v>
          </cell>
          <cell r="B107">
            <v>6</v>
          </cell>
          <cell r="C107">
            <v>2730</v>
          </cell>
        </row>
        <row r="108">
          <cell r="A108" t="str">
            <v>Loews Hotel</v>
          </cell>
          <cell r="B108">
            <v>15</v>
          </cell>
          <cell r="C108">
            <v>6597</v>
          </cell>
        </row>
        <row r="109">
          <cell r="A109" t="str">
            <v>Luxury Collection</v>
          </cell>
          <cell r="B109">
            <v>10</v>
          </cell>
          <cell r="C109">
            <v>3675</v>
          </cell>
        </row>
        <row r="110">
          <cell r="A110" t="str">
            <v>Mainstay Suites</v>
          </cell>
          <cell r="B110">
            <v>39</v>
          </cell>
          <cell r="C110">
            <v>3411</v>
          </cell>
        </row>
        <row r="111">
          <cell r="A111" t="str">
            <v>MARC</v>
          </cell>
          <cell r="B111">
            <v>12</v>
          </cell>
          <cell r="C111">
            <v>1573</v>
          </cell>
        </row>
        <row r="112">
          <cell r="A112" t="str">
            <v>Marriott Conference</v>
          </cell>
          <cell r="B112">
            <v>15</v>
          </cell>
          <cell r="C112">
            <v>3779</v>
          </cell>
        </row>
        <row r="113">
          <cell r="A113" t="str">
            <v>Marriott Hotel</v>
          </cell>
          <cell r="B113">
            <v>284</v>
          </cell>
          <cell r="C113">
            <v>116286</v>
          </cell>
        </row>
        <row r="114">
          <cell r="A114" t="str">
            <v>Marriott International</v>
          </cell>
          <cell r="B114">
            <v>3</v>
          </cell>
          <cell r="C114">
            <v>1133</v>
          </cell>
        </row>
        <row r="115">
          <cell r="A115" t="str">
            <v>Master Host Inns</v>
          </cell>
          <cell r="B115">
            <v>2</v>
          </cell>
          <cell r="C115">
            <v>473</v>
          </cell>
        </row>
        <row r="116">
          <cell r="A116" t="str">
            <v>Masters Inn</v>
          </cell>
          <cell r="B116">
            <v>30</v>
          </cell>
          <cell r="C116">
            <v>3586</v>
          </cell>
        </row>
        <row r="117">
          <cell r="A117" t="str">
            <v>McIntosh Motor Inn</v>
          </cell>
          <cell r="B117">
            <v>14</v>
          </cell>
          <cell r="C117">
            <v>1444</v>
          </cell>
        </row>
        <row r="118">
          <cell r="A118" t="str">
            <v>Microtel Inn</v>
          </cell>
          <cell r="B118">
            <v>243</v>
          </cell>
          <cell r="C118">
            <v>17561</v>
          </cell>
        </row>
        <row r="119">
          <cell r="A119" t="str">
            <v>Millennium Hotel</v>
          </cell>
          <cell r="B119">
            <v>13</v>
          </cell>
          <cell r="C119">
            <v>4739</v>
          </cell>
        </row>
        <row r="120">
          <cell r="A120" t="str">
            <v>Motel 6</v>
          </cell>
          <cell r="B120">
            <v>814</v>
          </cell>
          <cell r="C120">
            <v>85397</v>
          </cell>
        </row>
        <row r="121">
          <cell r="A121" t="str">
            <v>Motel Orleans</v>
          </cell>
          <cell r="B121">
            <v>3</v>
          </cell>
          <cell r="C121">
            <v>207</v>
          </cell>
        </row>
        <row r="122">
          <cell r="A122" t="str">
            <v>National 9</v>
          </cell>
          <cell r="B122">
            <v>41</v>
          </cell>
          <cell r="C122">
            <v>1569</v>
          </cell>
        </row>
        <row r="123">
          <cell r="A123" t="str">
            <v>Nendels</v>
          </cell>
          <cell r="B123">
            <v>11</v>
          </cell>
          <cell r="C123">
            <v>706</v>
          </cell>
        </row>
        <row r="124">
          <cell r="A124" t="str">
            <v>New Otani Hotels</v>
          </cell>
          <cell r="B124">
            <v>2</v>
          </cell>
          <cell r="C124">
            <v>559</v>
          </cell>
        </row>
        <row r="125">
          <cell r="A125" t="str">
            <v>Nikko Hotels</v>
          </cell>
          <cell r="B125">
            <v>1</v>
          </cell>
          <cell r="C125">
            <v>532</v>
          </cell>
        </row>
        <row r="126">
          <cell r="A126" t="str">
            <v>Ohana Hotels</v>
          </cell>
          <cell r="B126">
            <v>14</v>
          </cell>
          <cell r="C126">
            <v>4783</v>
          </cell>
        </row>
        <row r="127">
          <cell r="A127" t="str">
            <v>Omni Hotel</v>
          </cell>
          <cell r="B127">
            <v>35</v>
          </cell>
          <cell r="C127">
            <v>12437</v>
          </cell>
        </row>
        <row r="128">
          <cell r="A128" t="str">
            <v>Outrigger</v>
          </cell>
          <cell r="B128">
            <v>14</v>
          </cell>
          <cell r="C128">
            <v>4195</v>
          </cell>
        </row>
        <row r="129">
          <cell r="A129" t="str">
            <v>Pan Pacific Hotels &amp; Resorts</v>
          </cell>
          <cell r="B129">
            <v>2</v>
          </cell>
          <cell r="C129">
            <v>679</v>
          </cell>
        </row>
        <row r="130">
          <cell r="A130" t="str">
            <v>Park Inn</v>
          </cell>
          <cell r="B130">
            <v>39</v>
          </cell>
          <cell r="C130">
            <v>4410</v>
          </cell>
        </row>
        <row r="131">
          <cell r="A131" t="str">
            <v>Park Inn Suite Hotel</v>
          </cell>
          <cell r="B131">
            <v>1</v>
          </cell>
          <cell r="C131">
            <v>163</v>
          </cell>
        </row>
        <row r="132">
          <cell r="A132" t="str">
            <v>Park Plaza</v>
          </cell>
          <cell r="B132">
            <v>5</v>
          </cell>
          <cell r="C132">
            <v>950</v>
          </cell>
        </row>
        <row r="133">
          <cell r="A133" t="str">
            <v>Passport Inn</v>
          </cell>
          <cell r="B133">
            <v>10</v>
          </cell>
          <cell r="C133">
            <v>347</v>
          </cell>
        </row>
        <row r="134">
          <cell r="A134" t="str">
            <v>Pear Tree Inn</v>
          </cell>
          <cell r="B134">
            <v>12</v>
          </cell>
          <cell r="C134">
            <v>1182</v>
          </cell>
        </row>
        <row r="135">
          <cell r="A135" t="str">
            <v>Preferred</v>
          </cell>
          <cell r="B135">
            <v>67</v>
          </cell>
          <cell r="C135">
            <v>14934</v>
          </cell>
        </row>
        <row r="136">
          <cell r="A136" t="str">
            <v>Prince Hotels</v>
          </cell>
          <cell r="B136">
            <v>5</v>
          </cell>
          <cell r="C136">
            <v>1561</v>
          </cell>
        </row>
        <row r="137">
          <cell r="A137" t="str">
            <v>Quality Inn</v>
          </cell>
          <cell r="B137">
            <v>411</v>
          </cell>
          <cell r="C137">
            <v>46601</v>
          </cell>
        </row>
        <row r="138">
          <cell r="A138" t="str">
            <v>Quality Suites</v>
          </cell>
          <cell r="B138">
            <v>37</v>
          </cell>
          <cell r="C138">
            <v>3828</v>
          </cell>
        </row>
        <row r="139">
          <cell r="A139" t="str">
            <v>Radisson</v>
          </cell>
          <cell r="B139">
            <v>242</v>
          </cell>
          <cell r="C139">
            <v>58917</v>
          </cell>
        </row>
        <row r="140">
          <cell r="A140" t="str">
            <v>Ramada Inn</v>
          </cell>
          <cell r="B140">
            <v>619</v>
          </cell>
          <cell r="C140">
            <v>93837</v>
          </cell>
        </row>
        <row r="141">
          <cell r="A141" t="str">
            <v>Ramada Limited</v>
          </cell>
          <cell r="B141">
            <v>373</v>
          </cell>
          <cell r="C141">
            <v>27813</v>
          </cell>
        </row>
        <row r="142">
          <cell r="A142" t="str">
            <v>Raphael Hotel</v>
          </cell>
          <cell r="B142">
            <v>2</v>
          </cell>
          <cell r="C142">
            <v>295</v>
          </cell>
        </row>
        <row r="143">
          <cell r="A143" t="str">
            <v>Red Carpet Inn</v>
          </cell>
          <cell r="B143">
            <v>104</v>
          </cell>
          <cell r="C143">
            <v>6951</v>
          </cell>
        </row>
        <row r="144">
          <cell r="A144" t="str">
            <v>Red Lion</v>
          </cell>
          <cell r="B144">
            <v>43</v>
          </cell>
          <cell r="C144">
            <v>6651</v>
          </cell>
        </row>
        <row r="145">
          <cell r="A145" t="str">
            <v>Red Roof Inn</v>
          </cell>
          <cell r="B145">
            <v>359</v>
          </cell>
          <cell r="C145">
            <v>39572</v>
          </cell>
        </row>
        <row r="146">
          <cell r="A146" t="str">
            <v>Relax Inn</v>
          </cell>
          <cell r="B146">
            <v>4</v>
          </cell>
          <cell r="C146">
            <v>336</v>
          </cell>
        </row>
        <row r="147">
          <cell r="A147" t="str">
            <v>Renaissance Hotel</v>
          </cell>
          <cell r="B147">
            <v>60</v>
          </cell>
          <cell r="C147">
            <v>22838</v>
          </cell>
        </row>
        <row r="148">
          <cell r="A148" t="str">
            <v>Residence Inn</v>
          </cell>
          <cell r="B148">
            <v>399</v>
          </cell>
          <cell r="C148">
            <v>46912</v>
          </cell>
        </row>
        <row r="149">
          <cell r="A149" t="str">
            <v>Ritz-Carlton</v>
          </cell>
          <cell r="B149">
            <v>29</v>
          </cell>
          <cell r="C149">
            <v>10184</v>
          </cell>
        </row>
        <row r="150">
          <cell r="A150" t="str">
            <v>Roadstar Inn</v>
          </cell>
          <cell r="B150">
            <v>6</v>
          </cell>
          <cell r="C150">
            <v>534</v>
          </cell>
        </row>
        <row r="151">
          <cell r="A151" t="str">
            <v>Rodeway Inn</v>
          </cell>
          <cell r="B151">
            <v>153</v>
          </cell>
          <cell r="C151">
            <v>10116</v>
          </cell>
        </row>
        <row r="152">
          <cell r="A152" t="str">
            <v>Romantik Hotel</v>
          </cell>
          <cell r="B152">
            <v>3</v>
          </cell>
          <cell r="C152">
            <v>79</v>
          </cell>
        </row>
        <row r="153">
          <cell r="A153" t="str">
            <v>Scottish Inn</v>
          </cell>
          <cell r="B153">
            <v>123</v>
          </cell>
          <cell r="C153">
            <v>5866</v>
          </cell>
        </row>
        <row r="154">
          <cell r="A154" t="str">
            <v>Select Inn</v>
          </cell>
          <cell r="B154">
            <v>18</v>
          </cell>
          <cell r="C154">
            <v>1627</v>
          </cell>
        </row>
        <row r="155">
          <cell r="A155" t="str">
            <v>Select Suites</v>
          </cell>
          <cell r="B155">
            <v>5</v>
          </cell>
          <cell r="C155">
            <v>748</v>
          </cell>
        </row>
        <row r="156">
          <cell r="A156" t="str">
            <v>Sheraton Hotel</v>
          </cell>
          <cell r="B156">
            <v>217</v>
          </cell>
          <cell r="C156">
            <v>72393</v>
          </cell>
        </row>
        <row r="157">
          <cell r="A157" t="str">
            <v>Sheraton Inn</v>
          </cell>
          <cell r="B157">
            <v>5</v>
          </cell>
          <cell r="C157">
            <v>879</v>
          </cell>
        </row>
        <row r="158">
          <cell r="A158" t="str">
            <v>Shilo Inn</v>
          </cell>
          <cell r="B158">
            <v>47</v>
          </cell>
          <cell r="C158">
            <v>5295</v>
          </cell>
        </row>
        <row r="159">
          <cell r="A159" t="str">
            <v>Shoney's Inn</v>
          </cell>
          <cell r="B159">
            <v>72</v>
          </cell>
          <cell r="C159">
            <v>6874</v>
          </cell>
        </row>
        <row r="160">
          <cell r="A160" t="str">
            <v>Sierra Suites</v>
          </cell>
          <cell r="B160">
            <v>17</v>
          </cell>
          <cell r="C160">
            <v>1861</v>
          </cell>
        </row>
        <row r="161">
          <cell r="A161" t="str">
            <v>Signature Inn</v>
          </cell>
          <cell r="B161">
            <v>26</v>
          </cell>
          <cell r="C161">
            <v>3051</v>
          </cell>
        </row>
        <row r="162">
          <cell r="A162" t="str">
            <v>Sleep Inn</v>
          </cell>
          <cell r="B162">
            <v>286</v>
          </cell>
          <cell r="C162">
            <v>22034</v>
          </cell>
        </row>
        <row r="163">
          <cell r="A163" t="str">
            <v>Sonesta</v>
          </cell>
          <cell r="B163">
            <v>4</v>
          </cell>
          <cell r="C163">
            <v>1437</v>
          </cell>
        </row>
        <row r="164">
          <cell r="A164" t="str">
            <v>SpringHill Suites</v>
          </cell>
          <cell r="B164">
            <v>84</v>
          </cell>
          <cell r="C164">
            <v>9603</v>
          </cell>
        </row>
        <row r="165">
          <cell r="A165" t="str">
            <v>St. Regis</v>
          </cell>
          <cell r="B165">
            <v>9</v>
          </cell>
          <cell r="C165">
            <v>3065</v>
          </cell>
        </row>
        <row r="166">
          <cell r="A166" t="str">
            <v>Star Hotels</v>
          </cell>
          <cell r="B166">
            <v>1</v>
          </cell>
          <cell r="C166">
            <v>178</v>
          </cell>
        </row>
        <row r="167">
          <cell r="A167" t="str">
            <v>Staybridge Suites</v>
          </cell>
          <cell r="B167">
            <v>41</v>
          </cell>
          <cell r="C167">
            <v>4629</v>
          </cell>
        </row>
        <row r="168">
          <cell r="A168" t="str">
            <v>Studio 6</v>
          </cell>
          <cell r="B168">
            <v>36</v>
          </cell>
          <cell r="C168">
            <v>4592</v>
          </cell>
        </row>
        <row r="169">
          <cell r="A169" t="str">
            <v>Studio Plus</v>
          </cell>
          <cell r="B169">
            <v>95</v>
          </cell>
          <cell r="C169">
            <v>7624</v>
          </cell>
        </row>
        <row r="170">
          <cell r="A170" t="str">
            <v>Suburban Lodge</v>
          </cell>
          <cell r="B170">
            <v>126</v>
          </cell>
          <cell r="C170">
            <v>16881</v>
          </cell>
        </row>
        <row r="171">
          <cell r="A171" t="str">
            <v>Summerfield Suites by Wyndham</v>
          </cell>
          <cell r="B171">
            <v>37</v>
          </cell>
          <cell r="C171">
            <v>4981</v>
          </cell>
        </row>
        <row r="172">
          <cell r="A172" t="str">
            <v>Sun Suites Hotels</v>
          </cell>
          <cell r="B172">
            <v>19</v>
          </cell>
          <cell r="C172">
            <v>2397</v>
          </cell>
        </row>
        <row r="173">
          <cell r="A173" t="str">
            <v>Sunroute Co. Ltd.</v>
          </cell>
          <cell r="B173">
            <v>1</v>
          </cell>
          <cell r="C173">
            <v>711</v>
          </cell>
        </row>
        <row r="174">
          <cell r="A174" t="str">
            <v>Sunspree Resorts</v>
          </cell>
          <cell r="B174">
            <v>24</v>
          </cell>
          <cell r="C174">
            <v>5103</v>
          </cell>
        </row>
        <row r="175">
          <cell r="A175" t="str">
            <v>Super 8</v>
          </cell>
          <cell r="B175">
            <v>1963</v>
          </cell>
          <cell r="C175">
            <v>119091</v>
          </cell>
        </row>
        <row r="176">
          <cell r="A176" t="str">
            <v>Susse Chalet</v>
          </cell>
          <cell r="B176">
            <v>6</v>
          </cell>
          <cell r="C176">
            <v>573</v>
          </cell>
        </row>
        <row r="177">
          <cell r="A177" t="str">
            <v>Swissotel</v>
          </cell>
          <cell r="B177">
            <v>5</v>
          </cell>
          <cell r="C177">
            <v>2238</v>
          </cell>
        </row>
        <row r="178">
          <cell r="A178" t="str">
            <v>ThriftLodge</v>
          </cell>
          <cell r="B178">
            <v>14</v>
          </cell>
          <cell r="C178">
            <v>692</v>
          </cell>
        </row>
        <row r="179">
          <cell r="A179" t="str">
            <v>Thrifty Inn</v>
          </cell>
          <cell r="B179">
            <v>2</v>
          </cell>
          <cell r="C179">
            <v>134</v>
          </cell>
        </row>
        <row r="180">
          <cell r="A180" t="str">
            <v>TownePlace Suites</v>
          </cell>
          <cell r="B180">
            <v>100</v>
          </cell>
          <cell r="C180">
            <v>10591</v>
          </cell>
        </row>
        <row r="181">
          <cell r="A181" t="str">
            <v>Travel Inn</v>
          </cell>
          <cell r="B181">
            <v>3</v>
          </cell>
          <cell r="C181">
            <v>145</v>
          </cell>
        </row>
        <row r="182">
          <cell r="A182" t="str">
            <v>Travelers Inn</v>
          </cell>
          <cell r="B182">
            <v>11</v>
          </cell>
          <cell r="C182">
            <v>921</v>
          </cell>
        </row>
        <row r="183">
          <cell r="A183" t="str">
            <v>Travelodge</v>
          </cell>
          <cell r="B183">
            <v>484</v>
          </cell>
          <cell r="C183">
            <v>37946</v>
          </cell>
        </row>
        <row r="184">
          <cell r="A184" t="str">
            <v>USA Inn</v>
          </cell>
          <cell r="B184">
            <v>1</v>
          </cell>
          <cell r="C184">
            <v>63</v>
          </cell>
        </row>
        <row r="185">
          <cell r="A185" t="str">
            <v>Vagabond Inn</v>
          </cell>
          <cell r="B185">
            <v>36</v>
          </cell>
          <cell r="C185">
            <v>3125</v>
          </cell>
        </row>
        <row r="186">
          <cell r="A186" t="str">
            <v>Villager Lodge</v>
          </cell>
          <cell r="B186">
            <v>125</v>
          </cell>
          <cell r="C186">
            <v>11557</v>
          </cell>
        </row>
        <row r="187">
          <cell r="A187" t="str">
            <v>W Hotel</v>
          </cell>
          <cell r="B187">
            <v>15</v>
          </cell>
          <cell r="C187">
            <v>4832</v>
          </cell>
        </row>
        <row r="188">
          <cell r="A188" t="str">
            <v>Wandlyn Inn</v>
          </cell>
          <cell r="B188">
            <v>2</v>
          </cell>
          <cell r="C188">
            <v>162</v>
          </cell>
        </row>
        <row r="189">
          <cell r="A189" t="str">
            <v>Wellesley Inn</v>
          </cell>
          <cell r="B189">
            <v>33</v>
          </cell>
          <cell r="C189">
            <v>3362</v>
          </cell>
        </row>
        <row r="190">
          <cell r="A190" t="str">
            <v>Wellesley Inn &amp; Suites</v>
          </cell>
          <cell r="B190">
            <v>74</v>
          </cell>
          <cell r="C190">
            <v>8309</v>
          </cell>
        </row>
        <row r="191">
          <cell r="A191" t="str">
            <v xml:space="preserve">WestCoast </v>
          </cell>
          <cell r="B191">
            <v>29</v>
          </cell>
          <cell r="C191">
            <v>5697</v>
          </cell>
        </row>
        <row r="192">
          <cell r="A192" t="str">
            <v>Westin Hotel</v>
          </cell>
          <cell r="B192">
            <v>71</v>
          </cell>
          <cell r="C192">
            <v>33236</v>
          </cell>
        </row>
        <row r="193">
          <cell r="A193" t="str">
            <v>Westmark</v>
          </cell>
          <cell r="B193">
            <v>9</v>
          </cell>
          <cell r="C193">
            <v>1346</v>
          </cell>
        </row>
        <row r="194">
          <cell r="A194" t="str">
            <v>Wilson</v>
          </cell>
          <cell r="B194">
            <v>8</v>
          </cell>
          <cell r="C194">
            <v>1255</v>
          </cell>
        </row>
        <row r="195">
          <cell r="A195" t="str">
            <v>Wingate Inn</v>
          </cell>
          <cell r="B195">
            <v>110</v>
          </cell>
          <cell r="C195">
            <v>10294</v>
          </cell>
        </row>
        <row r="196">
          <cell r="A196" t="str">
            <v>Woodfield Suites</v>
          </cell>
          <cell r="B196">
            <v>7</v>
          </cell>
          <cell r="C196">
            <v>888</v>
          </cell>
        </row>
        <row r="197">
          <cell r="A197" t="str">
            <v>Woodfin Suites</v>
          </cell>
          <cell r="B197">
            <v>8</v>
          </cell>
          <cell r="C197">
            <v>1096</v>
          </cell>
        </row>
        <row r="198">
          <cell r="A198" t="str">
            <v xml:space="preserve">Wyndham Garden </v>
          </cell>
          <cell r="B198">
            <v>24</v>
          </cell>
          <cell r="C198">
            <v>4242</v>
          </cell>
        </row>
        <row r="199">
          <cell r="A199" t="str">
            <v>Wyndham Historic Hotel</v>
          </cell>
          <cell r="B199">
            <v>11</v>
          </cell>
          <cell r="C199">
            <v>5121</v>
          </cell>
        </row>
        <row r="200">
          <cell r="A200" t="str">
            <v>Wyndham Hotel</v>
          </cell>
          <cell r="B200">
            <v>80</v>
          </cell>
          <cell r="C200">
            <v>24742</v>
          </cell>
        </row>
        <row r="201">
          <cell r="A201" t="str">
            <v>Wyndham Luxury</v>
          </cell>
          <cell r="B201">
            <v>3</v>
          </cell>
          <cell r="C201">
            <v>354</v>
          </cell>
        </row>
        <row r="202">
          <cell r="A202" t="str">
            <v>Wyndham Resorts</v>
          </cell>
          <cell r="B202">
            <v>9</v>
          </cell>
          <cell r="C202">
            <v>4142</v>
          </cell>
        </row>
        <row r="203">
          <cell r="A203" t="str">
            <v>Wynfield Inn</v>
          </cell>
          <cell r="B203">
            <v>1</v>
          </cell>
          <cell r="C203">
            <v>63</v>
          </cell>
        </row>
        <row r="204">
          <cell r="A204" t="str">
            <v>zIndependents</v>
          </cell>
          <cell r="B204">
            <v>15593</v>
          </cell>
          <cell r="C204">
            <v>1249816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sus"/>
      <sheetName val="PIVOTS"/>
      <sheetName val="tract lookup"/>
      <sheetName val="Mkt Ranks"/>
      <sheetName val="companies lookup"/>
      <sheetName val="companies pivots"/>
      <sheetName val="Hilton Mkt Share"/>
      <sheetName val="Marr Mkt Share"/>
      <sheetName val="Starwood Mkt Share"/>
      <sheetName val="Top Cos"/>
      <sheetName val="Casinos"/>
      <sheetName val="brand lookup"/>
    </sheetNames>
    <sheetDataSet>
      <sheetData sheetId="0" refreshError="1">
        <row r="4">
          <cell r="A4" t="str">
            <v>CHAINS</v>
          </cell>
          <cell r="B4" t="str">
            <v>PROPERTIES</v>
          </cell>
          <cell r="C4" t="str">
            <v>ROOMS</v>
          </cell>
          <cell r="D4" t="str">
            <v>PARENT</v>
          </cell>
        </row>
        <row r="5">
          <cell r="A5" t="str">
            <v>ADAM'S MARK</v>
          </cell>
          <cell r="B5">
            <v>22</v>
          </cell>
          <cell r="C5">
            <v>12003</v>
          </cell>
        </row>
        <row r="6">
          <cell r="A6" t="str">
            <v>ADMIRAL BENBOW</v>
          </cell>
          <cell r="B6">
            <v>7</v>
          </cell>
          <cell r="C6">
            <v>751</v>
          </cell>
        </row>
        <row r="7">
          <cell r="A7" t="str">
            <v>AMERICINN</v>
          </cell>
          <cell r="B7">
            <v>158</v>
          </cell>
          <cell r="C7">
            <v>8068</v>
          </cell>
        </row>
        <row r="8">
          <cell r="A8" t="str">
            <v>AMERIHOST</v>
          </cell>
          <cell r="B8">
            <v>82</v>
          </cell>
          <cell r="C8">
            <v>5198</v>
          </cell>
        </row>
        <row r="9">
          <cell r="A9" t="str">
            <v>AMERISUITES</v>
          </cell>
          <cell r="B9">
            <v>106</v>
          </cell>
          <cell r="C9">
            <v>13562</v>
          </cell>
          <cell r="D9" t="str">
            <v>PRIME</v>
          </cell>
        </row>
        <row r="10">
          <cell r="A10" t="str">
            <v>AMFAC</v>
          </cell>
          <cell r="B10">
            <v>27</v>
          </cell>
          <cell r="C10">
            <v>3728</v>
          </cell>
        </row>
        <row r="11">
          <cell r="A11" t="str">
            <v>ASTON</v>
          </cell>
          <cell r="B11">
            <v>38</v>
          </cell>
          <cell r="C11">
            <v>5730</v>
          </cell>
        </row>
        <row r="12">
          <cell r="A12" t="str">
            <v>BAYMONT INNS &amp; SUITES</v>
          </cell>
          <cell r="B12">
            <v>175</v>
          </cell>
          <cell r="C12">
            <v>17044</v>
          </cell>
        </row>
        <row r="13">
          <cell r="A13" t="str">
            <v>BEST HOTELS</v>
          </cell>
          <cell r="B13">
            <v>3</v>
          </cell>
          <cell r="C13">
            <v>311</v>
          </cell>
        </row>
        <row r="14">
          <cell r="A14" t="str">
            <v>BEST INNS</v>
          </cell>
          <cell r="B14">
            <v>152</v>
          </cell>
          <cell r="C14">
            <v>12239</v>
          </cell>
          <cell r="D14" t="str">
            <v>USFS</v>
          </cell>
        </row>
        <row r="15">
          <cell r="A15" t="str">
            <v>BEST WESTERN</v>
          </cell>
          <cell r="B15">
            <v>2099</v>
          </cell>
          <cell r="C15">
            <v>186983</v>
          </cell>
        </row>
        <row r="16">
          <cell r="A16" t="str">
            <v>BRADFORD HOMESUITES</v>
          </cell>
          <cell r="B16">
            <v>9</v>
          </cell>
          <cell r="C16">
            <v>1223</v>
          </cell>
        </row>
        <row r="17">
          <cell r="A17" t="str">
            <v>BUDGET HOST INN</v>
          </cell>
          <cell r="B17">
            <v>173</v>
          </cell>
          <cell r="C17">
            <v>6821</v>
          </cell>
        </row>
        <row r="18">
          <cell r="A18" t="str">
            <v>CABOT LODGE</v>
          </cell>
          <cell r="B18">
            <v>6</v>
          </cell>
          <cell r="C18">
            <v>1076</v>
          </cell>
        </row>
        <row r="19">
          <cell r="A19" t="str">
            <v>CAESARS</v>
          </cell>
          <cell r="B19">
            <v>6</v>
          </cell>
          <cell r="C19">
            <v>1839</v>
          </cell>
        </row>
        <row r="20">
          <cell r="A20" t="str">
            <v>CAMINO REAL</v>
          </cell>
          <cell r="B20">
            <v>1</v>
          </cell>
          <cell r="C20">
            <v>375</v>
          </cell>
        </row>
        <row r="21">
          <cell r="A21" t="str">
            <v>CANDLEWOOD HOTEL</v>
          </cell>
          <cell r="B21">
            <v>91</v>
          </cell>
          <cell r="C21">
            <v>10733</v>
          </cell>
        </row>
        <row r="22">
          <cell r="A22" t="str">
            <v>CLARION</v>
          </cell>
          <cell r="B22">
            <v>120</v>
          </cell>
          <cell r="C22">
            <v>19333</v>
          </cell>
          <cell r="D22" t="str">
            <v>CHOICE</v>
          </cell>
        </row>
        <row r="23">
          <cell r="A23" t="str">
            <v>CLUB MED</v>
          </cell>
          <cell r="B23">
            <v>2</v>
          </cell>
          <cell r="C23">
            <v>972</v>
          </cell>
        </row>
        <row r="24">
          <cell r="A24" t="str">
            <v>CLUBHOUSE INNS OF AMERIC</v>
          </cell>
          <cell r="B24">
            <v>9</v>
          </cell>
          <cell r="C24">
            <v>1364</v>
          </cell>
        </row>
        <row r="25">
          <cell r="A25" t="str">
            <v>COLONY</v>
          </cell>
          <cell r="B25">
            <v>13</v>
          </cell>
          <cell r="C25">
            <v>1245</v>
          </cell>
        </row>
        <row r="26">
          <cell r="A26" t="str">
            <v>COMFORT INN</v>
          </cell>
          <cell r="B26">
            <v>1302</v>
          </cell>
          <cell r="C26">
            <v>102210</v>
          </cell>
          <cell r="D26" t="str">
            <v>CHOICE</v>
          </cell>
        </row>
        <row r="27">
          <cell r="A27" t="str">
            <v>COMFORT SUITES</v>
          </cell>
          <cell r="B27">
            <v>277</v>
          </cell>
          <cell r="C27">
            <v>22080</v>
          </cell>
          <cell r="D27" t="str">
            <v>CHOICE</v>
          </cell>
        </row>
        <row r="28">
          <cell r="A28" t="str">
            <v>CONLEY INN</v>
          </cell>
          <cell r="B28">
            <v>5</v>
          </cell>
          <cell r="C28">
            <v>291</v>
          </cell>
        </row>
        <row r="29">
          <cell r="A29" t="str">
            <v>COUNTRY HEARTH INN</v>
          </cell>
          <cell r="B29">
            <v>55</v>
          </cell>
          <cell r="C29">
            <v>3441</v>
          </cell>
        </row>
        <row r="30">
          <cell r="A30" t="str">
            <v>COUNTRY INN &amp; SUITES</v>
          </cell>
          <cell r="B30">
            <v>226</v>
          </cell>
          <cell r="C30">
            <v>17277</v>
          </cell>
        </row>
        <row r="31">
          <cell r="A31" t="str">
            <v>COURTYARD</v>
          </cell>
          <cell r="B31">
            <v>480</v>
          </cell>
          <cell r="C31">
            <v>66936</v>
          </cell>
          <cell r="D31" t="str">
            <v>MARRIOTT</v>
          </cell>
        </row>
        <row r="32">
          <cell r="A32" t="str">
            <v>CRICKET INN</v>
          </cell>
          <cell r="B32">
            <v>1</v>
          </cell>
          <cell r="C32">
            <v>126</v>
          </cell>
        </row>
        <row r="33">
          <cell r="A33" t="str">
            <v>CROSS COUNTRY INN</v>
          </cell>
          <cell r="B33">
            <v>25</v>
          </cell>
          <cell r="C33">
            <v>3009</v>
          </cell>
        </row>
        <row r="34">
          <cell r="A34" t="str">
            <v>CROSSLAND SUITES</v>
          </cell>
          <cell r="B34">
            <v>39</v>
          </cell>
          <cell r="C34">
            <v>5068</v>
          </cell>
          <cell r="D34" t="str">
            <v>ESA</v>
          </cell>
        </row>
        <row r="35">
          <cell r="A35" t="str">
            <v>CROWNE PLAZA</v>
          </cell>
          <cell r="B35">
            <v>72</v>
          </cell>
          <cell r="C35">
            <v>22278</v>
          </cell>
          <cell r="D35" t="str">
            <v>BASS</v>
          </cell>
        </row>
        <row r="36">
          <cell r="A36" t="str">
            <v>DAYS INN</v>
          </cell>
          <cell r="B36">
            <v>1856</v>
          </cell>
          <cell r="C36">
            <v>159072</v>
          </cell>
          <cell r="D36" t="str">
            <v>CENDANT</v>
          </cell>
        </row>
        <row r="37">
          <cell r="A37" t="str">
            <v>DELTA HOTELS</v>
          </cell>
          <cell r="B37">
            <v>1</v>
          </cell>
          <cell r="C37">
            <v>760</v>
          </cell>
        </row>
        <row r="38">
          <cell r="A38" t="str">
            <v>DORAL</v>
          </cell>
          <cell r="B38">
            <v>6</v>
          </cell>
          <cell r="C38">
            <v>1778</v>
          </cell>
        </row>
        <row r="39">
          <cell r="A39" t="str">
            <v>DOUBLETREE CLUB</v>
          </cell>
          <cell r="B39">
            <v>26</v>
          </cell>
          <cell r="C39">
            <v>5278</v>
          </cell>
          <cell r="D39" t="str">
            <v>HILTON</v>
          </cell>
        </row>
        <row r="40">
          <cell r="A40" t="str">
            <v>DOUBLETREE GUEST STE</v>
          </cell>
          <cell r="B40">
            <v>36</v>
          </cell>
          <cell r="C40">
            <v>7644</v>
          </cell>
          <cell r="D40" t="str">
            <v>HILTON</v>
          </cell>
        </row>
        <row r="41">
          <cell r="A41" t="str">
            <v>DOUBLETREE HOTELS</v>
          </cell>
          <cell r="B41">
            <v>94</v>
          </cell>
          <cell r="C41">
            <v>28754</v>
          </cell>
          <cell r="D41" t="str">
            <v>HILTON</v>
          </cell>
        </row>
        <row r="42">
          <cell r="A42" t="str">
            <v>DOWNTOWNER MOTOR INN</v>
          </cell>
          <cell r="B42">
            <v>3</v>
          </cell>
          <cell r="C42">
            <v>236</v>
          </cell>
        </row>
        <row r="43">
          <cell r="A43" t="str">
            <v>DRURY INN</v>
          </cell>
          <cell r="B43">
            <v>72</v>
          </cell>
          <cell r="C43">
            <v>9287</v>
          </cell>
        </row>
        <row r="44">
          <cell r="A44" t="str">
            <v>E-Z 8</v>
          </cell>
          <cell r="B44">
            <v>26</v>
          </cell>
          <cell r="C44">
            <v>2653</v>
          </cell>
        </row>
        <row r="45">
          <cell r="A45" t="str">
            <v>ECONO LODGE</v>
          </cell>
          <cell r="B45">
            <v>713</v>
          </cell>
          <cell r="C45">
            <v>44651</v>
          </cell>
          <cell r="D45" t="str">
            <v>CHOICE</v>
          </cell>
        </row>
        <row r="46">
          <cell r="A46" t="str">
            <v>EMBASSY SUITES</v>
          </cell>
          <cell r="B46">
            <v>155</v>
          </cell>
          <cell r="C46">
            <v>38043</v>
          </cell>
          <cell r="D46" t="str">
            <v>HILTON</v>
          </cell>
        </row>
        <row r="47">
          <cell r="A47" t="str">
            <v>EMBASSY VACATION RESORTS</v>
          </cell>
          <cell r="B47">
            <v>6</v>
          </cell>
          <cell r="C47">
            <v>1418</v>
          </cell>
        </row>
        <row r="48">
          <cell r="A48" t="str">
            <v>ENVOY INN</v>
          </cell>
          <cell r="B48">
            <v>1</v>
          </cell>
          <cell r="C48">
            <v>82</v>
          </cell>
        </row>
        <row r="49">
          <cell r="A49" t="str">
            <v>EXEL INN</v>
          </cell>
          <cell r="B49">
            <v>26</v>
          </cell>
          <cell r="C49">
            <v>2917</v>
          </cell>
        </row>
        <row r="50">
          <cell r="A50" t="str">
            <v>EXTENDED STAY AMERICA</v>
          </cell>
          <cell r="B50">
            <v>255</v>
          </cell>
          <cell r="C50">
            <v>28670</v>
          </cell>
          <cell r="D50" t="str">
            <v>ESA</v>
          </cell>
        </row>
        <row r="51">
          <cell r="A51" t="str">
            <v>FAIRFIELD INN</v>
          </cell>
          <cell r="B51">
            <v>440</v>
          </cell>
          <cell r="C51">
            <v>41771</v>
          </cell>
          <cell r="D51" t="str">
            <v>MARRIOTT</v>
          </cell>
        </row>
        <row r="52">
          <cell r="A52" t="str">
            <v>FAIRMONT HOTEL</v>
          </cell>
          <cell r="B52">
            <v>10</v>
          </cell>
          <cell r="C52">
            <v>5576</v>
          </cell>
        </row>
        <row r="53">
          <cell r="A53" t="str">
            <v>FAMILY INNS OF AMERICA</v>
          </cell>
          <cell r="B53">
            <v>24</v>
          </cell>
          <cell r="C53">
            <v>2102</v>
          </cell>
        </row>
        <row r="54">
          <cell r="A54" t="str">
            <v>FOUR POINTS</v>
          </cell>
          <cell r="B54">
            <v>107</v>
          </cell>
          <cell r="C54">
            <v>21161</v>
          </cell>
          <cell r="D54" t="str">
            <v>STARWOOD</v>
          </cell>
        </row>
        <row r="55">
          <cell r="A55" t="str">
            <v>FOUR SEASONS</v>
          </cell>
          <cell r="B55">
            <v>23</v>
          </cell>
          <cell r="C55">
            <v>7222</v>
          </cell>
        </row>
        <row r="56">
          <cell r="A56" t="str">
            <v>FRIENDSHIP INN</v>
          </cell>
          <cell r="B56">
            <v>8</v>
          </cell>
          <cell r="C56">
            <v>316</v>
          </cell>
        </row>
        <row r="57">
          <cell r="A57" t="str">
            <v>GARDEN INN</v>
          </cell>
          <cell r="B57">
            <v>86</v>
          </cell>
          <cell r="C57">
            <v>12179</v>
          </cell>
          <cell r="D57" t="str">
            <v>HILTON</v>
          </cell>
        </row>
        <row r="58">
          <cell r="A58" t="str">
            <v>GARDEN PLAZA</v>
          </cell>
          <cell r="B58">
            <v>4</v>
          </cell>
          <cell r="C58">
            <v>691</v>
          </cell>
        </row>
        <row r="59">
          <cell r="A59" t="str">
            <v>GOLDEN TULIP</v>
          </cell>
          <cell r="B59">
            <v>3</v>
          </cell>
          <cell r="C59">
            <v>270</v>
          </cell>
        </row>
        <row r="60">
          <cell r="A60" t="str">
            <v>GOOD NITE INN</v>
          </cell>
          <cell r="B60">
            <v>13</v>
          </cell>
          <cell r="C60">
            <v>1614</v>
          </cell>
        </row>
        <row r="61">
          <cell r="A61" t="str">
            <v>GREAT WESTERN</v>
          </cell>
          <cell r="B61">
            <v>6</v>
          </cell>
          <cell r="C61">
            <v>267</v>
          </cell>
        </row>
        <row r="62">
          <cell r="A62" t="str">
            <v>GUESTHOUSE INNS</v>
          </cell>
          <cell r="B62">
            <v>57</v>
          </cell>
          <cell r="C62">
            <v>4251</v>
          </cell>
        </row>
        <row r="63">
          <cell r="A63" t="str">
            <v>HA' PENNY</v>
          </cell>
          <cell r="B63">
            <v>5</v>
          </cell>
          <cell r="C63">
            <v>454</v>
          </cell>
        </row>
        <row r="64">
          <cell r="A64" t="str">
            <v>HAMPTON INN</v>
          </cell>
          <cell r="B64">
            <v>975</v>
          </cell>
          <cell r="C64">
            <v>99233</v>
          </cell>
          <cell r="D64" t="str">
            <v>HILTON</v>
          </cell>
        </row>
        <row r="65">
          <cell r="A65" t="str">
            <v>HAMPTON INN SUITES</v>
          </cell>
          <cell r="B65">
            <v>86</v>
          </cell>
          <cell r="C65">
            <v>10372</v>
          </cell>
          <cell r="D65" t="str">
            <v>HILTON</v>
          </cell>
        </row>
        <row r="66">
          <cell r="A66" t="str">
            <v>HARLEY HOTEL</v>
          </cell>
          <cell r="B66">
            <v>2</v>
          </cell>
          <cell r="C66">
            <v>300</v>
          </cell>
        </row>
        <row r="67">
          <cell r="A67" t="str">
            <v>HARRAH'S</v>
          </cell>
          <cell r="B67">
            <v>9</v>
          </cell>
          <cell r="C67">
            <v>6032</v>
          </cell>
        </row>
        <row r="68">
          <cell r="A68" t="str">
            <v>HARVEY HOTEL</v>
          </cell>
          <cell r="B68">
            <v>6</v>
          </cell>
          <cell r="C68">
            <v>2253</v>
          </cell>
        </row>
        <row r="69">
          <cell r="A69" t="str">
            <v>HAWTHORN INN &amp; SUITES</v>
          </cell>
          <cell r="B69">
            <v>36</v>
          </cell>
          <cell r="C69">
            <v>2502</v>
          </cell>
          <cell r="D69" t="str">
            <v>USFS</v>
          </cell>
        </row>
        <row r="70">
          <cell r="A70" t="str">
            <v>HAWTHORN SUITES</v>
          </cell>
          <cell r="B70">
            <v>106</v>
          </cell>
          <cell r="C70">
            <v>11295</v>
          </cell>
          <cell r="D70" t="str">
            <v>USFS</v>
          </cell>
        </row>
        <row r="71">
          <cell r="A71" t="str">
            <v>HEARTLAND</v>
          </cell>
          <cell r="B71">
            <v>19</v>
          </cell>
          <cell r="C71">
            <v>1624</v>
          </cell>
        </row>
        <row r="72">
          <cell r="A72" t="str">
            <v>HELMSLEY HOTEL</v>
          </cell>
          <cell r="B72">
            <v>6</v>
          </cell>
          <cell r="C72">
            <v>2203</v>
          </cell>
        </row>
        <row r="73">
          <cell r="A73" t="str">
            <v>HILTON</v>
          </cell>
          <cell r="B73">
            <v>59</v>
          </cell>
          <cell r="C73">
            <v>40294</v>
          </cell>
          <cell r="D73" t="str">
            <v>HILTON</v>
          </cell>
        </row>
        <row r="74">
          <cell r="A74" t="str">
            <v>HILTON GAMING</v>
          </cell>
          <cell r="B74">
            <v>9</v>
          </cell>
          <cell r="C74">
            <v>15803</v>
          </cell>
          <cell r="D74" t="str">
            <v>HILTON</v>
          </cell>
        </row>
        <row r="75">
          <cell r="A75" t="str">
            <v>HILTON INN</v>
          </cell>
          <cell r="B75">
            <v>158</v>
          </cell>
          <cell r="C75">
            <v>41529</v>
          </cell>
          <cell r="D75" t="str">
            <v>HILTON</v>
          </cell>
        </row>
        <row r="76">
          <cell r="A76" t="str">
            <v>HOLIDAY INN</v>
          </cell>
          <cell r="B76">
            <v>989</v>
          </cell>
          <cell r="C76">
            <v>185775</v>
          </cell>
          <cell r="D76" t="str">
            <v>BASS</v>
          </cell>
        </row>
        <row r="77">
          <cell r="A77" t="str">
            <v>HOLIDAY INN EXPRESS</v>
          </cell>
          <cell r="B77">
            <v>1023</v>
          </cell>
          <cell r="C77">
            <v>79631</v>
          </cell>
          <cell r="D77" t="str">
            <v>BASS</v>
          </cell>
        </row>
        <row r="78">
          <cell r="A78" t="str">
            <v>HOLIDAY INN SELECT</v>
          </cell>
          <cell r="B78">
            <v>74</v>
          </cell>
          <cell r="C78">
            <v>19138</v>
          </cell>
          <cell r="D78" t="str">
            <v>BASS</v>
          </cell>
        </row>
        <row r="79">
          <cell r="A79" t="str">
            <v>HOMEGATE</v>
          </cell>
          <cell r="B79">
            <v>6</v>
          </cell>
          <cell r="C79">
            <v>791</v>
          </cell>
        </row>
        <row r="80">
          <cell r="A80" t="str">
            <v>HOMESTEAD</v>
          </cell>
          <cell r="B80">
            <v>135</v>
          </cell>
          <cell r="C80">
            <v>17988</v>
          </cell>
        </row>
        <row r="81">
          <cell r="A81" t="str">
            <v>HOMETOWN INN</v>
          </cell>
          <cell r="B81">
            <v>5</v>
          </cell>
          <cell r="C81">
            <v>393</v>
          </cell>
        </row>
        <row r="82">
          <cell r="A82" t="str">
            <v>HOMEWOOD SUITES</v>
          </cell>
          <cell r="B82">
            <v>94</v>
          </cell>
          <cell r="C82">
            <v>10517</v>
          </cell>
          <cell r="D82" t="str">
            <v>HILTON</v>
          </cell>
        </row>
        <row r="83">
          <cell r="A83" t="str">
            <v>HOTEL NOVOTEL</v>
          </cell>
          <cell r="B83">
            <v>3</v>
          </cell>
          <cell r="C83">
            <v>873</v>
          </cell>
        </row>
        <row r="84">
          <cell r="A84" t="str">
            <v>HOTEL SOFITEL</v>
          </cell>
          <cell r="B84">
            <v>9</v>
          </cell>
          <cell r="C84">
            <v>2777</v>
          </cell>
        </row>
        <row r="85">
          <cell r="A85" t="str">
            <v>HOWARD JOHNSON</v>
          </cell>
          <cell r="B85">
            <v>251</v>
          </cell>
          <cell r="C85">
            <v>30512</v>
          </cell>
          <cell r="D85" t="str">
            <v>CENDANT</v>
          </cell>
        </row>
        <row r="86">
          <cell r="A86" t="str">
            <v>HOWARD JOHNSON EXPRESS I</v>
          </cell>
          <cell r="B86">
            <v>189</v>
          </cell>
          <cell r="C86">
            <v>12828</v>
          </cell>
          <cell r="D86" t="str">
            <v>CENDANT</v>
          </cell>
        </row>
        <row r="87">
          <cell r="A87" t="str">
            <v>HYATT</v>
          </cell>
          <cell r="B87">
            <v>112</v>
          </cell>
          <cell r="C87">
            <v>55557</v>
          </cell>
        </row>
        <row r="88">
          <cell r="A88" t="str">
            <v>IMPERIAL INNS</v>
          </cell>
          <cell r="B88">
            <v>4</v>
          </cell>
          <cell r="C88">
            <v>124</v>
          </cell>
        </row>
        <row r="89">
          <cell r="A89" t="str">
            <v>INN TOWN SUITES</v>
          </cell>
          <cell r="B89">
            <v>16</v>
          </cell>
          <cell r="C89">
            <v>2173</v>
          </cell>
        </row>
        <row r="90">
          <cell r="A90" t="str">
            <v>INNCAL</v>
          </cell>
          <cell r="B90">
            <v>2</v>
          </cell>
          <cell r="C90">
            <v>195</v>
          </cell>
        </row>
        <row r="91">
          <cell r="A91" t="str">
            <v>INNKEEPER</v>
          </cell>
          <cell r="B91">
            <v>20</v>
          </cell>
          <cell r="C91">
            <v>1692</v>
          </cell>
        </row>
        <row r="92">
          <cell r="A92" t="str">
            <v>INNS OF AMERICA</v>
          </cell>
          <cell r="B92">
            <v>9</v>
          </cell>
          <cell r="C92">
            <v>1083</v>
          </cell>
        </row>
        <row r="93">
          <cell r="A93" t="str">
            <v>INNSUITES HOTELS</v>
          </cell>
          <cell r="B93">
            <v>12</v>
          </cell>
          <cell r="C93">
            <v>1949</v>
          </cell>
        </row>
        <row r="94">
          <cell r="A94" t="str">
            <v>INTER-CONTINENTAL</v>
          </cell>
          <cell r="B94">
            <v>12</v>
          </cell>
          <cell r="C94">
            <v>4839</v>
          </cell>
          <cell r="D94" t="str">
            <v>BASS</v>
          </cell>
        </row>
        <row r="95">
          <cell r="A95" t="str">
            <v>INTERSTATE INN</v>
          </cell>
          <cell r="B95">
            <v>11</v>
          </cell>
          <cell r="C95">
            <v>554</v>
          </cell>
        </row>
        <row r="96">
          <cell r="A96" t="str">
            <v>JAMESON INN</v>
          </cell>
          <cell r="B96">
            <v>104</v>
          </cell>
          <cell r="C96">
            <v>5306</v>
          </cell>
        </row>
        <row r="97">
          <cell r="A97" t="str">
            <v>JOLLY HOTELS</v>
          </cell>
          <cell r="B97">
            <v>1</v>
          </cell>
          <cell r="C97">
            <v>216</v>
          </cell>
        </row>
        <row r="98">
          <cell r="A98" t="str">
            <v>KEY WEST INN</v>
          </cell>
          <cell r="B98">
            <v>17</v>
          </cell>
          <cell r="C98">
            <v>845</v>
          </cell>
        </row>
        <row r="99">
          <cell r="A99" t="str">
            <v>KEY WEST INNS &amp; SUITES</v>
          </cell>
          <cell r="B99">
            <v>2</v>
          </cell>
          <cell r="C99">
            <v>171</v>
          </cell>
        </row>
        <row r="100">
          <cell r="A100" t="str">
            <v>KINGS INN</v>
          </cell>
          <cell r="B100">
            <v>3</v>
          </cell>
          <cell r="C100">
            <v>248</v>
          </cell>
        </row>
        <row r="101">
          <cell r="A101" t="str">
            <v>KNIGHTS INN</v>
          </cell>
          <cell r="B101">
            <v>244</v>
          </cell>
          <cell r="C101">
            <v>19466</v>
          </cell>
          <cell r="D101" t="str">
            <v>CENDANT</v>
          </cell>
        </row>
        <row r="102">
          <cell r="A102" t="str">
            <v>LA QUINTA</v>
          </cell>
          <cell r="B102">
            <v>299</v>
          </cell>
          <cell r="C102">
            <v>38767</v>
          </cell>
        </row>
        <row r="103">
          <cell r="A103" t="str">
            <v>LE MERIDIEN</v>
          </cell>
          <cell r="B103">
            <v>5</v>
          </cell>
          <cell r="C103">
            <v>2217</v>
          </cell>
        </row>
        <row r="104">
          <cell r="A104" t="str">
            <v>LEE'S INN OF AMERICA</v>
          </cell>
          <cell r="B104">
            <v>19</v>
          </cell>
          <cell r="C104">
            <v>1495</v>
          </cell>
        </row>
        <row r="105">
          <cell r="A105" t="str">
            <v>LEXINGTON HOTEL SUITES</v>
          </cell>
          <cell r="B105">
            <v>7</v>
          </cell>
          <cell r="C105">
            <v>1073</v>
          </cell>
        </row>
        <row r="106">
          <cell r="A106" t="str">
            <v>LITTLE AMERICA</v>
          </cell>
          <cell r="B106">
            <v>5</v>
          </cell>
          <cell r="C106">
            <v>2053</v>
          </cell>
        </row>
        <row r="107">
          <cell r="A107" t="str">
            <v>LOEWS</v>
          </cell>
          <cell r="B107">
            <v>14</v>
          </cell>
          <cell r="C107">
            <v>5971</v>
          </cell>
        </row>
        <row r="108">
          <cell r="A108" t="str">
            <v>LUXURY COLLECTION</v>
          </cell>
          <cell r="B108">
            <v>14</v>
          </cell>
          <cell r="C108">
            <v>4731</v>
          </cell>
        </row>
        <row r="109">
          <cell r="A109" t="str">
            <v>MAINSTAY SUITES</v>
          </cell>
          <cell r="B109">
            <v>34</v>
          </cell>
          <cell r="C109">
            <v>3098</v>
          </cell>
          <cell r="D109" t="str">
            <v>CHOICE</v>
          </cell>
        </row>
        <row r="110">
          <cell r="A110" t="str">
            <v>MARC</v>
          </cell>
          <cell r="B110">
            <v>17</v>
          </cell>
          <cell r="C110">
            <v>2430</v>
          </cell>
        </row>
        <row r="111">
          <cell r="A111" t="str">
            <v>MARRIOTT</v>
          </cell>
          <cell r="B111">
            <v>256</v>
          </cell>
          <cell r="C111">
            <v>107635</v>
          </cell>
          <cell r="D111" t="str">
            <v>MARRIOTT</v>
          </cell>
        </row>
        <row r="112">
          <cell r="A112" t="str">
            <v>MARRIOTT CONFERENCE CENT</v>
          </cell>
          <cell r="B112">
            <v>15</v>
          </cell>
          <cell r="C112">
            <v>3422</v>
          </cell>
        </row>
        <row r="113">
          <cell r="A113" t="str">
            <v>MARRIOTT INTERNATIONAL</v>
          </cell>
          <cell r="B113">
            <v>3</v>
          </cell>
          <cell r="C113">
            <v>1461</v>
          </cell>
        </row>
        <row r="114">
          <cell r="A114" t="str">
            <v>MASTER HOSTS INN</v>
          </cell>
          <cell r="B114">
            <v>2</v>
          </cell>
          <cell r="C114">
            <v>468</v>
          </cell>
        </row>
        <row r="115">
          <cell r="A115" t="str">
            <v>MASTERS INN</v>
          </cell>
          <cell r="B115">
            <v>30</v>
          </cell>
          <cell r="C115">
            <v>3588</v>
          </cell>
        </row>
        <row r="116">
          <cell r="A116" t="str">
            <v>MCINTOSH MOTOR INN</v>
          </cell>
          <cell r="B116">
            <v>14</v>
          </cell>
          <cell r="C116">
            <v>1572</v>
          </cell>
        </row>
        <row r="117">
          <cell r="A117" t="str">
            <v>MICROTEL INN</v>
          </cell>
          <cell r="B117">
            <v>217</v>
          </cell>
          <cell r="C117">
            <v>15916</v>
          </cell>
          <cell r="D117" t="str">
            <v>USFS</v>
          </cell>
        </row>
        <row r="118">
          <cell r="A118" t="str">
            <v>MILLENNIUM HOTELS</v>
          </cell>
          <cell r="B118">
            <v>1</v>
          </cell>
          <cell r="C118">
            <v>752</v>
          </cell>
        </row>
        <row r="119">
          <cell r="A119" t="str">
            <v>MOTEL 6</v>
          </cell>
          <cell r="B119">
            <v>799</v>
          </cell>
          <cell r="C119">
            <v>84852</v>
          </cell>
        </row>
        <row r="120">
          <cell r="A120" t="str">
            <v>MOTEL ORLEANS</v>
          </cell>
          <cell r="B120">
            <v>5</v>
          </cell>
          <cell r="C120">
            <v>354</v>
          </cell>
        </row>
        <row r="121">
          <cell r="A121" t="str">
            <v>NATIONAL 9</v>
          </cell>
          <cell r="B121">
            <v>52</v>
          </cell>
          <cell r="C121">
            <v>1964</v>
          </cell>
        </row>
        <row r="122">
          <cell r="A122" t="str">
            <v>NENDELS</v>
          </cell>
          <cell r="B122">
            <v>11</v>
          </cell>
          <cell r="C122">
            <v>706</v>
          </cell>
        </row>
        <row r="123">
          <cell r="A123" t="str">
            <v>NEW OTANI HOTELS, THE</v>
          </cell>
          <cell r="B123">
            <v>2</v>
          </cell>
          <cell r="C123">
            <v>559</v>
          </cell>
        </row>
        <row r="124">
          <cell r="A124" t="str">
            <v>NIKKO</v>
          </cell>
          <cell r="B124">
            <v>1</v>
          </cell>
          <cell r="C124">
            <v>532</v>
          </cell>
        </row>
        <row r="125">
          <cell r="A125" t="str">
            <v>OHANA HOTELS</v>
          </cell>
          <cell r="B125">
            <v>13</v>
          </cell>
          <cell r="C125">
            <v>4194</v>
          </cell>
        </row>
        <row r="126">
          <cell r="A126" t="str">
            <v>OMNI</v>
          </cell>
          <cell r="B126">
            <v>34</v>
          </cell>
          <cell r="C126">
            <v>11826</v>
          </cell>
        </row>
        <row r="127">
          <cell r="A127" t="str">
            <v>OUTRIGGER</v>
          </cell>
          <cell r="B127">
            <v>11</v>
          </cell>
          <cell r="C127">
            <v>3791</v>
          </cell>
        </row>
        <row r="128">
          <cell r="A128" t="str">
            <v>PAN PACIFIC HOTELS AND R</v>
          </cell>
          <cell r="B128">
            <v>2</v>
          </cell>
          <cell r="C128">
            <v>680</v>
          </cell>
        </row>
        <row r="129">
          <cell r="A129" t="str">
            <v>PARK INN</v>
          </cell>
          <cell r="B129">
            <v>23</v>
          </cell>
          <cell r="C129">
            <v>2222</v>
          </cell>
        </row>
        <row r="130">
          <cell r="A130" t="str">
            <v>PARK INN SUITE HOTEL</v>
          </cell>
          <cell r="B130">
            <v>1</v>
          </cell>
          <cell r="C130">
            <v>163</v>
          </cell>
        </row>
        <row r="131">
          <cell r="A131" t="str">
            <v>PARK PLAZA</v>
          </cell>
          <cell r="B131">
            <v>4</v>
          </cell>
          <cell r="C131">
            <v>896</v>
          </cell>
        </row>
        <row r="132">
          <cell r="A132" t="str">
            <v>PASSPORT INN</v>
          </cell>
          <cell r="B132">
            <v>9</v>
          </cell>
          <cell r="C132">
            <v>394</v>
          </cell>
        </row>
        <row r="133">
          <cell r="A133" t="str">
            <v>PEAR TREE INN</v>
          </cell>
          <cell r="B133">
            <v>10</v>
          </cell>
          <cell r="C133">
            <v>980</v>
          </cell>
        </row>
        <row r="134">
          <cell r="A134" t="str">
            <v>PREFERRED</v>
          </cell>
          <cell r="B134">
            <v>67</v>
          </cell>
          <cell r="C134">
            <v>14063</v>
          </cell>
        </row>
        <row r="135">
          <cell r="A135" t="str">
            <v>QUALITY</v>
          </cell>
          <cell r="B135">
            <v>426</v>
          </cell>
          <cell r="C135">
            <v>48069</v>
          </cell>
          <cell r="D135" t="str">
            <v>CHOICE</v>
          </cell>
        </row>
        <row r="136">
          <cell r="A136" t="str">
            <v>QUALITY SUITES</v>
          </cell>
          <cell r="B136">
            <v>36</v>
          </cell>
          <cell r="C136">
            <v>4053</v>
          </cell>
          <cell r="D136" t="str">
            <v>CHOICE</v>
          </cell>
        </row>
        <row r="137">
          <cell r="A137" t="str">
            <v>RADISSON</v>
          </cell>
          <cell r="B137">
            <v>236</v>
          </cell>
          <cell r="C137">
            <v>57054</v>
          </cell>
        </row>
        <row r="138">
          <cell r="A138" t="str">
            <v>RAMADA</v>
          </cell>
          <cell r="B138">
            <v>642</v>
          </cell>
          <cell r="C138">
            <v>97450</v>
          </cell>
          <cell r="D138" t="str">
            <v>CENDANT</v>
          </cell>
        </row>
        <row r="139">
          <cell r="A139" t="str">
            <v>RAMADA LIMITED</v>
          </cell>
          <cell r="B139">
            <v>365</v>
          </cell>
          <cell r="C139">
            <v>26848</v>
          </cell>
          <cell r="D139" t="str">
            <v>CENDANT</v>
          </cell>
        </row>
        <row r="140">
          <cell r="A140" t="str">
            <v>RAPHAEL HOTEL</v>
          </cell>
          <cell r="B140">
            <v>2</v>
          </cell>
          <cell r="C140">
            <v>295</v>
          </cell>
        </row>
        <row r="141">
          <cell r="A141" t="str">
            <v>RED CARPET INN</v>
          </cell>
          <cell r="B141">
            <v>94</v>
          </cell>
          <cell r="C141">
            <v>6289</v>
          </cell>
        </row>
        <row r="142">
          <cell r="A142" t="str">
            <v>RED LION</v>
          </cell>
          <cell r="B142">
            <v>32</v>
          </cell>
          <cell r="C142">
            <v>5359</v>
          </cell>
          <cell r="D142" t="str">
            <v>HILTON</v>
          </cell>
        </row>
        <row r="143">
          <cell r="A143" t="str">
            <v>RED ROOF INN</v>
          </cell>
          <cell r="B143">
            <v>354</v>
          </cell>
          <cell r="C143">
            <v>39500</v>
          </cell>
        </row>
        <row r="144">
          <cell r="A144" t="str">
            <v>REGAL</v>
          </cell>
          <cell r="B144">
            <v>12</v>
          </cell>
          <cell r="C144">
            <v>4852</v>
          </cell>
        </row>
        <row r="145">
          <cell r="A145" t="str">
            <v>RELAX INN</v>
          </cell>
          <cell r="B145">
            <v>2</v>
          </cell>
          <cell r="C145">
            <v>129</v>
          </cell>
        </row>
        <row r="146">
          <cell r="A146" t="str">
            <v>RENAISSANCE</v>
          </cell>
          <cell r="B146">
            <v>47</v>
          </cell>
          <cell r="C146">
            <v>19475</v>
          </cell>
          <cell r="D146" t="str">
            <v>MARRIOTT</v>
          </cell>
        </row>
        <row r="147">
          <cell r="A147" t="str">
            <v>RESIDENCE INN</v>
          </cell>
          <cell r="B147">
            <v>345</v>
          </cell>
          <cell r="C147">
            <v>40122</v>
          </cell>
          <cell r="D147" t="str">
            <v>MARRIOTT</v>
          </cell>
        </row>
        <row r="148">
          <cell r="A148" t="str">
            <v>RITZ-CARLTON</v>
          </cell>
          <cell r="B148">
            <v>21</v>
          </cell>
          <cell r="C148">
            <v>7614</v>
          </cell>
          <cell r="D148" t="str">
            <v>MARRIOTT</v>
          </cell>
        </row>
        <row r="149">
          <cell r="A149" t="str">
            <v>ROADSTAR INN</v>
          </cell>
          <cell r="B149">
            <v>7</v>
          </cell>
          <cell r="C149">
            <v>576</v>
          </cell>
        </row>
        <row r="150">
          <cell r="A150" t="str">
            <v>RODEWAY INN</v>
          </cell>
          <cell r="B150">
            <v>166</v>
          </cell>
          <cell r="C150">
            <v>10680</v>
          </cell>
          <cell r="D150" t="str">
            <v>CHOICE</v>
          </cell>
        </row>
        <row r="151">
          <cell r="A151" t="str">
            <v>ROMANTIK HOTEL</v>
          </cell>
          <cell r="B151">
            <v>3</v>
          </cell>
          <cell r="C151">
            <v>77</v>
          </cell>
        </row>
        <row r="152">
          <cell r="A152" t="str">
            <v>SCOTTISH INN</v>
          </cell>
          <cell r="B152">
            <v>122</v>
          </cell>
          <cell r="C152">
            <v>5924</v>
          </cell>
        </row>
        <row r="153">
          <cell r="A153" t="str">
            <v>SELECT INN</v>
          </cell>
          <cell r="B153">
            <v>18</v>
          </cell>
          <cell r="C153">
            <v>1627</v>
          </cell>
        </row>
        <row r="154">
          <cell r="A154" t="str">
            <v>SELECT SUITES</v>
          </cell>
          <cell r="B154">
            <v>5</v>
          </cell>
          <cell r="C154">
            <v>746</v>
          </cell>
        </row>
        <row r="155">
          <cell r="A155" t="str">
            <v>SHERATON HOTEL</v>
          </cell>
          <cell r="B155">
            <v>183</v>
          </cell>
          <cell r="C155">
            <v>66805</v>
          </cell>
          <cell r="D155" t="str">
            <v>STARWOOD</v>
          </cell>
        </row>
        <row r="156">
          <cell r="A156" t="str">
            <v>SHERATON INN</v>
          </cell>
          <cell r="B156">
            <v>12</v>
          </cell>
          <cell r="C156">
            <v>2385</v>
          </cell>
          <cell r="D156" t="str">
            <v>STARWOOD</v>
          </cell>
        </row>
        <row r="157">
          <cell r="A157" t="str">
            <v>SHILO INN</v>
          </cell>
          <cell r="B157">
            <v>46</v>
          </cell>
          <cell r="C157">
            <v>5129</v>
          </cell>
        </row>
        <row r="158">
          <cell r="A158" t="str">
            <v>SHONEY'S INN</v>
          </cell>
          <cell r="B158">
            <v>74</v>
          </cell>
          <cell r="C158">
            <v>6958</v>
          </cell>
        </row>
        <row r="159">
          <cell r="A159" t="str">
            <v>SIERRA SUITES</v>
          </cell>
          <cell r="B159">
            <v>17</v>
          </cell>
          <cell r="C159">
            <v>1864</v>
          </cell>
        </row>
        <row r="160">
          <cell r="A160" t="str">
            <v>SIGNATURE INN</v>
          </cell>
          <cell r="B160">
            <v>26</v>
          </cell>
          <cell r="C160">
            <v>3051</v>
          </cell>
        </row>
        <row r="161">
          <cell r="A161" t="str">
            <v>SLEEP INN</v>
          </cell>
          <cell r="B161">
            <v>264</v>
          </cell>
          <cell r="C161">
            <v>20341</v>
          </cell>
          <cell r="D161" t="str">
            <v>CHOICE</v>
          </cell>
        </row>
        <row r="162">
          <cell r="A162" t="str">
            <v>SONESTA HOTEL</v>
          </cell>
          <cell r="B162">
            <v>4</v>
          </cell>
          <cell r="C162">
            <v>1452</v>
          </cell>
        </row>
        <row r="163">
          <cell r="A163" t="str">
            <v>SPRINGHILL SUITES</v>
          </cell>
          <cell r="B163">
            <v>61</v>
          </cell>
          <cell r="C163">
            <v>6522</v>
          </cell>
          <cell r="D163" t="str">
            <v>MARRIOTT</v>
          </cell>
        </row>
        <row r="164">
          <cell r="A164" t="str">
            <v>STARHOTELS</v>
          </cell>
          <cell r="B164">
            <v>1</v>
          </cell>
          <cell r="C164">
            <v>178</v>
          </cell>
        </row>
        <row r="165">
          <cell r="A165" t="str">
            <v>STAYBRIDGE SUITES</v>
          </cell>
          <cell r="B165">
            <v>23</v>
          </cell>
          <cell r="C165">
            <v>2720</v>
          </cell>
          <cell r="D165" t="str">
            <v>BASS</v>
          </cell>
        </row>
        <row r="166">
          <cell r="A166" t="str">
            <v>STUDIO 6</v>
          </cell>
          <cell r="B166">
            <v>11</v>
          </cell>
          <cell r="C166">
            <v>1253</v>
          </cell>
        </row>
        <row r="167">
          <cell r="A167" t="str">
            <v>STUDIO PLUS</v>
          </cell>
          <cell r="B167">
            <v>99</v>
          </cell>
          <cell r="C167">
            <v>7880</v>
          </cell>
          <cell r="D167" t="str">
            <v>ESA</v>
          </cell>
        </row>
        <row r="168">
          <cell r="A168" t="str">
            <v>SUBURBAN LODGE</v>
          </cell>
          <cell r="B168">
            <v>119</v>
          </cell>
          <cell r="C168">
            <v>16011</v>
          </cell>
        </row>
        <row r="169">
          <cell r="A169" t="str">
            <v>SUMMERFIELD SUITES</v>
          </cell>
          <cell r="B169">
            <v>37</v>
          </cell>
          <cell r="C169">
            <v>5005</v>
          </cell>
          <cell r="D169" t="str">
            <v>WYNDHAM</v>
          </cell>
        </row>
        <row r="170">
          <cell r="A170" t="str">
            <v>SUMNER/AMERISUITE</v>
          </cell>
          <cell r="B170">
            <v>27</v>
          </cell>
          <cell r="C170">
            <v>3297</v>
          </cell>
        </row>
        <row r="171">
          <cell r="A171" t="str">
            <v>SUNSPREE RESORTS</v>
          </cell>
          <cell r="B171">
            <v>19</v>
          </cell>
          <cell r="C171">
            <v>4108</v>
          </cell>
          <cell r="D171" t="str">
            <v>BASS</v>
          </cell>
        </row>
        <row r="172">
          <cell r="A172" t="str">
            <v>SUPER 8</v>
          </cell>
          <cell r="B172">
            <v>1905</v>
          </cell>
          <cell r="C172">
            <v>115951</v>
          </cell>
          <cell r="D172" t="str">
            <v>CENDANT</v>
          </cell>
        </row>
        <row r="173">
          <cell r="A173" t="str">
            <v>SUSSE CHALET</v>
          </cell>
          <cell r="B173">
            <v>30</v>
          </cell>
          <cell r="C173">
            <v>3425</v>
          </cell>
        </row>
        <row r="174">
          <cell r="A174" t="str">
            <v>SWISSOTEL</v>
          </cell>
          <cell r="B174">
            <v>5</v>
          </cell>
          <cell r="C174">
            <v>2238</v>
          </cell>
        </row>
        <row r="175">
          <cell r="A175" t="str">
            <v>THRIFTLODGE</v>
          </cell>
          <cell r="B175">
            <v>16</v>
          </cell>
          <cell r="C175">
            <v>788</v>
          </cell>
          <cell r="D175" t="str">
            <v>CENDANT</v>
          </cell>
        </row>
        <row r="176">
          <cell r="A176" t="str">
            <v>THRIFTY INN</v>
          </cell>
          <cell r="B176">
            <v>2</v>
          </cell>
          <cell r="C176">
            <v>134</v>
          </cell>
        </row>
        <row r="177">
          <cell r="A177" t="str">
            <v>TOWNEPLACE SUITES</v>
          </cell>
          <cell r="B177">
            <v>84</v>
          </cell>
          <cell r="C177">
            <v>8535</v>
          </cell>
          <cell r="D177" t="str">
            <v>MARRIOTT</v>
          </cell>
        </row>
        <row r="178">
          <cell r="A178" t="str">
            <v>TRAVEL INN</v>
          </cell>
          <cell r="B178">
            <v>1</v>
          </cell>
          <cell r="C178">
            <v>28</v>
          </cell>
        </row>
        <row r="179">
          <cell r="A179" t="str">
            <v>TRAVELERS INN</v>
          </cell>
          <cell r="B179">
            <v>14</v>
          </cell>
          <cell r="C179">
            <v>1295</v>
          </cell>
        </row>
        <row r="180">
          <cell r="A180" t="str">
            <v>TRAVELODGE</v>
          </cell>
          <cell r="B180">
            <v>478</v>
          </cell>
          <cell r="C180">
            <v>37143</v>
          </cell>
          <cell r="D180" t="str">
            <v>CENDANT</v>
          </cell>
        </row>
        <row r="181">
          <cell r="A181" t="str">
            <v>USA INN</v>
          </cell>
          <cell r="B181">
            <v>1</v>
          </cell>
          <cell r="C181">
            <v>63</v>
          </cell>
        </row>
        <row r="182">
          <cell r="A182" t="str">
            <v>VAGABOND INN</v>
          </cell>
          <cell r="B182">
            <v>36</v>
          </cell>
          <cell r="C182">
            <v>3055</v>
          </cell>
        </row>
        <row r="183">
          <cell r="A183" t="str">
            <v>VILLAGER LODGE</v>
          </cell>
          <cell r="B183">
            <v>114</v>
          </cell>
          <cell r="C183">
            <v>9733</v>
          </cell>
          <cell r="D183" t="str">
            <v>CENDANT</v>
          </cell>
        </row>
        <row r="184">
          <cell r="A184" t="str">
            <v>W HOTEL</v>
          </cell>
          <cell r="B184">
            <v>14</v>
          </cell>
          <cell r="C184">
            <v>3967</v>
          </cell>
          <cell r="D184" t="str">
            <v>STARWOOD</v>
          </cell>
        </row>
        <row r="185">
          <cell r="A185" t="str">
            <v>WANDLYN INN</v>
          </cell>
          <cell r="B185">
            <v>2</v>
          </cell>
          <cell r="C185">
            <v>167</v>
          </cell>
        </row>
        <row r="186">
          <cell r="A186" t="str">
            <v>WELLESLEY INN</v>
          </cell>
          <cell r="B186">
            <v>29</v>
          </cell>
          <cell r="C186">
            <v>2885</v>
          </cell>
          <cell r="D186" t="str">
            <v>PRIME</v>
          </cell>
        </row>
        <row r="187">
          <cell r="A187" t="str">
            <v>WELLESLEY INN &amp; SUITES</v>
          </cell>
          <cell r="B187">
            <v>39</v>
          </cell>
          <cell r="C187">
            <v>4781</v>
          </cell>
          <cell r="D187" t="str">
            <v>PRIME</v>
          </cell>
        </row>
        <row r="188">
          <cell r="A188" t="str">
            <v>WESTCOAST</v>
          </cell>
          <cell r="B188">
            <v>24</v>
          </cell>
          <cell r="C188">
            <v>5256</v>
          </cell>
        </row>
        <row r="189">
          <cell r="A189" t="str">
            <v>WESTIN</v>
          </cell>
          <cell r="B189">
            <v>60</v>
          </cell>
          <cell r="C189">
            <v>29239</v>
          </cell>
          <cell r="D189" t="str">
            <v>STARWOOD</v>
          </cell>
        </row>
        <row r="190">
          <cell r="A190" t="str">
            <v>WESTMARK</v>
          </cell>
          <cell r="B190">
            <v>10</v>
          </cell>
          <cell r="C190">
            <v>1450</v>
          </cell>
        </row>
        <row r="191">
          <cell r="A191" t="str">
            <v>WILSON</v>
          </cell>
          <cell r="B191">
            <v>8</v>
          </cell>
          <cell r="C191">
            <v>1255</v>
          </cell>
        </row>
        <row r="192">
          <cell r="A192" t="str">
            <v>WINGATE INN</v>
          </cell>
          <cell r="B192">
            <v>93</v>
          </cell>
          <cell r="C192">
            <v>8708</v>
          </cell>
          <cell r="D192" t="str">
            <v>CENDANT</v>
          </cell>
        </row>
        <row r="193">
          <cell r="A193" t="str">
            <v>WOODFIELD SUITES</v>
          </cell>
          <cell r="B193">
            <v>7</v>
          </cell>
          <cell r="C193">
            <v>889</v>
          </cell>
        </row>
        <row r="194">
          <cell r="A194" t="str">
            <v>WOODFIN SUITES</v>
          </cell>
          <cell r="B194">
            <v>8</v>
          </cell>
          <cell r="C194">
            <v>1096</v>
          </cell>
        </row>
        <row r="195">
          <cell r="A195" t="str">
            <v>WYNDHAM</v>
          </cell>
          <cell r="B195">
            <v>51</v>
          </cell>
          <cell r="C195">
            <v>19141</v>
          </cell>
          <cell r="D195" t="str">
            <v>WYNDHAM</v>
          </cell>
        </row>
        <row r="196">
          <cell r="A196" t="str">
            <v>WYNDHAM GARDEN HOTEL</v>
          </cell>
          <cell r="B196">
            <v>43</v>
          </cell>
          <cell r="C196">
            <v>7452</v>
          </cell>
          <cell r="D196" t="str">
            <v>WYNDHAM</v>
          </cell>
        </row>
        <row r="197">
          <cell r="A197" t="str">
            <v>WYNDHAM GRAND BAY</v>
          </cell>
          <cell r="B197">
            <v>4</v>
          </cell>
          <cell r="C197">
            <v>535</v>
          </cell>
          <cell r="D197" t="str">
            <v>WYNDHAM</v>
          </cell>
        </row>
        <row r="198">
          <cell r="A198" t="str">
            <v>WYNDHAM GRAND HERITAGE H</v>
          </cell>
          <cell r="B198">
            <v>11</v>
          </cell>
          <cell r="C198">
            <v>2137</v>
          </cell>
          <cell r="D198" t="str">
            <v>WYNDHAM</v>
          </cell>
        </row>
        <row r="199">
          <cell r="A199" t="str">
            <v>WYNFIELD INN</v>
          </cell>
          <cell r="B199">
            <v>3</v>
          </cell>
          <cell r="C199">
            <v>578</v>
          </cell>
        </row>
      </sheetData>
      <sheetData sheetId="1" refreshError="1"/>
      <sheetData sheetId="2" refreshError="1"/>
      <sheetData sheetId="3" refreshError="1"/>
      <sheetData sheetId="4" refreshError="1">
        <row r="9">
          <cell r="AD9" t="str">
            <v>Anaheim, CA</v>
          </cell>
          <cell r="AE9">
            <v>346</v>
          </cell>
          <cell r="AF9">
            <v>46598</v>
          </cell>
          <cell r="AG9">
            <v>12</v>
          </cell>
          <cell r="AH9">
            <v>3177</v>
          </cell>
          <cell r="AI9">
            <v>8</v>
          </cell>
          <cell r="AJ9">
            <v>2714</v>
          </cell>
          <cell r="AK9">
            <v>20</v>
          </cell>
          <cell r="AL9">
            <v>5891</v>
          </cell>
          <cell r="AM9">
            <v>9</v>
          </cell>
          <cell r="AN9">
            <v>1869</v>
          </cell>
          <cell r="AQ9" t="str">
            <v>Adam's Mark</v>
          </cell>
          <cell r="AR9">
            <v>1</v>
          </cell>
          <cell r="AS9">
            <v>332</v>
          </cell>
          <cell r="AT9">
            <v>2</v>
          </cell>
          <cell r="AU9">
            <v>1266</v>
          </cell>
          <cell r="AV9">
            <v>2</v>
          </cell>
          <cell r="AW9">
            <v>2133</v>
          </cell>
          <cell r="AX9">
            <v>4</v>
          </cell>
          <cell r="AY9">
            <v>3399</v>
          </cell>
          <cell r="AZ9">
            <v>0</v>
          </cell>
          <cell r="BA9">
            <v>0</v>
          </cell>
        </row>
        <row r="10">
          <cell r="AD10" t="str">
            <v>Atlanta, GA</v>
          </cell>
          <cell r="AE10">
            <v>614</v>
          </cell>
          <cell r="AF10">
            <v>82957</v>
          </cell>
          <cell r="AG10">
            <v>19</v>
          </cell>
          <cell r="AH10">
            <v>1661</v>
          </cell>
          <cell r="AI10">
            <v>12</v>
          </cell>
          <cell r="AJ10">
            <v>1106</v>
          </cell>
          <cell r="AK10">
            <v>31</v>
          </cell>
          <cell r="AL10">
            <v>2767</v>
          </cell>
          <cell r="AM10">
            <v>43</v>
          </cell>
          <cell r="AN10">
            <v>6374</v>
          </cell>
          <cell r="AQ10" t="str">
            <v>Americinn</v>
          </cell>
          <cell r="AR10">
            <v>21</v>
          </cell>
          <cell r="AS10">
            <v>1155</v>
          </cell>
          <cell r="AT10">
            <v>5</v>
          </cell>
          <cell r="AU10">
            <v>286</v>
          </cell>
          <cell r="AV10">
            <v>2</v>
          </cell>
          <cell r="AW10">
            <v>119</v>
          </cell>
          <cell r="AX10">
            <v>7</v>
          </cell>
          <cell r="AY10">
            <v>405</v>
          </cell>
          <cell r="AZ10">
            <v>4</v>
          </cell>
          <cell r="BA10">
            <v>238</v>
          </cell>
        </row>
        <row r="11">
          <cell r="AD11" t="str">
            <v>Boston, MA</v>
          </cell>
          <cell r="AE11">
            <v>260</v>
          </cell>
          <cell r="AF11">
            <v>42115</v>
          </cell>
          <cell r="AG11">
            <v>16</v>
          </cell>
          <cell r="AH11">
            <v>2491</v>
          </cell>
          <cell r="AI11">
            <v>18</v>
          </cell>
          <cell r="AJ11">
            <v>4341</v>
          </cell>
          <cell r="AK11">
            <v>34</v>
          </cell>
          <cell r="AL11">
            <v>6832</v>
          </cell>
          <cell r="AM11">
            <v>24</v>
          </cell>
          <cell r="AN11">
            <v>4191</v>
          </cell>
          <cell r="AQ11" t="str">
            <v>AmeriHost Inn</v>
          </cell>
          <cell r="AR11">
            <v>5</v>
          </cell>
          <cell r="AS11">
            <v>316</v>
          </cell>
          <cell r="AT11">
            <v>0</v>
          </cell>
          <cell r="AU11">
            <v>0</v>
          </cell>
          <cell r="AV11">
            <v>5</v>
          </cell>
          <cell r="AW11">
            <v>320</v>
          </cell>
          <cell r="AX11">
            <v>5</v>
          </cell>
          <cell r="AY11">
            <v>320</v>
          </cell>
          <cell r="AZ11">
            <v>13</v>
          </cell>
          <cell r="BA11">
            <v>973</v>
          </cell>
        </row>
        <row r="12">
          <cell r="AD12" t="str">
            <v>Chicago, IL</v>
          </cell>
          <cell r="AE12">
            <v>458</v>
          </cell>
          <cell r="AF12">
            <v>81220</v>
          </cell>
          <cell r="AG12">
            <v>21</v>
          </cell>
          <cell r="AH12">
            <v>3902</v>
          </cell>
          <cell r="AI12">
            <v>16</v>
          </cell>
          <cell r="AJ12">
            <v>3876</v>
          </cell>
          <cell r="AK12">
            <v>37</v>
          </cell>
          <cell r="AL12">
            <v>7778</v>
          </cell>
          <cell r="AM12">
            <v>25</v>
          </cell>
          <cell r="AN12">
            <v>4411</v>
          </cell>
          <cell r="AQ12" t="str">
            <v>AmeriSuites</v>
          </cell>
          <cell r="AR12">
            <v>9</v>
          </cell>
          <cell r="AS12">
            <v>1112</v>
          </cell>
          <cell r="AT12">
            <v>4</v>
          </cell>
          <cell r="AU12">
            <v>596</v>
          </cell>
          <cell r="AV12">
            <v>13</v>
          </cell>
          <cell r="AW12">
            <v>1540</v>
          </cell>
          <cell r="AX12">
            <v>17</v>
          </cell>
          <cell r="AY12">
            <v>2136</v>
          </cell>
          <cell r="AZ12">
            <v>35</v>
          </cell>
          <cell r="BA12">
            <v>3670</v>
          </cell>
        </row>
        <row r="13">
          <cell r="AD13" t="str">
            <v>Dallas, TX</v>
          </cell>
          <cell r="AE13">
            <v>424</v>
          </cell>
          <cell r="AF13">
            <v>61904</v>
          </cell>
          <cell r="AG13">
            <v>14</v>
          </cell>
          <cell r="AH13">
            <v>1929</v>
          </cell>
          <cell r="AI13">
            <v>14</v>
          </cell>
          <cell r="AJ13">
            <v>2506</v>
          </cell>
          <cell r="AK13">
            <v>28</v>
          </cell>
          <cell r="AL13">
            <v>4435</v>
          </cell>
          <cell r="AM13">
            <v>24</v>
          </cell>
          <cell r="AN13">
            <v>3322</v>
          </cell>
          <cell r="AQ13" t="str">
            <v>Baymont Inn</v>
          </cell>
          <cell r="AR13">
            <v>9</v>
          </cell>
          <cell r="AS13">
            <v>736</v>
          </cell>
          <cell r="AT13">
            <v>9</v>
          </cell>
          <cell r="AU13">
            <v>725</v>
          </cell>
          <cell r="AV13">
            <v>5</v>
          </cell>
          <cell r="AW13">
            <v>444</v>
          </cell>
          <cell r="AX13">
            <v>14</v>
          </cell>
          <cell r="AY13">
            <v>1169</v>
          </cell>
          <cell r="AZ13">
            <v>11</v>
          </cell>
          <cell r="BA13">
            <v>986</v>
          </cell>
        </row>
        <row r="14">
          <cell r="AD14" t="str">
            <v>Denver, CO</v>
          </cell>
          <cell r="AE14">
            <v>218</v>
          </cell>
          <cell r="AF14">
            <v>34818</v>
          </cell>
          <cell r="AG14">
            <v>4</v>
          </cell>
          <cell r="AH14">
            <v>321</v>
          </cell>
          <cell r="AI14">
            <v>11</v>
          </cell>
          <cell r="AJ14">
            <v>2459</v>
          </cell>
          <cell r="AK14">
            <v>15</v>
          </cell>
          <cell r="AL14">
            <v>2780</v>
          </cell>
          <cell r="AM14">
            <v>15</v>
          </cell>
          <cell r="AN14">
            <v>2220</v>
          </cell>
          <cell r="AQ14" t="str">
            <v>Best Inn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</row>
        <row r="15">
          <cell r="AD15" t="str">
            <v>Detroit, MI</v>
          </cell>
          <cell r="AE15">
            <v>279</v>
          </cell>
          <cell r="AF15">
            <v>35349</v>
          </cell>
          <cell r="AG15">
            <v>12</v>
          </cell>
          <cell r="AH15">
            <v>1127</v>
          </cell>
          <cell r="AI15">
            <v>12</v>
          </cell>
          <cell r="AJ15">
            <v>1632</v>
          </cell>
          <cell r="AK15">
            <v>24</v>
          </cell>
          <cell r="AL15">
            <v>2759</v>
          </cell>
          <cell r="AM15">
            <v>20</v>
          </cell>
          <cell r="AN15">
            <v>1954</v>
          </cell>
          <cell r="AQ15" t="str">
            <v xml:space="preserve">Best Inn &amp; Suites </v>
          </cell>
          <cell r="AR15">
            <v>2</v>
          </cell>
          <cell r="AS15">
            <v>87</v>
          </cell>
          <cell r="AT15">
            <v>1</v>
          </cell>
          <cell r="AU15">
            <v>29</v>
          </cell>
          <cell r="AV15">
            <v>5</v>
          </cell>
          <cell r="AW15">
            <v>264</v>
          </cell>
          <cell r="AX15">
            <v>6</v>
          </cell>
          <cell r="AY15">
            <v>293</v>
          </cell>
          <cell r="AZ15">
            <v>3</v>
          </cell>
          <cell r="BA15">
            <v>182</v>
          </cell>
        </row>
        <row r="16">
          <cell r="AD16" t="str">
            <v>Houston, TX</v>
          </cell>
          <cell r="AE16">
            <v>375</v>
          </cell>
          <cell r="AF16">
            <v>51594</v>
          </cell>
          <cell r="AG16">
            <v>21</v>
          </cell>
          <cell r="AH16">
            <v>1888</v>
          </cell>
          <cell r="AI16">
            <v>6</v>
          </cell>
          <cell r="AJ16">
            <v>759</v>
          </cell>
          <cell r="AK16">
            <v>27</v>
          </cell>
          <cell r="AL16">
            <v>2647</v>
          </cell>
          <cell r="AM16">
            <v>20</v>
          </cell>
          <cell r="AN16">
            <v>4364</v>
          </cell>
          <cell r="AQ16" t="str">
            <v>Best Western</v>
          </cell>
          <cell r="AR16">
            <v>67</v>
          </cell>
          <cell r="AS16">
            <v>4318</v>
          </cell>
          <cell r="AT16">
            <v>36</v>
          </cell>
          <cell r="AU16">
            <v>2412</v>
          </cell>
          <cell r="AV16">
            <v>4</v>
          </cell>
          <cell r="AW16">
            <v>266</v>
          </cell>
          <cell r="AX16">
            <v>40</v>
          </cell>
          <cell r="AY16">
            <v>2678</v>
          </cell>
          <cell r="AZ16">
            <v>40</v>
          </cell>
          <cell r="BA16">
            <v>2379</v>
          </cell>
        </row>
        <row r="17">
          <cell r="AD17" t="str">
            <v>Los Angeles, CA</v>
          </cell>
          <cell r="AE17">
            <v>679</v>
          </cell>
          <cell r="AF17">
            <v>83718</v>
          </cell>
          <cell r="AG17">
            <v>11</v>
          </cell>
          <cell r="AH17">
            <v>1593</v>
          </cell>
          <cell r="AI17">
            <v>13</v>
          </cell>
          <cell r="AJ17">
            <v>2630</v>
          </cell>
          <cell r="AK17">
            <v>24</v>
          </cell>
          <cell r="AL17">
            <v>4223</v>
          </cell>
          <cell r="AM17">
            <v>12</v>
          </cell>
          <cell r="AN17">
            <v>1585</v>
          </cell>
          <cell r="AQ17" t="str">
            <v>Bradford Homesuites</v>
          </cell>
          <cell r="AR17">
            <v>4</v>
          </cell>
          <cell r="AS17">
            <v>580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</row>
        <row r="18">
          <cell r="AD18" t="str">
            <v>Miami, FL</v>
          </cell>
          <cell r="AE18">
            <v>272</v>
          </cell>
          <cell r="AF18">
            <v>43547</v>
          </cell>
          <cell r="AG18">
            <v>11</v>
          </cell>
          <cell r="AH18">
            <v>2605</v>
          </cell>
          <cell r="AI18">
            <v>5</v>
          </cell>
          <cell r="AJ18">
            <v>625</v>
          </cell>
          <cell r="AK18">
            <v>16</v>
          </cell>
          <cell r="AL18">
            <v>3230</v>
          </cell>
          <cell r="AM18">
            <v>16</v>
          </cell>
          <cell r="AN18">
            <v>2192</v>
          </cell>
          <cell r="AQ18" t="str">
            <v>Budget Host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1</v>
          </cell>
          <cell r="BA18">
            <v>120</v>
          </cell>
        </row>
        <row r="19">
          <cell r="AD19" t="str">
            <v>Minneapolis, MN</v>
          </cell>
          <cell r="AE19">
            <v>233</v>
          </cell>
          <cell r="AF19">
            <v>31550</v>
          </cell>
          <cell r="AG19">
            <v>6</v>
          </cell>
          <cell r="AH19">
            <v>787</v>
          </cell>
          <cell r="AI19">
            <v>7</v>
          </cell>
          <cell r="AJ19">
            <v>894</v>
          </cell>
          <cell r="AK19">
            <v>13</v>
          </cell>
          <cell r="AL19">
            <v>1681</v>
          </cell>
          <cell r="AM19">
            <v>18</v>
          </cell>
          <cell r="AN19">
            <v>2215</v>
          </cell>
          <cell r="AQ19" t="str">
            <v>Budget Suites of America</v>
          </cell>
          <cell r="AR19">
            <v>3</v>
          </cell>
          <cell r="AS19">
            <v>934</v>
          </cell>
          <cell r="AT19">
            <v>0</v>
          </cell>
          <cell r="AU19">
            <v>0</v>
          </cell>
          <cell r="AV19">
            <v>1</v>
          </cell>
          <cell r="AW19">
            <v>432</v>
          </cell>
          <cell r="AX19">
            <v>1</v>
          </cell>
          <cell r="AY19">
            <v>432</v>
          </cell>
          <cell r="AZ19">
            <v>3</v>
          </cell>
          <cell r="BA19">
            <v>784</v>
          </cell>
        </row>
        <row r="20">
          <cell r="AD20" t="str">
            <v>Nashville, TN</v>
          </cell>
          <cell r="AE20">
            <v>252</v>
          </cell>
          <cell r="AF20">
            <v>31435</v>
          </cell>
          <cell r="AG20">
            <v>8</v>
          </cell>
          <cell r="AH20">
            <v>1262</v>
          </cell>
          <cell r="AI20">
            <v>7</v>
          </cell>
          <cell r="AJ20">
            <v>564</v>
          </cell>
          <cell r="AK20">
            <v>15</v>
          </cell>
          <cell r="AL20">
            <v>1826</v>
          </cell>
          <cell r="AM20">
            <v>11</v>
          </cell>
          <cell r="AN20">
            <v>1137</v>
          </cell>
          <cell r="AQ20" t="str">
            <v>Candlewood Suites</v>
          </cell>
          <cell r="AR20">
            <v>13</v>
          </cell>
          <cell r="AS20">
            <v>1725</v>
          </cell>
          <cell r="AT20">
            <v>10</v>
          </cell>
          <cell r="AU20">
            <v>1124</v>
          </cell>
          <cell r="AV20">
            <v>6</v>
          </cell>
          <cell r="AW20">
            <v>598</v>
          </cell>
          <cell r="AX20">
            <v>16</v>
          </cell>
          <cell r="AY20">
            <v>1722</v>
          </cell>
          <cell r="AZ20">
            <v>26</v>
          </cell>
          <cell r="BA20">
            <v>2862</v>
          </cell>
        </row>
        <row r="21">
          <cell r="AD21" t="str">
            <v>New Orleans, LA</v>
          </cell>
          <cell r="AE21">
            <v>179</v>
          </cell>
          <cell r="AF21">
            <v>30755</v>
          </cell>
          <cell r="AG21">
            <v>13</v>
          </cell>
          <cell r="AH21">
            <v>1924</v>
          </cell>
          <cell r="AI21">
            <v>5</v>
          </cell>
          <cell r="AJ21">
            <v>480</v>
          </cell>
          <cell r="AK21">
            <v>18</v>
          </cell>
          <cell r="AL21">
            <v>2404</v>
          </cell>
          <cell r="AM21">
            <v>17</v>
          </cell>
          <cell r="AN21">
            <v>3052</v>
          </cell>
          <cell r="AQ21" t="str">
            <v>Clarion</v>
          </cell>
          <cell r="AR21">
            <v>1</v>
          </cell>
          <cell r="AS21">
            <v>72</v>
          </cell>
          <cell r="AT21">
            <v>2</v>
          </cell>
          <cell r="AU21">
            <v>369</v>
          </cell>
          <cell r="AV21">
            <v>2</v>
          </cell>
          <cell r="AW21">
            <v>187</v>
          </cell>
          <cell r="AX21">
            <v>4</v>
          </cell>
          <cell r="AY21">
            <v>556</v>
          </cell>
          <cell r="AZ21">
            <v>4</v>
          </cell>
          <cell r="BA21">
            <v>290</v>
          </cell>
        </row>
        <row r="22">
          <cell r="AD22" t="str">
            <v>New York, NY</v>
          </cell>
          <cell r="AE22">
            <v>277</v>
          </cell>
          <cell r="AF22">
            <v>75608</v>
          </cell>
          <cell r="AG22">
            <v>12</v>
          </cell>
          <cell r="AH22">
            <v>3079</v>
          </cell>
          <cell r="AI22">
            <v>5</v>
          </cell>
          <cell r="AJ22">
            <v>550</v>
          </cell>
          <cell r="AK22">
            <v>17</v>
          </cell>
          <cell r="AL22">
            <v>3629</v>
          </cell>
          <cell r="AM22">
            <v>14</v>
          </cell>
          <cell r="AN22">
            <v>2537</v>
          </cell>
          <cell r="AQ22" t="str">
            <v>Club Hotel by Doubletree</v>
          </cell>
          <cell r="AR22">
            <v>1</v>
          </cell>
          <cell r="AS22">
            <v>268</v>
          </cell>
          <cell r="AT22">
            <v>1</v>
          </cell>
          <cell r="AU22">
            <v>100</v>
          </cell>
          <cell r="AV22">
            <v>1</v>
          </cell>
          <cell r="AW22">
            <v>150</v>
          </cell>
          <cell r="AX22">
            <v>2</v>
          </cell>
          <cell r="AY22">
            <v>250</v>
          </cell>
          <cell r="AZ22">
            <v>1</v>
          </cell>
          <cell r="BA22">
            <v>106</v>
          </cell>
        </row>
        <row r="23">
          <cell r="AD23" t="str">
            <v>Norfolk, VA</v>
          </cell>
          <cell r="AE23">
            <v>310</v>
          </cell>
          <cell r="AF23">
            <v>34697</v>
          </cell>
          <cell r="AG23">
            <v>4</v>
          </cell>
          <cell r="AH23">
            <v>668</v>
          </cell>
          <cell r="AI23">
            <v>3</v>
          </cell>
          <cell r="AJ23">
            <v>239</v>
          </cell>
          <cell r="AK23">
            <v>7</v>
          </cell>
          <cell r="AL23">
            <v>907</v>
          </cell>
          <cell r="AM23">
            <v>12</v>
          </cell>
          <cell r="AN23">
            <v>1634</v>
          </cell>
          <cell r="AQ23" t="str">
            <v>ClubHouse Inn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1</v>
          </cell>
          <cell r="AW23">
            <v>80</v>
          </cell>
          <cell r="AX23">
            <v>1</v>
          </cell>
          <cell r="AY23">
            <v>80</v>
          </cell>
          <cell r="AZ23">
            <v>0</v>
          </cell>
          <cell r="BA23">
            <v>0</v>
          </cell>
        </row>
        <row r="24">
          <cell r="AD24" t="str">
            <v>Oahu Island, HI</v>
          </cell>
          <cell r="AE24">
            <v>109</v>
          </cell>
          <cell r="AF24">
            <v>36407</v>
          </cell>
          <cell r="AG24">
            <v>1</v>
          </cell>
          <cell r="AH24">
            <v>453</v>
          </cell>
          <cell r="AI24">
            <v>0</v>
          </cell>
          <cell r="AJ24">
            <v>0</v>
          </cell>
          <cell r="AK24">
            <v>1</v>
          </cell>
          <cell r="AL24">
            <v>453</v>
          </cell>
          <cell r="AM24">
            <v>1</v>
          </cell>
          <cell r="AN24">
            <v>299</v>
          </cell>
          <cell r="AQ24" t="str">
            <v>Comfort Inn</v>
          </cell>
          <cell r="AR24">
            <v>63</v>
          </cell>
          <cell r="AS24">
            <v>4394</v>
          </cell>
          <cell r="AT24">
            <v>13</v>
          </cell>
          <cell r="AU24">
            <v>956</v>
          </cell>
          <cell r="AV24">
            <v>14</v>
          </cell>
          <cell r="AW24">
            <v>957</v>
          </cell>
          <cell r="AX24">
            <v>27</v>
          </cell>
          <cell r="AY24">
            <v>1913</v>
          </cell>
          <cell r="AZ24">
            <v>17</v>
          </cell>
          <cell r="BA24">
            <v>1252</v>
          </cell>
        </row>
        <row r="25">
          <cell r="AD25" t="str">
            <v>Orlando, FL</v>
          </cell>
          <cell r="AE25">
            <v>417</v>
          </cell>
          <cell r="AF25">
            <v>112948</v>
          </cell>
          <cell r="AG25">
            <v>15</v>
          </cell>
          <cell r="AH25">
            <v>7899</v>
          </cell>
          <cell r="AI25">
            <v>13</v>
          </cell>
          <cell r="AJ25">
            <v>4788</v>
          </cell>
          <cell r="AK25">
            <v>28</v>
          </cell>
          <cell r="AL25">
            <v>12687</v>
          </cell>
          <cell r="AM25">
            <v>42</v>
          </cell>
          <cell r="AN25">
            <v>12195</v>
          </cell>
          <cell r="AQ25" t="str">
            <v>Comfort Suites</v>
          </cell>
          <cell r="AR25">
            <v>48</v>
          </cell>
          <cell r="AS25">
            <v>3391</v>
          </cell>
          <cell r="AT25">
            <v>15</v>
          </cell>
          <cell r="AU25">
            <v>1311</v>
          </cell>
          <cell r="AV25">
            <v>20</v>
          </cell>
          <cell r="AW25">
            <v>1604</v>
          </cell>
          <cell r="AX25">
            <v>35</v>
          </cell>
          <cell r="AY25">
            <v>2915</v>
          </cell>
          <cell r="AZ25">
            <v>21</v>
          </cell>
          <cell r="BA25">
            <v>1633</v>
          </cell>
        </row>
        <row r="26">
          <cell r="AD26" t="str">
            <v>Philadelphia, PA</v>
          </cell>
          <cell r="AE26">
            <v>238</v>
          </cell>
          <cell r="AF26">
            <v>37267</v>
          </cell>
          <cell r="AG26">
            <v>11</v>
          </cell>
          <cell r="AH26">
            <v>1571</v>
          </cell>
          <cell r="AI26">
            <v>6</v>
          </cell>
          <cell r="AJ26">
            <v>680</v>
          </cell>
          <cell r="AK26">
            <v>17</v>
          </cell>
          <cell r="AL26">
            <v>2251</v>
          </cell>
          <cell r="AM26">
            <v>18</v>
          </cell>
          <cell r="AN26">
            <v>1815</v>
          </cell>
          <cell r="AQ26" t="str">
            <v>Country Hearth Inn</v>
          </cell>
          <cell r="AR26">
            <v>7</v>
          </cell>
          <cell r="AS26">
            <v>358</v>
          </cell>
          <cell r="AT26">
            <v>4</v>
          </cell>
          <cell r="AU26">
            <v>190</v>
          </cell>
          <cell r="AV26">
            <v>3</v>
          </cell>
          <cell r="AW26">
            <v>120</v>
          </cell>
          <cell r="AX26">
            <v>7</v>
          </cell>
          <cell r="AY26">
            <v>310</v>
          </cell>
          <cell r="AZ26">
            <v>10</v>
          </cell>
          <cell r="BA26">
            <v>582</v>
          </cell>
        </row>
        <row r="27">
          <cell r="AD27" t="str">
            <v>Phoenix, AZ</v>
          </cell>
          <cell r="AE27">
            <v>336</v>
          </cell>
          <cell r="AF27">
            <v>50713</v>
          </cell>
          <cell r="AG27">
            <v>2</v>
          </cell>
          <cell r="AH27">
            <v>219</v>
          </cell>
          <cell r="AI27">
            <v>9</v>
          </cell>
          <cell r="AJ27">
            <v>2842</v>
          </cell>
          <cell r="AK27">
            <v>11</v>
          </cell>
          <cell r="AL27">
            <v>3061</v>
          </cell>
          <cell r="AM27">
            <v>10</v>
          </cell>
          <cell r="AN27">
            <v>2821</v>
          </cell>
          <cell r="AQ27" t="str">
            <v>Country Inn &amp; Suites</v>
          </cell>
          <cell r="AR27">
            <v>42</v>
          </cell>
          <cell r="AS27">
            <v>3280</v>
          </cell>
          <cell r="AT27">
            <v>29</v>
          </cell>
          <cell r="AU27">
            <v>2348</v>
          </cell>
          <cell r="AV27">
            <v>12</v>
          </cell>
          <cell r="AW27">
            <v>868</v>
          </cell>
          <cell r="AX27">
            <v>41</v>
          </cell>
          <cell r="AY27">
            <v>3216</v>
          </cell>
          <cell r="AZ27">
            <v>30</v>
          </cell>
          <cell r="BA27">
            <v>2433</v>
          </cell>
        </row>
        <row r="28">
          <cell r="AD28" t="str">
            <v>Saint Louis, MO</v>
          </cell>
          <cell r="AE28">
            <v>214</v>
          </cell>
          <cell r="AF28">
            <v>30315</v>
          </cell>
          <cell r="AG28">
            <v>5</v>
          </cell>
          <cell r="AH28">
            <v>782</v>
          </cell>
          <cell r="AI28">
            <v>5</v>
          </cell>
          <cell r="AJ28">
            <v>1818</v>
          </cell>
          <cell r="AK28">
            <v>10</v>
          </cell>
          <cell r="AL28">
            <v>2600</v>
          </cell>
          <cell r="AM28">
            <v>14</v>
          </cell>
          <cell r="AN28">
            <v>1480</v>
          </cell>
          <cell r="AQ28" t="str">
            <v>Courtyard by Marriott</v>
          </cell>
          <cell r="AR28">
            <v>41</v>
          </cell>
          <cell r="AS28">
            <v>5765</v>
          </cell>
          <cell r="AT28">
            <v>35</v>
          </cell>
          <cell r="AU28">
            <v>5540</v>
          </cell>
          <cell r="AV28">
            <v>38</v>
          </cell>
          <cell r="AW28">
            <v>5080</v>
          </cell>
          <cell r="AX28">
            <v>73</v>
          </cell>
          <cell r="AY28">
            <v>10620</v>
          </cell>
          <cell r="AZ28">
            <v>38</v>
          </cell>
          <cell r="BA28">
            <v>5880</v>
          </cell>
        </row>
        <row r="29">
          <cell r="AD29" t="str">
            <v>San Diego, CA</v>
          </cell>
          <cell r="AE29">
            <v>399</v>
          </cell>
          <cell r="AF29">
            <v>49458</v>
          </cell>
          <cell r="AG29">
            <v>10</v>
          </cell>
          <cell r="AH29">
            <v>2086</v>
          </cell>
          <cell r="AI29">
            <v>9</v>
          </cell>
          <cell r="AJ29">
            <v>1606</v>
          </cell>
          <cell r="AK29">
            <v>19</v>
          </cell>
          <cell r="AL29">
            <v>3692</v>
          </cell>
          <cell r="AM29">
            <v>15</v>
          </cell>
          <cell r="AN29">
            <v>4536</v>
          </cell>
          <cell r="AQ29" t="str">
            <v>Crowne Plaza</v>
          </cell>
          <cell r="AR29">
            <v>1</v>
          </cell>
          <cell r="AS29">
            <v>384</v>
          </cell>
          <cell r="AT29">
            <v>5</v>
          </cell>
          <cell r="AU29">
            <v>1301</v>
          </cell>
          <cell r="AV29">
            <v>2</v>
          </cell>
          <cell r="AW29">
            <v>518</v>
          </cell>
          <cell r="AX29">
            <v>7</v>
          </cell>
          <cell r="AY29">
            <v>1819</v>
          </cell>
          <cell r="AZ29">
            <v>7</v>
          </cell>
          <cell r="BA29">
            <v>1887</v>
          </cell>
        </row>
        <row r="30">
          <cell r="AD30" t="str">
            <v>San Francisco, CA</v>
          </cell>
          <cell r="AE30">
            <v>339</v>
          </cell>
          <cell r="AF30">
            <v>48885</v>
          </cell>
          <cell r="AG30">
            <v>13</v>
          </cell>
          <cell r="AH30">
            <v>2192</v>
          </cell>
          <cell r="AI30">
            <v>9</v>
          </cell>
          <cell r="AJ30">
            <v>1691</v>
          </cell>
          <cell r="AK30">
            <v>22</v>
          </cell>
          <cell r="AL30">
            <v>3883</v>
          </cell>
          <cell r="AM30">
            <v>22</v>
          </cell>
          <cell r="AN30">
            <v>4038</v>
          </cell>
          <cell r="AQ30" t="str">
            <v>Days Inn</v>
          </cell>
          <cell r="AR30">
            <v>23</v>
          </cell>
          <cell r="AS30">
            <v>1209</v>
          </cell>
          <cell r="AT30">
            <v>3</v>
          </cell>
          <cell r="AU30">
            <v>157</v>
          </cell>
          <cell r="AV30">
            <v>7</v>
          </cell>
          <cell r="AW30">
            <v>483</v>
          </cell>
          <cell r="AX30">
            <v>10</v>
          </cell>
          <cell r="AY30">
            <v>640</v>
          </cell>
          <cell r="AZ30">
            <v>40</v>
          </cell>
          <cell r="BA30">
            <v>3802</v>
          </cell>
        </row>
        <row r="31">
          <cell r="AD31" t="str">
            <v>Seattle, WA</v>
          </cell>
          <cell r="AE31">
            <v>282</v>
          </cell>
          <cell r="AF31">
            <v>32954</v>
          </cell>
          <cell r="AG31">
            <v>8</v>
          </cell>
          <cell r="AH31">
            <v>1571</v>
          </cell>
          <cell r="AI31">
            <v>16</v>
          </cell>
          <cell r="AJ31">
            <v>2692</v>
          </cell>
          <cell r="AK31">
            <v>24</v>
          </cell>
          <cell r="AL31">
            <v>4263</v>
          </cell>
          <cell r="AM31">
            <v>11</v>
          </cell>
          <cell r="AN31">
            <v>2119</v>
          </cell>
          <cell r="AQ31" t="str">
            <v>Doubletree Guest Suites</v>
          </cell>
          <cell r="AR31">
            <v>2</v>
          </cell>
          <cell r="AS31">
            <v>470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AD32" t="str">
            <v>Tampa, FL</v>
          </cell>
          <cell r="AE32">
            <v>308</v>
          </cell>
          <cell r="AF32">
            <v>38264</v>
          </cell>
          <cell r="AG32">
            <v>10</v>
          </cell>
          <cell r="AH32">
            <v>1152</v>
          </cell>
          <cell r="AI32">
            <v>3</v>
          </cell>
          <cell r="AJ32">
            <v>213</v>
          </cell>
          <cell r="AK32">
            <v>13</v>
          </cell>
          <cell r="AL32">
            <v>1365</v>
          </cell>
          <cell r="AM32">
            <v>25</v>
          </cell>
          <cell r="AN32">
            <v>2785</v>
          </cell>
          <cell r="AQ32" t="str">
            <v>Doubletree Hotel</v>
          </cell>
          <cell r="AR32">
            <v>2</v>
          </cell>
          <cell r="AS32">
            <v>308</v>
          </cell>
          <cell r="AT32">
            <v>4</v>
          </cell>
          <cell r="AU32">
            <v>1125</v>
          </cell>
          <cell r="AV32">
            <v>1</v>
          </cell>
          <cell r="AW32">
            <v>294</v>
          </cell>
          <cell r="AX32">
            <v>5</v>
          </cell>
          <cell r="AY32">
            <v>1419</v>
          </cell>
          <cell r="AZ32">
            <v>3</v>
          </cell>
          <cell r="BA32">
            <v>1107</v>
          </cell>
        </row>
        <row r="33">
          <cell r="AD33" t="str">
            <v>Washington, DC</v>
          </cell>
          <cell r="AE33">
            <v>425</v>
          </cell>
          <cell r="AF33">
            <v>78572</v>
          </cell>
          <cell r="AG33">
            <v>16</v>
          </cell>
          <cell r="AH33">
            <v>2089</v>
          </cell>
          <cell r="AI33">
            <v>15</v>
          </cell>
          <cell r="AJ33">
            <v>2562</v>
          </cell>
          <cell r="AK33">
            <v>31</v>
          </cell>
          <cell r="AL33">
            <v>4651</v>
          </cell>
          <cell r="AM33">
            <v>28</v>
          </cell>
          <cell r="AN33">
            <v>7092</v>
          </cell>
          <cell r="AQ33" t="str">
            <v>Drury Inn</v>
          </cell>
          <cell r="AR33">
            <v>4</v>
          </cell>
          <cell r="AS33">
            <v>836</v>
          </cell>
          <cell r="AT33">
            <v>4</v>
          </cell>
          <cell r="AU33">
            <v>552</v>
          </cell>
          <cell r="AV33">
            <v>1</v>
          </cell>
          <cell r="AW33">
            <v>149</v>
          </cell>
          <cell r="AX33">
            <v>5</v>
          </cell>
          <cell r="AY33">
            <v>701</v>
          </cell>
          <cell r="AZ33">
            <v>3</v>
          </cell>
          <cell r="BA33">
            <v>507</v>
          </cell>
        </row>
        <row r="34">
          <cell r="AQ34" t="str">
            <v>Econo Lodge</v>
          </cell>
          <cell r="AR34">
            <v>10</v>
          </cell>
          <cell r="AS34">
            <v>508</v>
          </cell>
          <cell r="AT34">
            <v>0</v>
          </cell>
          <cell r="AU34">
            <v>0</v>
          </cell>
          <cell r="AV34">
            <v>5</v>
          </cell>
          <cell r="AW34">
            <v>322</v>
          </cell>
          <cell r="AX34">
            <v>5</v>
          </cell>
          <cell r="AY34">
            <v>322</v>
          </cell>
          <cell r="AZ34">
            <v>3</v>
          </cell>
          <cell r="BA34">
            <v>182</v>
          </cell>
        </row>
        <row r="35">
          <cell r="AQ35" t="str">
            <v>Embassy Suites</v>
          </cell>
          <cell r="AR35">
            <v>7</v>
          </cell>
          <cell r="AS35">
            <v>1756</v>
          </cell>
          <cell r="AT35">
            <v>9</v>
          </cell>
          <cell r="AU35">
            <v>2372</v>
          </cell>
          <cell r="AV35">
            <v>9</v>
          </cell>
          <cell r="AW35">
            <v>2032</v>
          </cell>
          <cell r="AX35">
            <v>18</v>
          </cell>
          <cell r="AY35">
            <v>4404</v>
          </cell>
          <cell r="AZ35">
            <v>8</v>
          </cell>
          <cell r="BA35">
            <v>1657</v>
          </cell>
        </row>
        <row r="36">
          <cell r="AQ36" t="str">
            <v>Extended Stay America</v>
          </cell>
          <cell r="AR36">
            <v>27</v>
          </cell>
          <cell r="AS36">
            <v>3045</v>
          </cell>
          <cell r="AT36">
            <v>13</v>
          </cell>
          <cell r="AU36">
            <v>1415</v>
          </cell>
          <cell r="AV36">
            <v>6</v>
          </cell>
          <cell r="AW36">
            <v>673</v>
          </cell>
          <cell r="AX36">
            <v>19</v>
          </cell>
          <cell r="AY36">
            <v>2088</v>
          </cell>
          <cell r="AZ36">
            <v>6</v>
          </cell>
          <cell r="BA36">
            <v>664</v>
          </cell>
        </row>
        <row r="37">
          <cell r="AQ37" t="str">
            <v>Fairfield Inn</v>
          </cell>
          <cell r="AR37">
            <v>20</v>
          </cell>
          <cell r="AS37">
            <v>1895</v>
          </cell>
          <cell r="AT37">
            <v>21</v>
          </cell>
          <cell r="AU37">
            <v>2105</v>
          </cell>
          <cell r="AV37">
            <v>27</v>
          </cell>
          <cell r="AW37">
            <v>2306</v>
          </cell>
          <cell r="AX37">
            <v>48</v>
          </cell>
          <cell r="AY37">
            <v>4411</v>
          </cell>
          <cell r="AZ37">
            <v>8</v>
          </cell>
          <cell r="BA37">
            <v>718</v>
          </cell>
        </row>
        <row r="38">
          <cell r="AQ38" t="str">
            <v>Fairfield Inn &amp; Suites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</row>
        <row r="39">
          <cell r="AQ39" t="str">
            <v>Fairmont Hotel</v>
          </cell>
          <cell r="AR39">
            <v>0</v>
          </cell>
          <cell r="AS39">
            <v>0</v>
          </cell>
          <cell r="AT39">
            <v>1</v>
          </cell>
          <cell r="AU39">
            <v>264</v>
          </cell>
          <cell r="AV39">
            <v>0</v>
          </cell>
          <cell r="AW39">
            <v>0</v>
          </cell>
          <cell r="AX39">
            <v>1</v>
          </cell>
          <cell r="AY39">
            <v>264</v>
          </cell>
          <cell r="AZ39">
            <v>0</v>
          </cell>
          <cell r="BA39">
            <v>0</v>
          </cell>
        </row>
        <row r="40">
          <cell r="AQ40" t="str">
            <v>Four Points Hotel</v>
          </cell>
          <cell r="AR40">
            <v>0</v>
          </cell>
          <cell r="AS40">
            <v>0</v>
          </cell>
          <cell r="AT40">
            <v>1</v>
          </cell>
          <cell r="AU40">
            <v>101</v>
          </cell>
          <cell r="AV40">
            <v>2</v>
          </cell>
          <cell r="AW40">
            <v>327</v>
          </cell>
          <cell r="AX40">
            <v>3</v>
          </cell>
          <cell r="AY40">
            <v>428</v>
          </cell>
          <cell r="AZ40">
            <v>1</v>
          </cell>
          <cell r="BA40">
            <v>100</v>
          </cell>
        </row>
        <row r="41">
          <cell r="AQ41" t="str">
            <v>Four Seasons</v>
          </cell>
          <cell r="AR41">
            <v>0</v>
          </cell>
          <cell r="AS41">
            <v>0</v>
          </cell>
          <cell r="AT41">
            <v>2</v>
          </cell>
          <cell r="AU41">
            <v>521</v>
          </cell>
          <cell r="AV41">
            <v>0</v>
          </cell>
          <cell r="AW41">
            <v>0</v>
          </cell>
          <cell r="AX41">
            <v>2</v>
          </cell>
          <cell r="AY41">
            <v>521</v>
          </cell>
          <cell r="AZ41">
            <v>0</v>
          </cell>
          <cell r="BA41">
            <v>0</v>
          </cell>
        </row>
        <row r="42">
          <cell r="AQ42" t="str">
            <v>Grand Chalet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1</v>
          </cell>
          <cell r="BA42">
            <v>125</v>
          </cell>
        </row>
        <row r="43">
          <cell r="AQ43" t="str">
            <v>GuestHouse Inn</v>
          </cell>
          <cell r="AR43">
            <v>3</v>
          </cell>
          <cell r="AS43">
            <v>215</v>
          </cell>
          <cell r="AT43">
            <v>2</v>
          </cell>
          <cell r="AU43">
            <v>160</v>
          </cell>
          <cell r="AV43">
            <v>0</v>
          </cell>
          <cell r="AW43">
            <v>0</v>
          </cell>
          <cell r="AX43">
            <v>2</v>
          </cell>
          <cell r="AY43">
            <v>160</v>
          </cell>
          <cell r="AZ43">
            <v>2</v>
          </cell>
          <cell r="BA43">
            <v>185</v>
          </cell>
        </row>
        <row r="44">
          <cell r="AQ44" t="str">
            <v>Hampton Inn</v>
          </cell>
          <cell r="AR44">
            <v>66</v>
          </cell>
          <cell r="AS44">
            <v>5646</v>
          </cell>
          <cell r="AT44">
            <v>64</v>
          </cell>
          <cell r="AU44">
            <v>5601</v>
          </cell>
          <cell r="AV44">
            <v>11</v>
          </cell>
          <cell r="AW44">
            <v>913</v>
          </cell>
          <cell r="AX44">
            <v>75</v>
          </cell>
          <cell r="AY44">
            <v>6514</v>
          </cell>
          <cell r="AZ44">
            <v>43</v>
          </cell>
          <cell r="BA44">
            <v>3537</v>
          </cell>
        </row>
        <row r="45">
          <cell r="AQ45" t="str">
            <v>Hampton Inn &amp; Suites</v>
          </cell>
          <cell r="AR45">
            <v>26</v>
          </cell>
          <cell r="AS45">
            <v>3092</v>
          </cell>
          <cell r="AT45">
            <v>12</v>
          </cell>
          <cell r="AU45">
            <v>1277</v>
          </cell>
          <cell r="AV45">
            <v>13</v>
          </cell>
          <cell r="AW45">
            <v>1384</v>
          </cell>
          <cell r="AX45">
            <v>25</v>
          </cell>
          <cell r="AY45">
            <v>2661</v>
          </cell>
          <cell r="AZ45">
            <v>30</v>
          </cell>
          <cell r="BA45">
            <v>2795</v>
          </cell>
        </row>
        <row r="46">
          <cell r="AQ46" t="str">
            <v>Hawthorn Suites</v>
          </cell>
          <cell r="AR46">
            <v>24</v>
          </cell>
          <cell r="AS46">
            <v>1892</v>
          </cell>
          <cell r="AT46">
            <v>10</v>
          </cell>
          <cell r="AU46">
            <v>802</v>
          </cell>
          <cell r="AV46">
            <v>15</v>
          </cell>
          <cell r="AW46">
            <v>1354</v>
          </cell>
          <cell r="AX46">
            <v>25</v>
          </cell>
          <cell r="AY46">
            <v>2156</v>
          </cell>
          <cell r="AZ46">
            <v>60</v>
          </cell>
          <cell r="BA46">
            <v>5525</v>
          </cell>
        </row>
        <row r="47">
          <cell r="AQ47" t="str">
            <v>Hawthorn Suites LTD.</v>
          </cell>
          <cell r="AR47">
            <v>15</v>
          </cell>
          <cell r="AS47">
            <v>1196</v>
          </cell>
          <cell r="AT47">
            <v>8</v>
          </cell>
          <cell r="AU47">
            <v>588</v>
          </cell>
          <cell r="AV47">
            <v>12</v>
          </cell>
          <cell r="AW47">
            <v>978</v>
          </cell>
          <cell r="AX47">
            <v>20</v>
          </cell>
          <cell r="AY47">
            <v>1566</v>
          </cell>
          <cell r="AZ47">
            <v>43</v>
          </cell>
          <cell r="BA47">
            <v>3447</v>
          </cell>
        </row>
        <row r="48">
          <cell r="AQ48" t="str">
            <v>Hearthside Inn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1</v>
          </cell>
          <cell r="AW48">
            <v>145</v>
          </cell>
          <cell r="AX48">
            <v>1</v>
          </cell>
          <cell r="AY48">
            <v>145</v>
          </cell>
          <cell r="AZ48">
            <v>1</v>
          </cell>
          <cell r="BA48">
            <v>148</v>
          </cell>
        </row>
        <row r="49">
          <cell r="AQ49" t="str">
            <v>Hilton Garden Inn</v>
          </cell>
          <cell r="AR49">
            <v>28</v>
          </cell>
          <cell r="AS49">
            <v>4099</v>
          </cell>
          <cell r="AT49">
            <v>38</v>
          </cell>
          <cell r="AU49">
            <v>5113</v>
          </cell>
          <cell r="AV49">
            <v>47</v>
          </cell>
          <cell r="AW49">
            <v>6163</v>
          </cell>
          <cell r="AX49">
            <v>85</v>
          </cell>
          <cell r="AY49">
            <v>11276</v>
          </cell>
          <cell r="AZ49">
            <v>41</v>
          </cell>
          <cell r="BA49">
            <v>5194</v>
          </cell>
        </row>
        <row r="50">
          <cell r="AQ50" t="str">
            <v>Hilton Hotel</v>
          </cell>
          <cell r="AR50">
            <v>10</v>
          </cell>
          <cell r="AS50">
            <v>2607</v>
          </cell>
          <cell r="AT50">
            <v>6</v>
          </cell>
          <cell r="AU50">
            <v>1784</v>
          </cell>
          <cell r="AV50">
            <v>7</v>
          </cell>
          <cell r="AW50">
            <v>2713</v>
          </cell>
          <cell r="AX50">
            <v>13</v>
          </cell>
          <cell r="AY50">
            <v>4497</v>
          </cell>
          <cell r="AZ50">
            <v>11</v>
          </cell>
          <cell r="BA50">
            <v>6416</v>
          </cell>
        </row>
        <row r="51">
          <cell r="AQ51" t="str">
            <v>HoJo Inn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2">
          <cell r="AQ52" t="str">
            <v>Holiday Inn</v>
          </cell>
          <cell r="AR52">
            <v>4</v>
          </cell>
          <cell r="AS52">
            <v>556</v>
          </cell>
          <cell r="AT52">
            <v>9</v>
          </cell>
          <cell r="AU52">
            <v>1341</v>
          </cell>
          <cell r="AV52">
            <v>6</v>
          </cell>
          <cell r="AW52">
            <v>726</v>
          </cell>
          <cell r="AX52">
            <v>15</v>
          </cell>
          <cell r="AY52">
            <v>2067</v>
          </cell>
          <cell r="AZ52">
            <v>10</v>
          </cell>
          <cell r="BA52">
            <v>1554</v>
          </cell>
        </row>
        <row r="53">
          <cell r="AQ53" t="str">
            <v>Holiday Inn Express</v>
          </cell>
          <cell r="AR53">
            <v>44</v>
          </cell>
          <cell r="AS53">
            <v>3187</v>
          </cell>
          <cell r="AT53">
            <v>31</v>
          </cell>
          <cell r="AU53">
            <v>2256</v>
          </cell>
          <cell r="AV53">
            <v>25</v>
          </cell>
          <cell r="AW53">
            <v>1911</v>
          </cell>
          <cell r="AX53">
            <v>56</v>
          </cell>
          <cell r="AY53">
            <v>4167</v>
          </cell>
          <cell r="AZ53">
            <v>45</v>
          </cell>
          <cell r="BA53">
            <v>3241</v>
          </cell>
        </row>
        <row r="54">
          <cell r="AQ54" t="str">
            <v>Holiday Inn Express &amp; Suites</v>
          </cell>
          <cell r="AR54">
            <v>75</v>
          </cell>
          <cell r="AS54">
            <v>5546</v>
          </cell>
          <cell r="AT54">
            <v>60</v>
          </cell>
          <cell r="AU54">
            <v>4915</v>
          </cell>
          <cell r="AV54">
            <v>39</v>
          </cell>
          <cell r="AW54">
            <v>3227</v>
          </cell>
          <cell r="AX54">
            <v>99</v>
          </cell>
          <cell r="AY54">
            <v>8142</v>
          </cell>
          <cell r="AZ54">
            <v>91</v>
          </cell>
          <cell r="BA54">
            <v>7194</v>
          </cell>
        </row>
        <row r="55">
          <cell r="AQ55" t="str">
            <v>Holiday Inn Select</v>
          </cell>
          <cell r="AR55">
            <v>3</v>
          </cell>
          <cell r="AS55">
            <v>543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4</v>
          </cell>
          <cell r="BA55">
            <v>875</v>
          </cell>
        </row>
        <row r="56">
          <cell r="AQ56" t="str">
            <v>Homestead Village</v>
          </cell>
          <cell r="AR56">
            <v>0</v>
          </cell>
          <cell r="AS56">
            <v>0</v>
          </cell>
          <cell r="AT56">
            <v>1</v>
          </cell>
          <cell r="AU56">
            <v>40</v>
          </cell>
          <cell r="AV56">
            <v>0</v>
          </cell>
          <cell r="AW56">
            <v>0</v>
          </cell>
          <cell r="AX56">
            <v>1</v>
          </cell>
          <cell r="AY56">
            <v>40</v>
          </cell>
          <cell r="AZ56">
            <v>0</v>
          </cell>
          <cell r="BA56">
            <v>0</v>
          </cell>
        </row>
        <row r="57">
          <cell r="AQ57" t="str">
            <v>HomeTown Suites</v>
          </cell>
          <cell r="AR57">
            <v>1</v>
          </cell>
          <cell r="AS57">
            <v>69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</row>
        <row r="58">
          <cell r="AQ58" t="str">
            <v>Homewood Suites by Hilton</v>
          </cell>
          <cell r="AR58">
            <v>8</v>
          </cell>
          <cell r="AS58">
            <v>990</v>
          </cell>
          <cell r="AT58">
            <v>16</v>
          </cell>
          <cell r="AU58">
            <v>1767</v>
          </cell>
          <cell r="AV58">
            <v>5</v>
          </cell>
          <cell r="AW58">
            <v>573</v>
          </cell>
          <cell r="AX58">
            <v>21</v>
          </cell>
          <cell r="AY58">
            <v>2340</v>
          </cell>
          <cell r="AZ58">
            <v>16</v>
          </cell>
          <cell r="BA58">
            <v>1800</v>
          </cell>
        </row>
        <row r="59">
          <cell r="AQ59" t="str">
            <v>Hotel Sofitel</v>
          </cell>
          <cell r="AR59">
            <v>2</v>
          </cell>
          <cell r="AS59">
            <v>694</v>
          </cell>
          <cell r="AT59">
            <v>2</v>
          </cell>
          <cell r="AU59">
            <v>637</v>
          </cell>
          <cell r="AV59">
            <v>0</v>
          </cell>
          <cell r="AW59">
            <v>0</v>
          </cell>
          <cell r="AX59">
            <v>2</v>
          </cell>
          <cell r="AY59">
            <v>637</v>
          </cell>
          <cell r="AZ59">
            <v>0</v>
          </cell>
          <cell r="BA59">
            <v>0</v>
          </cell>
        </row>
        <row r="60">
          <cell r="AQ60" t="str">
            <v>Howard Johnson Express Inn</v>
          </cell>
          <cell r="AR60">
            <v>9</v>
          </cell>
          <cell r="AS60">
            <v>622</v>
          </cell>
          <cell r="AT60">
            <v>1</v>
          </cell>
          <cell r="AU60">
            <v>65</v>
          </cell>
          <cell r="AV60">
            <v>1</v>
          </cell>
          <cell r="AW60">
            <v>50</v>
          </cell>
          <cell r="AX60">
            <v>2</v>
          </cell>
          <cell r="AY60">
            <v>115</v>
          </cell>
          <cell r="AZ60">
            <v>6</v>
          </cell>
          <cell r="BA60">
            <v>955</v>
          </cell>
        </row>
        <row r="61">
          <cell r="AQ61" t="str">
            <v>Howard Johnson Hotel</v>
          </cell>
          <cell r="AR61">
            <v>1</v>
          </cell>
          <cell r="AS61">
            <v>150</v>
          </cell>
          <cell r="AT61">
            <v>2</v>
          </cell>
          <cell r="AU61">
            <v>120</v>
          </cell>
          <cell r="AV61">
            <v>0</v>
          </cell>
          <cell r="AW61">
            <v>0</v>
          </cell>
          <cell r="AX61">
            <v>2</v>
          </cell>
          <cell r="AY61">
            <v>120</v>
          </cell>
          <cell r="AZ61">
            <v>1</v>
          </cell>
          <cell r="BA61">
            <v>160</v>
          </cell>
        </row>
        <row r="62">
          <cell r="AQ62" t="str">
            <v>Howard Johnson Inn</v>
          </cell>
          <cell r="AR62">
            <v>0</v>
          </cell>
          <cell r="AS62">
            <v>0</v>
          </cell>
          <cell r="AT62">
            <v>2</v>
          </cell>
          <cell r="AU62">
            <v>130</v>
          </cell>
          <cell r="AV62">
            <v>3</v>
          </cell>
          <cell r="AW62">
            <v>406</v>
          </cell>
          <cell r="AX62">
            <v>5</v>
          </cell>
          <cell r="AY62">
            <v>536</v>
          </cell>
          <cell r="AZ62">
            <v>12</v>
          </cell>
          <cell r="BA62">
            <v>1412</v>
          </cell>
        </row>
        <row r="63">
          <cell r="AQ63" t="str">
            <v>Howard Johnson Lodge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2</v>
          </cell>
          <cell r="BA63">
            <v>165</v>
          </cell>
        </row>
        <row r="64">
          <cell r="AQ64" t="str">
            <v>Hyatt Hotel</v>
          </cell>
          <cell r="AR64">
            <v>4</v>
          </cell>
          <cell r="AS64">
            <v>1067</v>
          </cell>
          <cell r="AT64">
            <v>5</v>
          </cell>
          <cell r="AU64">
            <v>1845</v>
          </cell>
          <cell r="AV64">
            <v>1</v>
          </cell>
          <cell r="AW64">
            <v>1100</v>
          </cell>
          <cell r="AX64">
            <v>6</v>
          </cell>
          <cell r="AY64">
            <v>2945</v>
          </cell>
          <cell r="AZ64">
            <v>8</v>
          </cell>
          <cell r="BA64">
            <v>3489</v>
          </cell>
        </row>
        <row r="65">
          <cell r="AQ65" t="str">
            <v>Inter-Continental</v>
          </cell>
          <cell r="AR65">
            <v>2</v>
          </cell>
          <cell r="AS65">
            <v>339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1</v>
          </cell>
          <cell r="BA65">
            <v>425</v>
          </cell>
        </row>
        <row r="66">
          <cell r="AQ66" t="str">
            <v>Intown Suites</v>
          </cell>
          <cell r="AR66">
            <v>10</v>
          </cell>
          <cell r="AS66">
            <v>1208</v>
          </cell>
          <cell r="AT66">
            <v>9</v>
          </cell>
          <cell r="AU66">
            <v>1091</v>
          </cell>
          <cell r="AV66">
            <v>3</v>
          </cell>
          <cell r="AW66">
            <v>363</v>
          </cell>
          <cell r="AX66">
            <v>12</v>
          </cell>
          <cell r="AY66">
            <v>1454</v>
          </cell>
          <cell r="AZ66">
            <v>15</v>
          </cell>
          <cell r="BA66">
            <v>1815</v>
          </cell>
        </row>
        <row r="67">
          <cell r="AQ67" t="str">
            <v>Jameson Inn</v>
          </cell>
          <cell r="AR67">
            <v>17</v>
          </cell>
          <cell r="AS67">
            <v>1092</v>
          </cell>
          <cell r="AT67">
            <v>6</v>
          </cell>
          <cell r="AU67">
            <v>372</v>
          </cell>
          <cell r="AV67">
            <v>7</v>
          </cell>
          <cell r="AW67">
            <v>160</v>
          </cell>
          <cell r="AX67">
            <v>13</v>
          </cell>
          <cell r="AY67">
            <v>532</v>
          </cell>
          <cell r="AZ67">
            <v>2</v>
          </cell>
          <cell r="BA67">
            <v>88</v>
          </cell>
        </row>
        <row r="68">
          <cell r="AQ68" t="str">
            <v>Knights Inn</v>
          </cell>
          <cell r="AR68">
            <v>1</v>
          </cell>
          <cell r="AS68">
            <v>44</v>
          </cell>
          <cell r="AT68">
            <v>0</v>
          </cell>
          <cell r="AU68">
            <v>0</v>
          </cell>
          <cell r="AV68">
            <v>2</v>
          </cell>
          <cell r="AW68">
            <v>100</v>
          </cell>
          <cell r="AX68">
            <v>2</v>
          </cell>
          <cell r="AY68">
            <v>100</v>
          </cell>
          <cell r="AZ68">
            <v>11</v>
          </cell>
          <cell r="BA68">
            <v>697</v>
          </cell>
        </row>
        <row r="69">
          <cell r="C69" t="str">
            <v>Anaheim, CA</v>
          </cell>
          <cell r="D69">
            <v>5</v>
          </cell>
          <cell r="E69">
            <v>844</v>
          </cell>
          <cell r="F69">
            <v>1</v>
          </cell>
          <cell r="G69">
            <v>375</v>
          </cell>
          <cell r="H69">
            <v>1</v>
          </cell>
          <cell r="I69">
            <v>517</v>
          </cell>
          <cell r="J69">
            <v>2</v>
          </cell>
          <cell r="K69">
            <v>892</v>
          </cell>
          <cell r="L69">
            <v>2</v>
          </cell>
          <cell r="M69">
            <v>347</v>
          </cell>
          <cell r="N69">
            <v>1</v>
          </cell>
          <cell r="O69">
            <v>375</v>
          </cell>
          <cell r="P69">
            <v>0</v>
          </cell>
          <cell r="Q69">
            <v>0</v>
          </cell>
          <cell r="R69">
            <v>1</v>
          </cell>
          <cell r="S69">
            <v>90</v>
          </cell>
          <cell r="T69">
            <v>2</v>
          </cell>
          <cell r="U69">
            <v>774</v>
          </cell>
          <cell r="V69">
            <v>2</v>
          </cell>
          <cell r="W69">
            <v>774</v>
          </cell>
          <cell r="X69">
            <v>18</v>
          </cell>
          <cell r="Y69">
            <v>5777</v>
          </cell>
          <cell r="Z69">
            <v>1</v>
          </cell>
          <cell r="AA69">
            <v>167</v>
          </cell>
          <cell r="AQ69" t="str">
            <v>La Quinta Inn</v>
          </cell>
          <cell r="AR69">
            <v>0</v>
          </cell>
          <cell r="AS69">
            <v>0</v>
          </cell>
          <cell r="AT69">
            <v>1</v>
          </cell>
          <cell r="AU69">
            <v>125</v>
          </cell>
          <cell r="AV69">
            <v>1</v>
          </cell>
          <cell r="AW69">
            <v>270</v>
          </cell>
          <cell r="AX69">
            <v>2</v>
          </cell>
          <cell r="AY69">
            <v>395</v>
          </cell>
          <cell r="AZ69">
            <v>1</v>
          </cell>
          <cell r="BA69">
            <v>168</v>
          </cell>
        </row>
        <row r="70">
          <cell r="C70" t="str">
            <v>Atlanta, GA</v>
          </cell>
          <cell r="D70">
            <v>14</v>
          </cell>
          <cell r="E70">
            <v>1922</v>
          </cell>
          <cell r="F70">
            <v>6</v>
          </cell>
          <cell r="G70">
            <v>697</v>
          </cell>
          <cell r="H70">
            <v>0</v>
          </cell>
          <cell r="I70">
            <v>0</v>
          </cell>
          <cell r="J70">
            <v>6</v>
          </cell>
          <cell r="K70">
            <v>697</v>
          </cell>
          <cell r="L70">
            <v>0</v>
          </cell>
          <cell r="M70">
            <v>0</v>
          </cell>
          <cell r="N70">
            <v>5</v>
          </cell>
          <cell r="O70">
            <v>574</v>
          </cell>
          <cell r="P70">
            <v>0</v>
          </cell>
          <cell r="Q70">
            <v>0</v>
          </cell>
          <cell r="R70">
            <v>1</v>
          </cell>
          <cell r="S70">
            <v>123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49</v>
          </cell>
          <cell r="Y70">
            <v>8398</v>
          </cell>
          <cell r="Z70">
            <v>2</v>
          </cell>
          <cell r="AA70">
            <v>162</v>
          </cell>
          <cell r="AQ70" t="str">
            <v>Little America</v>
          </cell>
          <cell r="AR70">
            <v>0</v>
          </cell>
          <cell r="AS70">
            <v>0</v>
          </cell>
          <cell r="AT70">
            <v>1</v>
          </cell>
          <cell r="AU70">
            <v>775</v>
          </cell>
          <cell r="AV70">
            <v>0</v>
          </cell>
          <cell r="AW70">
            <v>0</v>
          </cell>
          <cell r="AX70">
            <v>1</v>
          </cell>
          <cell r="AY70">
            <v>775</v>
          </cell>
          <cell r="AZ70">
            <v>0</v>
          </cell>
          <cell r="BA70">
            <v>0</v>
          </cell>
        </row>
        <row r="71">
          <cell r="C71" t="str">
            <v>Boston, MA</v>
          </cell>
          <cell r="D71">
            <v>9</v>
          </cell>
          <cell r="E71">
            <v>1876</v>
          </cell>
          <cell r="F71">
            <v>3</v>
          </cell>
          <cell r="G71">
            <v>444</v>
          </cell>
          <cell r="H71">
            <v>2</v>
          </cell>
          <cell r="I71">
            <v>494</v>
          </cell>
          <cell r="J71">
            <v>5</v>
          </cell>
          <cell r="K71">
            <v>938</v>
          </cell>
          <cell r="L71">
            <v>0</v>
          </cell>
          <cell r="M71">
            <v>0</v>
          </cell>
          <cell r="N71">
            <v>3</v>
          </cell>
          <cell r="O71">
            <v>444</v>
          </cell>
          <cell r="P71">
            <v>0</v>
          </cell>
          <cell r="Q71">
            <v>0</v>
          </cell>
          <cell r="R71">
            <v>1</v>
          </cell>
          <cell r="S71">
            <v>221</v>
          </cell>
          <cell r="T71">
            <v>1</v>
          </cell>
          <cell r="U71">
            <v>273</v>
          </cell>
          <cell r="V71">
            <v>1</v>
          </cell>
          <cell r="W71">
            <v>273</v>
          </cell>
          <cell r="X71">
            <v>18</v>
          </cell>
          <cell r="Y71">
            <v>3753</v>
          </cell>
          <cell r="Z71">
            <v>2</v>
          </cell>
          <cell r="AA71">
            <v>366</v>
          </cell>
          <cell r="AQ71" t="str">
            <v>Loews Hotel</v>
          </cell>
          <cell r="AR71">
            <v>1</v>
          </cell>
          <cell r="AS71">
            <v>583</v>
          </cell>
          <cell r="AT71">
            <v>1</v>
          </cell>
          <cell r="AU71">
            <v>650</v>
          </cell>
          <cell r="AV71">
            <v>2</v>
          </cell>
          <cell r="AW71">
            <v>1390</v>
          </cell>
          <cell r="AX71">
            <v>3</v>
          </cell>
          <cell r="AY71">
            <v>2040</v>
          </cell>
          <cell r="AZ71">
            <v>0</v>
          </cell>
          <cell r="BA71">
            <v>0</v>
          </cell>
        </row>
        <row r="72">
          <cell r="C72" t="str">
            <v>Chicago, IL</v>
          </cell>
          <cell r="D72">
            <v>12</v>
          </cell>
          <cell r="E72">
            <v>2447</v>
          </cell>
          <cell r="F72">
            <v>2</v>
          </cell>
          <cell r="G72">
            <v>634</v>
          </cell>
          <cell r="H72">
            <v>2</v>
          </cell>
          <cell r="I72">
            <v>500</v>
          </cell>
          <cell r="J72">
            <v>4</v>
          </cell>
          <cell r="K72">
            <v>1134</v>
          </cell>
          <cell r="L72">
            <v>0</v>
          </cell>
          <cell r="M72">
            <v>0</v>
          </cell>
          <cell r="N72">
            <v>2</v>
          </cell>
          <cell r="O72">
            <v>634</v>
          </cell>
          <cell r="P72">
            <v>1</v>
          </cell>
          <cell r="Q72">
            <v>90</v>
          </cell>
          <cell r="R72">
            <v>0</v>
          </cell>
          <cell r="S72">
            <v>0</v>
          </cell>
          <cell r="T72">
            <v>1</v>
          </cell>
          <cell r="U72">
            <v>410</v>
          </cell>
          <cell r="V72">
            <v>1</v>
          </cell>
          <cell r="W72">
            <v>410</v>
          </cell>
          <cell r="X72">
            <v>39</v>
          </cell>
          <cell r="Y72">
            <v>11130</v>
          </cell>
          <cell r="Z72">
            <v>4</v>
          </cell>
          <cell r="AA72">
            <v>895</v>
          </cell>
          <cell r="AQ72" t="str">
            <v>MainStay Suites</v>
          </cell>
          <cell r="AR72">
            <v>5</v>
          </cell>
          <cell r="AS72">
            <v>422</v>
          </cell>
          <cell r="AT72">
            <v>2</v>
          </cell>
          <cell r="AU72">
            <v>140</v>
          </cell>
          <cell r="AV72">
            <v>3</v>
          </cell>
          <cell r="AW72">
            <v>214</v>
          </cell>
          <cell r="AX72">
            <v>5</v>
          </cell>
          <cell r="AY72">
            <v>354</v>
          </cell>
          <cell r="AZ72">
            <v>7</v>
          </cell>
          <cell r="BA72">
            <v>567</v>
          </cell>
        </row>
        <row r="73">
          <cell r="C73" t="str">
            <v>Dallas, TX</v>
          </cell>
          <cell r="D73">
            <v>9</v>
          </cell>
          <cell r="E73">
            <v>1207</v>
          </cell>
          <cell r="F73">
            <v>2</v>
          </cell>
          <cell r="G73">
            <v>644</v>
          </cell>
          <cell r="H73">
            <v>3</v>
          </cell>
          <cell r="I73">
            <v>657</v>
          </cell>
          <cell r="J73">
            <v>5</v>
          </cell>
          <cell r="K73">
            <v>1301</v>
          </cell>
          <cell r="L73">
            <v>2</v>
          </cell>
          <cell r="M73">
            <v>225</v>
          </cell>
          <cell r="N73">
            <v>1</v>
          </cell>
          <cell r="O73">
            <v>244</v>
          </cell>
          <cell r="P73">
            <v>3</v>
          </cell>
          <cell r="Q73">
            <v>600</v>
          </cell>
          <cell r="R73">
            <v>3</v>
          </cell>
          <cell r="S73">
            <v>682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32</v>
          </cell>
          <cell r="Y73">
            <v>5867</v>
          </cell>
          <cell r="Z73">
            <v>0</v>
          </cell>
          <cell r="AA73">
            <v>0</v>
          </cell>
          <cell r="AQ73" t="str">
            <v>Marriott Hotel</v>
          </cell>
          <cell r="AR73">
            <v>12</v>
          </cell>
          <cell r="AS73">
            <v>4238</v>
          </cell>
          <cell r="AT73">
            <v>18</v>
          </cell>
          <cell r="AU73">
            <v>5687</v>
          </cell>
          <cell r="AV73">
            <v>15</v>
          </cell>
          <cell r="AW73">
            <v>6068</v>
          </cell>
          <cell r="AX73">
            <v>33</v>
          </cell>
          <cell r="AY73">
            <v>11755</v>
          </cell>
          <cell r="AZ73">
            <v>15</v>
          </cell>
          <cell r="BA73">
            <v>4999</v>
          </cell>
        </row>
        <row r="74">
          <cell r="C74" t="str">
            <v>Denver, CO</v>
          </cell>
          <cell r="D74">
            <v>6</v>
          </cell>
          <cell r="E74">
            <v>753</v>
          </cell>
          <cell r="F74">
            <v>1</v>
          </cell>
          <cell r="G74">
            <v>71</v>
          </cell>
          <cell r="H74">
            <v>2</v>
          </cell>
          <cell r="I74">
            <v>243</v>
          </cell>
          <cell r="J74">
            <v>3</v>
          </cell>
          <cell r="K74">
            <v>314</v>
          </cell>
          <cell r="L74">
            <v>1</v>
          </cell>
          <cell r="M74">
            <v>174</v>
          </cell>
          <cell r="N74">
            <v>1</v>
          </cell>
          <cell r="O74">
            <v>71</v>
          </cell>
          <cell r="P74">
            <v>2</v>
          </cell>
          <cell r="Q74">
            <v>243</v>
          </cell>
          <cell r="R74">
            <v>1</v>
          </cell>
          <cell r="S74">
            <v>174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19</v>
          </cell>
          <cell r="Y74">
            <v>3774</v>
          </cell>
          <cell r="Z74">
            <v>0</v>
          </cell>
          <cell r="AA74">
            <v>0</v>
          </cell>
          <cell r="AQ74" t="str">
            <v>Meridien Hotel</v>
          </cell>
          <cell r="AR74">
            <v>0</v>
          </cell>
          <cell r="AS74">
            <v>0</v>
          </cell>
          <cell r="AT74">
            <v>1</v>
          </cell>
          <cell r="AU74">
            <v>310</v>
          </cell>
          <cell r="AV74">
            <v>1</v>
          </cell>
          <cell r="AW74">
            <v>366</v>
          </cell>
          <cell r="AX74">
            <v>2</v>
          </cell>
          <cell r="AY74">
            <v>676</v>
          </cell>
          <cell r="AZ74">
            <v>0</v>
          </cell>
          <cell r="BA74">
            <v>0</v>
          </cell>
        </row>
        <row r="75">
          <cell r="C75" t="str">
            <v>Detroit, MI</v>
          </cell>
          <cell r="D75">
            <v>5</v>
          </cell>
          <cell r="E75">
            <v>545</v>
          </cell>
          <cell r="F75">
            <v>0</v>
          </cell>
          <cell r="G75">
            <v>0</v>
          </cell>
          <cell r="H75">
            <v>3</v>
          </cell>
          <cell r="I75">
            <v>560</v>
          </cell>
          <cell r="J75">
            <v>3</v>
          </cell>
          <cell r="K75">
            <v>560</v>
          </cell>
          <cell r="L75">
            <v>5</v>
          </cell>
          <cell r="M75">
            <v>551</v>
          </cell>
          <cell r="N75">
            <v>0</v>
          </cell>
          <cell r="O75">
            <v>0</v>
          </cell>
          <cell r="P75">
            <v>3</v>
          </cell>
          <cell r="Q75">
            <v>281</v>
          </cell>
          <cell r="R75">
            <v>5</v>
          </cell>
          <cell r="S75">
            <v>830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22</v>
          </cell>
          <cell r="Y75">
            <v>3583</v>
          </cell>
          <cell r="Z75">
            <v>3</v>
          </cell>
          <cell r="AA75">
            <v>318</v>
          </cell>
          <cell r="AQ75" t="str">
            <v>Microtel Inn</v>
          </cell>
          <cell r="AR75">
            <v>47</v>
          </cell>
          <cell r="AS75">
            <v>3388</v>
          </cell>
          <cell r="AT75">
            <v>40</v>
          </cell>
          <cell r="AU75">
            <v>2662</v>
          </cell>
          <cell r="AV75">
            <v>27</v>
          </cell>
          <cell r="AW75">
            <v>1715</v>
          </cell>
          <cell r="AX75">
            <v>67</v>
          </cell>
          <cell r="AY75">
            <v>4377</v>
          </cell>
          <cell r="AZ75">
            <v>181</v>
          </cell>
          <cell r="BA75">
            <v>12998</v>
          </cell>
        </row>
        <row r="76">
          <cell r="C76" t="str">
            <v>Houston, TX</v>
          </cell>
          <cell r="D76">
            <v>11</v>
          </cell>
          <cell r="E76">
            <v>1005</v>
          </cell>
          <cell r="F76">
            <v>1</v>
          </cell>
          <cell r="G76">
            <v>91</v>
          </cell>
          <cell r="H76">
            <v>1</v>
          </cell>
          <cell r="I76">
            <v>154</v>
          </cell>
          <cell r="J76">
            <v>2</v>
          </cell>
          <cell r="K76">
            <v>245</v>
          </cell>
          <cell r="L76">
            <v>7</v>
          </cell>
          <cell r="M76">
            <v>1753</v>
          </cell>
          <cell r="N76">
            <v>1</v>
          </cell>
          <cell r="O76">
            <v>91</v>
          </cell>
          <cell r="P76">
            <v>5</v>
          </cell>
          <cell r="Q76">
            <v>414</v>
          </cell>
          <cell r="R76">
            <v>2</v>
          </cell>
          <cell r="S76">
            <v>293</v>
          </cell>
          <cell r="T76">
            <v>0</v>
          </cell>
          <cell r="U76">
            <v>0</v>
          </cell>
          <cell r="V76">
            <v>1</v>
          </cell>
          <cell r="W76">
            <v>1200</v>
          </cell>
          <cell r="X76">
            <v>32</v>
          </cell>
          <cell r="Y76">
            <v>5496</v>
          </cell>
          <cell r="Z76">
            <v>4</v>
          </cell>
          <cell r="AA76">
            <v>338</v>
          </cell>
          <cell r="AQ76" t="str">
            <v>Motel 6</v>
          </cell>
          <cell r="AR76">
            <v>16</v>
          </cell>
          <cell r="AS76">
            <v>1114</v>
          </cell>
          <cell r="AT76">
            <v>1</v>
          </cell>
          <cell r="AU76">
            <v>122</v>
          </cell>
          <cell r="AV76">
            <v>0</v>
          </cell>
          <cell r="AW76">
            <v>0</v>
          </cell>
          <cell r="AX76">
            <v>1</v>
          </cell>
          <cell r="AY76">
            <v>122</v>
          </cell>
          <cell r="AZ76">
            <v>0</v>
          </cell>
          <cell r="BA76">
            <v>0</v>
          </cell>
        </row>
        <row r="77">
          <cell r="C77" t="str">
            <v>Los Angeles, CA</v>
          </cell>
          <cell r="D77">
            <v>2</v>
          </cell>
          <cell r="E77">
            <v>286</v>
          </cell>
          <cell r="F77">
            <v>0</v>
          </cell>
          <cell r="G77">
            <v>0</v>
          </cell>
          <cell r="H77">
            <v>3</v>
          </cell>
          <cell r="I77">
            <v>334</v>
          </cell>
          <cell r="J77">
            <v>3</v>
          </cell>
          <cell r="K77">
            <v>334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1</v>
          </cell>
          <cell r="Q77">
            <v>71</v>
          </cell>
          <cell r="R77">
            <v>2</v>
          </cell>
          <cell r="S77">
            <v>263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28</v>
          </cell>
          <cell r="Y77">
            <v>7923</v>
          </cell>
          <cell r="Z77">
            <v>1</v>
          </cell>
          <cell r="AA77">
            <v>162</v>
          </cell>
          <cell r="AQ77" t="str">
            <v>Omni Hotel</v>
          </cell>
          <cell r="AR77">
            <v>0</v>
          </cell>
          <cell r="AS77">
            <v>0</v>
          </cell>
          <cell r="AT77">
            <v>1</v>
          </cell>
          <cell r="AU77">
            <v>360</v>
          </cell>
          <cell r="AV77">
            <v>0</v>
          </cell>
          <cell r="AW77">
            <v>0</v>
          </cell>
          <cell r="AX77">
            <v>1</v>
          </cell>
          <cell r="AY77">
            <v>360</v>
          </cell>
          <cell r="AZ77">
            <v>2</v>
          </cell>
          <cell r="BA77">
            <v>1325</v>
          </cell>
        </row>
        <row r="78">
          <cell r="C78" t="str">
            <v>Miami, FL</v>
          </cell>
          <cell r="D78">
            <v>3</v>
          </cell>
          <cell r="E78">
            <v>417</v>
          </cell>
          <cell r="F78">
            <v>1</v>
          </cell>
          <cell r="G78">
            <v>131</v>
          </cell>
          <cell r="H78">
            <v>0</v>
          </cell>
          <cell r="I78">
            <v>0</v>
          </cell>
          <cell r="J78">
            <v>1</v>
          </cell>
          <cell r="K78">
            <v>131</v>
          </cell>
          <cell r="L78">
            <v>0</v>
          </cell>
          <cell r="M78">
            <v>0</v>
          </cell>
          <cell r="N78">
            <v>1</v>
          </cell>
          <cell r="O78">
            <v>131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14</v>
          </cell>
          <cell r="Y78">
            <v>3520</v>
          </cell>
          <cell r="Z78">
            <v>3</v>
          </cell>
          <cell r="AA78">
            <v>417</v>
          </cell>
          <cell r="AQ78" t="str">
            <v>Passport Inn</v>
          </cell>
          <cell r="AR78">
            <v>1</v>
          </cell>
          <cell r="AS78">
            <v>112</v>
          </cell>
          <cell r="AT78">
            <v>1</v>
          </cell>
          <cell r="AU78">
            <v>36</v>
          </cell>
          <cell r="AV78">
            <v>0</v>
          </cell>
          <cell r="AW78">
            <v>0</v>
          </cell>
          <cell r="AX78">
            <v>1</v>
          </cell>
          <cell r="AY78">
            <v>36</v>
          </cell>
          <cell r="AZ78">
            <v>0</v>
          </cell>
          <cell r="BA78">
            <v>0</v>
          </cell>
        </row>
        <row r="79">
          <cell r="C79" t="str">
            <v>Minneapolis, MN</v>
          </cell>
          <cell r="D79">
            <v>6</v>
          </cell>
          <cell r="E79">
            <v>670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</v>
          </cell>
          <cell r="M79">
            <v>104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1</v>
          </cell>
          <cell r="S79">
            <v>104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24</v>
          </cell>
          <cell r="Y79">
            <v>4866</v>
          </cell>
          <cell r="Z79">
            <v>1</v>
          </cell>
          <cell r="AA79">
            <v>97</v>
          </cell>
          <cell r="AQ79" t="str">
            <v>Platinum Suites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</row>
        <row r="80">
          <cell r="C80" t="str">
            <v>Nashville, TN</v>
          </cell>
          <cell r="D80">
            <v>7</v>
          </cell>
          <cell r="E80">
            <v>916</v>
          </cell>
          <cell r="F80">
            <v>4</v>
          </cell>
          <cell r="G80">
            <v>629</v>
          </cell>
          <cell r="H80">
            <v>0</v>
          </cell>
          <cell r="I80">
            <v>0</v>
          </cell>
          <cell r="J80">
            <v>4</v>
          </cell>
          <cell r="K80">
            <v>629</v>
          </cell>
          <cell r="L80">
            <v>0</v>
          </cell>
          <cell r="M80">
            <v>0</v>
          </cell>
          <cell r="N80">
            <v>4</v>
          </cell>
          <cell r="O80">
            <v>629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21</v>
          </cell>
          <cell r="Y80">
            <v>3092</v>
          </cell>
          <cell r="Z80">
            <v>2</v>
          </cell>
          <cell r="AA80">
            <v>426</v>
          </cell>
          <cell r="AQ80" t="str">
            <v>Quality Inn</v>
          </cell>
          <cell r="AR80">
            <v>9</v>
          </cell>
          <cell r="AS80">
            <v>568</v>
          </cell>
          <cell r="AT80">
            <v>2</v>
          </cell>
          <cell r="AU80">
            <v>142</v>
          </cell>
          <cell r="AV80">
            <v>10</v>
          </cell>
          <cell r="AW80">
            <v>762</v>
          </cell>
          <cell r="AX80">
            <v>12</v>
          </cell>
          <cell r="AY80">
            <v>904</v>
          </cell>
          <cell r="AZ80">
            <v>12</v>
          </cell>
          <cell r="BA80">
            <v>1066</v>
          </cell>
        </row>
        <row r="81">
          <cell r="C81" t="str">
            <v>New Orleans, LA</v>
          </cell>
          <cell r="D81">
            <v>7</v>
          </cell>
          <cell r="E81">
            <v>1058</v>
          </cell>
          <cell r="F81">
            <v>3</v>
          </cell>
          <cell r="G81">
            <v>269</v>
          </cell>
          <cell r="H81">
            <v>2</v>
          </cell>
          <cell r="I81">
            <v>216</v>
          </cell>
          <cell r="J81">
            <v>5</v>
          </cell>
          <cell r="K81">
            <v>485</v>
          </cell>
          <cell r="L81">
            <v>1</v>
          </cell>
          <cell r="M81">
            <v>310</v>
          </cell>
          <cell r="N81">
            <v>3</v>
          </cell>
          <cell r="O81">
            <v>269</v>
          </cell>
          <cell r="P81">
            <v>1</v>
          </cell>
          <cell r="Q81">
            <v>74</v>
          </cell>
          <cell r="R81">
            <v>1</v>
          </cell>
          <cell r="S81">
            <v>142</v>
          </cell>
          <cell r="T81">
            <v>1</v>
          </cell>
          <cell r="U81">
            <v>310</v>
          </cell>
          <cell r="V81">
            <v>1</v>
          </cell>
          <cell r="W81">
            <v>310</v>
          </cell>
          <cell r="X81">
            <v>14</v>
          </cell>
          <cell r="Y81">
            <v>3992</v>
          </cell>
          <cell r="Z81">
            <v>3</v>
          </cell>
          <cell r="AA81">
            <v>696</v>
          </cell>
          <cell r="AQ81" t="str">
            <v>Quality Inn &amp; Suites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</row>
        <row r="82">
          <cell r="C82" t="str">
            <v>New York, NY</v>
          </cell>
          <cell r="D82">
            <v>2</v>
          </cell>
          <cell r="E82">
            <v>907</v>
          </cell>
          <cell r="F82">
            <v>1</v>
          </cell>
          <cell r="G82">
            <v>140</v>
          </cell>
          <cell r="H82">
            <v>2</v>
          </cell>
          <cell r="I82">
            <v>244</v>
          </cell>
          <cell r="J82">
            <v>3</v>
          </cell>
          <cell r="K82">
            <v>384</v>
          </cell>
          <cell r="L82">
            <v>0</v>
          </cell>
          <cell r="M82">
            <v>0</v>
          </cell>
          <cell r="N82">
            <v>1</v>
          </cell>
          <cell r="O82">
            <v>140</v>
          </cell>
          <cell r="P82">
            <v>2</v>
          </cell>
          <cell r="Q82">
            <v>244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11</v>
          </cell>
          <cell r="Y82">
            <v>6332</v>
          </cell>
          <cell r="Z82">
            <v>2</v>
          </cell>
          <cell r="AA82">
            <v>907</v>
          </cell>
          <cell r="AQ82" t="str">
            <v>Quality Suites</v>
          </cell>
          <cell r="AR82">
            <v>3</v>
          </cell>
          <cell r="AS82">
            <v>271</v>
          </cell>
          <cell r="AT82">
            <v>2</v>
          </cell>
          <cell r="AU82">
            <v>172</v>
          </cell>
          <cell r="AV82">
            <v>0</v>
          </cell>
          <cell r="AW82">
            <v>0</v>
          </cell>
          <cell r="AX82">
            <v>2</v>
          </cell>
          <cell r="AY82">
            <v>172</v>
          </cell>
          <cell r="AZ82">
            <v>2</v>
          </cell>
          <cell r="BA82">
            <v>159</v>
          </cell>
        </row>
        <row r="83">
          <cell r="C83" t="str">
            <v>Norfolk, VA</v>
          </cell>
          <cell r="D83">
            <v>4</v>
          </cell>
          <cell r="E83">
            <v>360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3</v>
          </cell>
          <cell r="M83">
            <v>391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3</v>
          </cell>
          <cell r="S83">
            <v>391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16</v>
          </cell>
          <cell r="Y83">
            <v>2024</v>
          </cell>
          <cell r="Z83">
            <v>1</v>
          </cell>
          <cell r="AA83">
            <v>119</v>
          </cell>
          <cell r="AQ83" t="str">
            <v>Radisson Hotel</v>
          </cell>
          <cell r="AR83">
            <v>2</v>
          </cell>
          <cell r="AS83">
            <v>460</v>
          </cell>
          <cell r="AT83">
            <v>4</v>
          </cell>
          <cell r="AU83">
            <v>648</v>
          </cell>
          <cell r="AV83">
            <v>1</v>
          </cell>
          <cell r="AW83">
            <v>120</v>
          </cell>
          <cell r="AX83">
            <v>5</v>
          </cell>
          <cell r="AY83">
            <v>768</v>
          </cell>
          <cell r="AZ83">
            <v>7</v>
          </cell>
          <cell r="BA83">
            <v>1630</v>
          </cell>
        </row>
        <row r="84">
          <cell r="C84" t="str">
            <v>Oahu Island, HI</v>
          </cell>
          <cell r="D84">
            <v>0</v>
          </cell>
          <cell r="E84">
            <v>0</v>
          </cell>
          <cell r="F84">
            <v>1</v>
          </cell>
          <cell r="G84">
            <v>453</v>
          </cell>
          <cell r="H84">
            <v>0</v>
          </cell>
          <cell r="I84">
            <v>0</v>
          </cell>
          <cell r="J84">
            <v>1</v>
          </cell>
          <cell r="K84">
            <v>453</v>
          </cell>
          <cell r="L84">
            <v>0</v>
          </cell>
          <cell r="M84">
            <v>0</v>
          </cell>
          <cell r="N84">
            <v>1</v>
          </cell>
          <cell r="O84">
            <v>453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3</v>
          </cell>
          <cell r="Y84">
            <v>3378</v>
          </cell>
          <cell r="Z84">
            <v>0</v>
          </cell>
          <cell r="AA84">
            <v>0</v>
          </cell>
          <cell r="AQ84" t="str">
            <v>Ramada Inn</v>
          </cell>
          <cell r="AR84">
            <v>6</v>
          </cell>
          <cell r="AS84">
            <v>378</v>
          </cell>
          <cell r="AT84">
            <v>5</v>
          </cell>
          <cell r="AU84">
            <v>414</v>
          </cell>
          <cell r="AV84">
            <v>3</v>
          </cell>
          <cell r="AW84">
            <v>701</v>
          </cell>
          <cell r="AX84">
            <v>8</v>
          </cell>
          <cell r="AY84">
            <v>1115</v>
          </cell>
          <cell r="AZ84">
            <v>17</v>
          </cell>
          <cell r="BA84">
            <v>2356</v>
          </cell>
        </row>
        <row r="85">
          <cell r="C85" t="str">
            <v>Orlando, FL</v>
          </cell>
          <cell r="D85">
            <v>15</v>
          </cell>
          <cell r="E85">
            <v>2174</v>
          </cell>
          <cell r="F85">
            <v>2</v>
          </cell>
          <cell r="G85">
            <v>355</v>
          </cell>
          <cell r="H85">
            <v>1</v>
          </cell>
          <cell r="I85">
            <v>150</v>
          </cell>
          <cell r="J85">
            <v>3</v>
          </cell>
          <cell r="K85">
            <v>505</v>
          </cell>
          <cell r="L85">
            <v>8</v>
          </cell>
          <cell r="M85">
            <v>4606</v>
          </cell>
          <cell r="N85">
            <v>2</v>
          </cell>
          <cell r="O85">
            <v>355</v>
          </cell>
          <cell r="P85">
            <v>0</v>
          </cell>
          <cell r="Q85">
            <v>0</v>
          </cell>
          <cell r="R85">
            <v>5</v>
          </cell>
          <cell r="S85">
            <v>1072</v>
          </cell>
          <cell r="T85">
            <v>3</v>
          </cell>
          <cell r="U85">
            <v>1684</v>
          </cell>
          <cell r="V85">
            <v>4</v>
          </cell>
          <cell r="W85">
            <v>3684</v>
          </cell>
          <cell r="X85">
            <v>34</v>
          </cell>
          <cell r="Y85">
            <v>6840</v>
          </cell>
          <cell r="Z85">
            <v>3</v>
          </cell>
          <cell r="AA85">
            <v>367</v>
          </cell>
          <cell r="AQ85" t="str">
            <v>Ramada Limited</v>
          </cell>
          <cell r="AR85">
            <v>6</v>
          </cell>
          <cell r="AS85">
            <v>305</v>
          </cell>
          <cell r="AT85">
            <v>5</v>
          </cell>
          <cell r="AU85">
            <v>392</v>
          </cell>
          <cell r="AV85">
            <v>4</v>
          </cell>
          <cell r="AW85">
            <v>765</v>
          </cell>
          <cell r="AX85">
            <v>9</v>
          </cell>
          <cell r="AY85">
            <v>1157</v>
          </cell>
          <cell r="AZ85">
            <v>5</v>
          </cell>
          <cell r="BA85">
            <v>1011</v>
          </cell>
        </row>
        <row r="86">
          <cell r="C86" t="str">
            <v>Philadelphia, PA</v>
          </cell>
          <cell r="D86">
            <v>9</v>
          </cell>
          <cell r="E86">
            <v>1255</v>
          </cell>
          <cell r="F86">
            <v>4</v>
          </cell>
          <cell r="G86">
            <v>566</v>
          </cell>
          <cell r="H86">
            <v>1</v>
          </cell>
          <cell r="I86">
            <v>72</v>
          </cell>
          <cell r="J86">
            <v>5</v>
          </cell>
          <cell r="K86">
            <v>638</v>
          </cell>
          <cell r="L86">
            <v>1</v>
          </cell>
          <cell r="M86">
            <v>80</v>
          </cell>
          <cell r="N86">
            <v>2</v>
          </cell>
          <cell r="O86">
            <v>330</v>
          </cell>
          <cell r="P86">
            <v>3</v>
          </cell>
          <cell r="Q86">
            <v>244</v>
          </cell>
          <cell r="R86">
            <v>1</v>
          </cell>
          <cell r="S86">
            <v>144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26</v>
          </cell>
          <cell r="Y86">
            <v>5326</v>
          </cell>
          <cell r="Z86">
            <v>1</v>
          </cell>
          <cell r="AA86">
            <v>279</v>
          </cell>
          <cell r="AQ86" t="str">
            <v>Ramada Plaza</v>
          </cell>
          <cell r="AR86">
            <v>0</v>
          </cell>
          <cell r="AS86">
            <v>0</v>
          </cell>
          <cell r="AT86">
            <v>1</v>
          </cell>
          <cell r="AU86">
            <v>156</v>
          </cell>
          <cell r="AV86">
            <v>1</v>
          </cell>
          <cell r="AW86">
            <v>120</v>
          </cell>
          <cell r="AX86">
            <v>2</v>
          </cell>
          <cell r="AY86">
            <v>276</v>
          </cell>
          <cell r="AZ86">
            <v>0</v>
          </cell>
          <cell r="BA86">
            <v>0</v>
          </cell>
        </row>
        <row r="87">
          <cell r="C87" t="str">
            <v>Phoenix, AZ</v>
          </cell>
          <cell r="D87">
            <v>13</v>
          </cell>
          <cell r="E87">
            <v>1807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3</v>
          </cell>
          <cell r="M87">
            <v>450</v>
          </cell>
          <cell r="N87">
            <v>0</v>
          </cell>
          <cell r="O87">
            <v>0</v>
          </cell>
          <cell r="P87">
            <v>1</v>
          </cell>
          <cell r="Q87">
            <v>80</v>
          </cell>
          <cell r="R87">
            <v>2</v>
          </cell>
          <cell r="S87">
            <v>370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36</v>
          </cell>
          <cell r="Y87">
            <v>7785</v>
          </cell>
          <cell r="Z87">
            <v>2</v>
          </cell>
          <cell r="AA87">
            <v>387</v>
          </cell>
          <cell r="AQ87" t="str">
            <v>Red Carpet Inn</v>
          </cell>
          <cell r="AR87">
            <v>1</v>
          </cell>
          <cell r="AS87">
            <v>150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</row>
        <row r="88">
          <cell r="C88" t="str">
            <v>Saint Louis, MO</v>
          </cell>
          <cell r="D88">
            <v>7</v>
          </cell>
          <cell r="E88">
            <v>898</v>
          </cell>
          <cell r="F88">
            <v>1</v>
          </cell>
          <cell r="G88">
            <v>84</v>
          </cell>
          <cell r="H88">
            <v>0</v>
          </cell>
          <cell r="I88">
            <v>0</v>
          </cell>
          <cell r="J88">
            <v>1</v>
          </cell>
          <cell r="K88">
            <v>84</v>
          </cell>
          <cell r="L88">
            <v>3</v>
          </cell>
          <cell r="M88">
            <v>325</v>
          </cell>
          <cell r="N88">
            <v>1</v>
          </cell>
          <cell r="O88">
            <v>84</v>
          </cell>
          <cell r="P88">
            <v>2</v>
          </cell>
          <cell r="Q88">
            <v>175</v>
          </cell>
          <cell r="R88">
            <v>1</v>
          </cell>
          <cell r="S88">
            <v>150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19</v>
          </cell>
          <cell r="Y88">
            <v>3148</v>
          </cell>
          <cell r="Z88">
            <v>3</v>
          </cell>
          <cell r="AA88">
            <v>440</v>
          </cell>
          <cell r="AQ88" t="str">
            <v>Red Lion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</row>
        <row r="89">
          <cell r="C89" t="str">
            <v>San Diego, CA</v>
          </cell>
          <cell r="D89">
            <v>3</v>
          </cell>
          <cell r="E89">
            <v>542</v>
          </cell>
          <cell r="F89">
            <v>2</v>
          </cell>
          <cell r="G89">
            <v>248</v>
          </cell>
          <cell r="H89">
            <v>1</v>
          </cell>
          <cell r="I89">
            <v>155</v>
          </cell>
          <cell r="J89">
            <v>3</v>
          </cell>
          <cell r="K89">
            <v>403</v>
          </cell>
          <cell r="L89">
            <v>2</v>
          </cell>
          <cell r="M89">
            <v>290</v>
          </cell>
          <cell r="N89">
            <v>2</v>
          </cell>
          <cell r="O89">
            <v>248</v>
          </cell>
          <cell r="P89">
            <v>0</v>
          </cell>
          <cell r="Q89">
            <v>0</v>
          </cell>
          <cell r="R89">
            <v>3</v>
          </cell>
          <cell r="S89">
            <v>445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17</v>
          </cell>
          <cell r="Y89">
            <v>4393</v>
          </cell>
          <cell r="Z89">
            <v>3</v>
          </cell>
          <cell r="AA89">
            <v>542</v>
          </cell>
          <cell r="AQ89" t="str">
            <v>Red Roof Inn</v>
          </cell>
          <cell r="AR89">
            <v>16</v>
          </cell>
          <cell r="AS89">
            <v>1327</v>
          </cell>
          <cell r="AT89">
            <v>1</v>
          </cell>
          <cell r="AU89">
            <v>113</v>
          </cell>
          <cell r="AV89">
            <v>4</v>
          </cell>
          <cell r="AW89">
            <v>476</v>
          </cell>
          <cell r="AX89">
            <v>5</v>
          </cell>
          <cell r="AY89">
            <v>589</v>
          </cell>
          <cell r="AZ89">
            <v>5</v>
          </cell>
          <cell r="BA89">
            <v>561</v>
          </cell>
        </row>
        <row r="90">
          <cell r="C90" t="str">
            <v>San Francisco, CA</v>
          </cell>
          <cell r="D90">
            <v>4</v>
          </cell>
          <cell r="E90">
            <v>556</v>
          </cell>
          <cell r="F90">
            <v>2</v>
          </cell>
          <cell r="G90">
            <v>148</v>
          </cell>
          <cell r="H90">
            <v>2</v>
          </cell>
          <cell r="I90">
            <v>492</v>
          </cell>
          <cell r="J90">
            <v>4</v>
          </cell>
          <cell r="K90">
            <v>640</v>
          </cell>
          <cell r="L90">
            <v>4</v>
          </cell>
          <cell r="M90">
            <v>843</v>
          </cell>
          <cell r="N90">
            <v>2</v>
          </cell>
          <cell r="O90">
            <v>148</v>
          </cell>
          <cell r="P90">
            <v>0</v>
          </cell>
          <cell r="Q90">
            <v>0</v>
          </cell>
          <cell r="R90">
            <v>4</v>
          </cell>
          <cell r="S90">
            <v>775</v>
          </cell>
          <cell r="T90">
            <v>1</v>
          </cell>
          <cell r="U90">
            <v>160</v>
          </cell>
          <cell r="V90">
            <v>2</v>
          </cell>
          <cell r="W90">
            <v>560</v>
          </cell>
          <cell r="X90">
            <v>11</v>
          </cell>
          <cell r="Y90">
            <v>4097</v>
          </cell>
          <cell r="Z90">
            <v>1</v>
          </cell>
          <cell r="AA90">
            <v>132</v>
          </cell>
          <cell r="AQ90" t="str">
            <v>Renaissance Hotel</v>
          </cell>
          <cell r="AR90">
            <v>3</v>
          </cell>
          <cell r="AS90">
            <v>640</v>
          </cell>
          <cell r="AT90">
            <v>11</v>
          </cell>
          <cell r="AU90">
            <v>2967</v>
          </cell>
          <cell r="AV90">
            <v>5</v>
          </cell>
          <cell r="AW90">
            <v>1930</v>
          </cell>
          <cell r="AX90">
            <v>16</v>
          </cell>
          <cell r="AY90">
            <v>4897</v>
          </cell>
          <cell r="AZ90">
            <v>9</v>
          </cell>
          <cell r="BA90">
            <v>2638</v>
          </cell>
        </row>
        <row r="91">
          <cell r="C91" t="str">
            <v>Seattle, WA</v>
          </cell>
          <cell r="D91">
            <v>4</v>
          </cell>
          <cell r="E91">
            <v>576</v>
          </cell>
          <cell r="F91">
            <v>1</v>
          </cell>
          <cell r="G91">
            <v>265</v>
          </cell>
          <cell r="H91">
            <v>1</v>
          </cell>
          <cell r="I91">
            <v>85</v>
          </cell>
          <cell r="J91">
            <v>2</v>
          </cell>
          <cell r="K91">
            <v>350</v>
          </cell>
          <cell r="L91">
            <v>0</v>
          </cell>
          <cell r="M91">
            <v>0</v>
          </cell>
          <cell r="N91">
            <v>1</v>
          </cell>
          <cell r="O91">
            <v>265</v>
          </cell>
          <cell r="P91">
            <v>1</v>
          </cell>
          <cell r="Q91">
            <v>85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19</v>
          </cell>
          <cell r="Y91">
            <v>4251</v>
          </cell>
          <cell r="Z91">
            <v>1</v>
          </cell>
          <cell r="AA91">
            <v>131</v>
          </cell>
          <cell r="AQ91" t="str">
            <v>Residence Inn</v>
          </cell>
          <cell r="AR91">
            <v>34</v>
          </cell>
          <cell r="AS91">
            <v>3647</v>
          </cell>
          <cell r="AT91">
            <v>31</v>
          </cell>
          <cell r="AU91">
            <v>4195</v>
          </cell>
          <cell r="AV91">
            <v>53</v>
          </cell>
          <cell r="AW91">
            <v>6474</v>
          </cell>
          <cell r="AX91">
            <v>84</v>
          </cell>
          <cell r="AY91">
            <v>10669</v>
          </cell>
          <cell r="AZ91">
            <v>28</v>
          </cell>
          <cell r="BA91">
            <v>3922</v>
          </cell>
        </row>
        <row r="92">
          <cell r="C92" t="str">
            <v>Tampa, FL</v>
          </cell>
          <cell r="D92">
            <v>8</v>
          </cell>
          <cell r="E92">
            <v>1010</v>
          </cell>
          <cell r="F92">
            <v>2</v>
          </cell>
          <cell r="G92">
            <v>236</v>
          </cell>
          <cell r="H92">
            <v>1</v>
          </cell>
          <cell r="I92">
            <v>84</v>
          </cell>
          <cell r="J92">
            <v>3</v>
          </cell>
          <cell r="K92">
            <v>320</v>
          </cell>
          <cell r="L92">
            <v>1</v>
          </cell>
          <cell r="M92">
            <v>150</v>
          </cell>
          <cell r="N92">
            <v>1</v>
          </cell>
          <cell r="O92">
            <v>86</v>
          </cell>
          <cell r="P92">
            <v>2</v>
          </cell>
          <cell r="Q92">
            <v>234</v>
          </cell>
          <cell r="R92">
            <v>1</v>
          </cell>
          <cell r="S92">
            <v>150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22</v>
          </cell>
          <cell r="Y92">
            <v>3829</v>
          </cell>
          <cell r="Z92">
            <v>2</v>
          </cell>
          <cell r="AA92">
            <v>280</v>
          </cell>
          <cell r="AQ92" t="str">
            <v>Ritz-Carlton</v>
          </cell>
          <cell r="AR92">
            <v>3</v>
          </cell>
          <cell r="AS92">
            <v>1082</v>
          </cell>
          <cell r="AT92">
            <v>12</v>
          </cell>
          <cell r="AU92">
            <v>2895</v>
          </cell>
          <cell r="AV92">
            <v>7</v>
          </cell>
          <cell r="AW92">
            <v>2434</v>
          </cell>
          <cell r="AX92">
            <v>19</v>
          </cell>
          <cell r="AY92">
            <v>5329</v>
          </cell>
          <cell r="AZ92">
            <v>4</v>
          </cell>
          <cell r="BA92">
            <v>1183</v>
          </cell>
        </row>
        <row r="93">
          <cell r="C93" t="str">
            <v>Washington, DC</v>
          </cell>
          <cell r="D93">
            <v>13</v>
          </cell>
          <cell r="E93">
            <v>1749</v>
          </cell>
          <cell r="F93">
            <v>4</v>
          </cell>
          <cell r="G93">
            <v>565</v>
          </cell>
          <cell r="H93">
            <v>2</v>
          </cell>
          <cell r="I93">
            <v>240</v>
          </cell>
          <cell r="J93">
            <v>6</v>
          </cell>
          <cell r="K93">
            <v>805</v>
          </cell>
          <cell r="L93">
            <v>3</v>
          </cell>
          <cell r="M93">
            <v>840</v>
          </cell>
          <cell r="N93">
            <v>2</v>
          </cell>
          <cell r="O93">
            <v>255</v>
          </cell>
          <cell r="P93">
            <v>3</v>
          </cell>
          <cell r="Q93">
            <v>460</v>
          </cell>
          <cell r="R93">
            <v>3</v>
          </cell>
          <cell r="S93">
            <v>380</v>
          </cell>
          <cell r="T93">
            <v>0</v>
          </cell>
          <cell r="U93">
            <v>0</v>
          </cell>
          <cell r="V93">
            <v>1</v>
          </cell>
          <cell r="W93">
            <v>550</v>
          </cell>
          <cell r="X93">
            <v>46</v>
          </cell>
          <cell r="Y93">
            <v>10813</v>
          </cell>
          <cell r="Z93">
            <v>7</v>
          </cell>
          <cell r="AA93">
            <v>1036</v>
          </cell>
          <cell r="AQ93" t="str">
            <v>Scottish Inn</v>
          </cell>
          <cell r="AR93">
            <v>3</v>
          </cell>
          <cell r="AS93">
            <v>91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</row>
        <row r="94">
          <cell r="AQ94" t="str">
            <v>Sheraton Hotel</v>
          </cell>
          <cell r="AR94">
            <v>1</v>
          </cell>
          <cell r="AS94">
            <v>286</v>
          </cell>
          <cell r="AT94">
            <v>6</v>
          </cell>
          <cell r="AU94">
            <v>1797</v>
          </cell>
          <cell r="AV94">
            <v>3</v>
          </cell>
          <cell r="AW94">
            <v>2564</v>
          </cell>
          <cell r="AX94">
            <v>9</v>
          </cell>
          <cell r="AY94">
            <v>4361</v>
          </cell>
          <cell r="AZ94">
            <v>2</v>
          </cell>
          <cell r="BA94">
            <v>425</v>
          </cell>
        </row>
        <row r="95">
          <cell r="AQ95" t="str">
            <v>Shoney's Inn</v>
          </cell>
          <cell r="AR95">
            <v>2</v>
          </cell>
          <cell r="AS95">
            <v>105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</row>
        <row r="96">
          <cell r="AQ96" t="str">
            <v>Sierra Suites</v>
          </cell>
          <cell r="AR96">
            <v>1</v>
          </cell>
          <cell r="AS96">
            <v>137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</row>
        <row r="97">
          <cell r="AQ97" t="str">
            <v>Sleep Inn</v>
          </cell>
          <cell r="AR97">
            <v>35</v>
          </cell>
          <cell r="AS97">
            <v>2689</v>
          </cell>
          <cell r="AT97">
            <v>10</v>
          </cell>
          <cell r="AU97">
            <v>748</v>
          </cell>
          <cell r="AV97">
            <v>21</v>
          </cell>
          <cell r="AW97">
            <v>1584</v>
          </cell>
          <cell r="AX97">
            <v>31</v>
          </cell>
          <cell r="AY97">
            <v>2332</v>
          </cell>
          <cell r="AZ97">
            <v>32</v>
          </cell>
          <cell r="BA97">
            <v>2353</v>
          </cell>
        </row>
        <row r="98">
          <cell r="AQ98" t="str">
            <v>SpringHill Suites</v>
          </cell>
          <cell r="AR98">
            <v>27</v>
          </cell>
          <cell r="AS98">
            <v>3177</v>
          </cell>
          <cell r="AT98">
            <v>21</v>
          </cell>
          <cell r="AU98">
            <v>2911</v>
          </cell>
          <cell r="AV98">
            <v>32</v>
          </cell>
          <cell r="AW98">
            <v>4114</v>
          </cell>
          <cell r="AX98">
            <v>53</v>
          </cell>
          <cell r="AY98">
            <v>7025</v>
          </cell>
          <cell r="AZ98">
            <v>16</v>
          </cell>
          <cell r="BA98">
            <v>2567</v>
          </cell>
        </row>
        <row r="99">
          <cell r="AQ99" t="str">
            <v>Staybridge Suites</v>
          </cell>
          <cell r="AR99">
            <v>12</v>
          </cell>
          <cell r="AS99">
            <v>1439</v>
          </cell>
          <cell r="AT99">
            <v>20</v>
          </cell>
          <cell r="AU99">
            <v>2174</v>
          </cell>
          <cell r="AV99">
            <v>11</v>
          </cell>
          <cell r="AW99">
            <v>1132</v>
          </cell>
          <cell r="AX99">
            <v>31</v>
          </cell>
          <cell r="AY99">
            <v>3306</v>
          </cell>
          <cell r="AZ99">
            <v>17</v>
          </cell>
          <cell r="BA99">
            <v>1832</v>
          </cell>
        </row>
        <row r="100">
          <cell r="AQ100" t="str">
            <v>Studio 6</v>
          </cell>
          <cell r="AR100">
            <v>3</v>
          </cell>
          <cell r="AS100">
            <v>370</v>
          </cell>
          <cell r="AT100">
            <v>0</v>
          </cell>
          <cell r="AU100">
            <v>0</v>
          </cell>
          <cell r="AV100">
            <v>1</v>
          </cell>
          <cell r="AW100">
            <v>124</v>
          </cell>
          <cell r="AX100">
            <v>1</v>
          </cell>
          <cell r="AY100">
            <v>124</v>
          </cell>
          <cell r="AZ100">
            <v>1</v>
          </cell>
          <cell r="BA100">
            <v>124</v>
          </cell>
        </row>
        <row r="101">
          <cell r="AQ101" t="str">
            <v>StudioPlus Hotel</v>
          </cell>
          <cell r="AR101">
            <v>1</v>
          </cell>
          <cell r="AS101">
            <v>86</v>
          </cell>
          <cell r="AT101">
            <v>2</v>
          </cell>
          <cell r="AU101">
            <v>196</v>
          </cell>
          <cell r="AV101">
            <v>0</v>
          </cell>
          <cell r="AW101">
            <v>0</v>
          </cell>
          <cell r="AX101">
            <v>2</v>
          </cell>
          <cell r="AY101">
            <v>196</v>
          </cell>
          <cell r="AZ101">
            <v>0</v>
          </cell>
          <cell r="BA101">
            <v>0</v>
          </cell>
        </row>
        <row r="102">
          <cell r="AQ102" t="str">
            <v>Suburban Lodge</v>
          </cell>
          <cell r="AR102">
            <v>11</v>
          </cell>
          <cell r="AS102">
            <v>1641</v>
          </cell>
          <cell r="AT102">
            <v>2</v>
          </cell>
          <cell r="AU102">
            <v>281</v>
          </cell>
          <cell r="AV102">
            <v>3</v>
          </cell>
          <cell r="AW102">
            <v>367</v>
          </cell>
          <cell r="AX102">
            <v>5</v>
          </cell>
          <cell r="AY102">
            <v>648</v>
          </cell>
          <cell r="AZ102">
            <v>2</v>
          </cell>
          <cell r="BA102">
            <v>290</v>
          </cell>
        </row>
        <row r="103">
          <cell r="AQ103" t="str">
            <v>Summerfield Suites by Wyndham</v>
          </cell>
          <cell r="AR103">
            <v>2</v>
          </cell>
          <cell r="AS103">
            <v>291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</row>
        <row r="104">
          <cell r="AQ104" t="str">
            <v>Sumner Suites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</row>
        <row r="105">
          <cell r="AQ105" t="str">
            <v>Sun Suites</v>
          </cell>
          <cell r="AR105">
            <v>2</v>
          </cell>
          <cell r="AS105">
            <v>270</v>
          </cell>
          <cell r="AT105">
            <v>1</v>
          </cell>
          <cell r="AU105">
            <v>135</v>
          </cell>
          <cell r="AV105">
            <v>0</v>
          </cell>
          <cell r="AW105">
            <v>0</v>
          </cell>
          <cell r="AX105">
            <v>1</v>
          </cell>
          <cell r="AY105">
            <v>135</v>
          </cell>
          <cell r="AZ105">
            <v>0</v>
          </cell>
          <cell r="BA105">
            <v>0</v>
          </cell>
        </row>
        <row r="106">
          <cell r="AQ106" t="str">
            <v>Super 8</v>
          </cell>
          <cell r="AR106">
            <v>48</v>
          </cell>
          <cell r="AS106">
            <v>2513</v>
          </cell>
          <cell r="AT106">
            <v>26</v>
          </cell>
          <cell r="AU106">
            <v>1378</v>
          </cell>
          <cell r="AV106">
            <v>17</v>
          </cell>
          <cell r="AW106">
            <v>1013</v>
          </cell>
          <cell r="AX106">
            <v>43</v>
          </cell>
          <cell r="AY106">
            <v>2391</v>
          </cell>
          <cell r="AZ106">
            <v>79</v>
          </cell>
          <cell r="BA106">
            <v>5734</v>
          </cell>
        </row>
        <row r="107">
          <cell r="AQ107" t="str">
            <v>TownePlace Suites</v>
          </cell>
          <cell r="AR107">
            <v>22</v>
          </cell>
          <cell r="AS107">
            <v>2410</v>
          </cell>
          <cell r="AT107">
            <v>9</v>
          </cell>
          <cell r="AU107">
            <v>1027</v>
          </cell>
          <cell r="AV107">
            <v>7</v>
          </cell>
          <cell r="AW107">
            <v>727</v>
          </cell>
          <cell r="AX107">
            <v>16</v>
          </cell>
          <cell r="AY107">
            <v>1754</v>
          </cell>
          <cell r="AZ107">
            <v>5</v>
          </cell>
          <cell r="BA107">
            <v>531</v>
          </cell>
        </row>
        <row r="108">
          <cell r="AQ108" t="str">
            <v>Travelodge</v>
          </cell>
          <cell r="AR108">
            <v>6</v>
          </cell>
          <cell r="AS108">
            <v>367</v>
          </cell>
          <cell r="AT108">
            <v>4</v>
          </cell>
          <cell r="AU108">
            <v>261</v>
          </cell>
          <cell r="AV108">
            <v>5</v>
          </cell>
          <cell r="AW108">
            <v>465</v>
          </cell>
          <cell r="AX108">
            <v>9</v>
          </cell>
          <cell r="AY108">
            <v>726</v>
          </cell>
          <cell r="AZ108">
            <v>9</v>
          </cell>
          <cell r="BA108">
            <v>868</v>
          </cell>
        </row>
        <row r="109">
          <cell r="AQ109" t="str">
            <v>Villager Lodge</v>
          </cell>
          <cell r="AR109">
            <v>1</v>
          </cell>
          <cell r="AS109">
            <v>40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18</v>
          </cell>
          <cell r="BA109">
            <v>1800</v>
          </cell>
        </row>
        <row r="110">
          <cell r="AQ110" t="str">
            <v>W Hotel</v>
          </cell>
          <cell r="AR110">
            <v>2</v>
          </cell>
          <cell r="AS110">
            <v>444</v>
          </cell>
          <cell r="AT110">
            <v>2</v>
          </cell>
          <cell r="AU110">
            <v>774</v>
          </cell>
          <cell r="AV110">
            <v>1</v>
          </cell>
          <cell r="AW110">
            <v>192</v>
          </cell>
          <cell r="AX110">
            <v>3</v>
          </cell>
          <cell r="AY110">
            <v>966</v>
          </cell>
          <cell r="AZ110">
            <v>0</v>
          </cell>
          <cell r="BA110">
            <v>0</v>
          </cell>
        </row>
        <row r="111">
          <cell r="AQ111" t="str">
            <v>Wellesley Inn</v>
          </cell>
          <cell r="AR111">
            <v>0</v>
          </cell>
          <cell r="AS111">
            <v>0</v>
          </cell>
          <cell r="AT111">
            <v>1</v>
          </cell>
          <cell r="AU111">
            <v>65</v>
          </cell>
          <cell r="AV111">
            <v>0</v>
          </cell>
          <cell r="AW111">
            <v>0</v>
          </cell>
          <cell r="AX111">
            <v>1</v>
          </cell>
          <cell r="AY111">
            <v>65</v>
          </cell>
          <cell r="AZ111">
            <v>0</v>
          </cell>
          <cell r="BA111">
            <v>0</v>
          </cell>
        </row>
        <row r="112">
          <cell r="C112" t="str">
            <v>Anaheim, CA</v>
          </cell>
          <cell r="D112">
            <v>1</v>
          </cell>
          <cell r="E112">
            <v>140</v>
          </cell>
          <cell r="F112">
            <v>2</v>
          </cell>
          <cell r="G112">
            <v>545</v>
          </cell>
          <cell r="H112">
            <v>4</v>
          </cell>
          <cell r="I112">
            <v>719</v>
          </cell>
          <cell r="J112">
            <v>6</v>
          </cell>
          <cell r="K112">
            <v>1264</v>
          </cell>
          <cell r="L112">
            <v>1</v>
          </cell>
          <cell r="M112">
            <v>308</v>
          </cell>
          <cell r="N112">
            <v>2</v>
          </cell>
          <cell r="O112">
            <v>545</v>
          </cell>
          <cell r="P112">
            <v>0</v>
          </cell>
          <cell r="Q112">
            <v>0</v>
          </cell>
          <cell r="R112">
            <v>4</v>
          </cell>
          <cell r="S112">
            <v>719</v>
          </cell>
          <cell r="T112">
            <v>1</v>
          </cell>
          <cell r="U112">
            <v>308</v>
          </cell>
          <cell r="V112">
            <v>1</v>
          </cell>
          <cell r="W112">
            <v>308</v>
          </cell>
          <cell r="X112">
            <v>26</v>
          </cell>
          <cell r="Y112">
            <v>6452</v>
          </cell>
          <cell r="Z112">
            <v>0</v>
          </cell>
          <cell r="AA112">
            <v>0</v>
          </cell>
          <cell r="AQ112" t="str">
            <v>WestCoast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1</v>
          </cell>
          <cell r="BA112">
            <v>100</v>
          </cell>
        </row>
        <row r="113">
          <cell r="C113" t="str">
            <v>Atlanta, GA</v>
          </cell>
          <cell r="D113">
            <v>20</v>
          </cell>
          <cell r="E113">
            <v>2279</v>
          </cell>
          <cell r="F113">
            <v>2</v>
          </cell>
          <cell r="G113">
            <v>247</v>
          </cell>
          <cell r="H113">
            <v>4</v>
          </cell>
          <cell r="I113">
            <v>395</v>
          </cell>
          <cell r="J113">
            <v>6</v>
          </cell>
          <cell r="K113">
            <v>642</v>
          </cell>
          <cell r="L113">
            <v>4</v>
          </cell>
          <cell r="M113">
            <v>719</v>
          </cell>
          <cell r="N113">
            <v>3</v>
          </cell>
          <cell r="O113">
            <v>344</v>
          </cell>
          <cell r="P113">
            <v>1</v>
          </cell>
          <cell r="Q113">
            <v>98</v>
          </cell>
          <cell r="R113">
            <v>6</v>
          </cell>
          <cell r="S113">
            <v>919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74</v>
          </cell>
          <cell r="Y113">
            <v>15242</v>
          </cell>
          <cell r="Z113">
            <v>6</v>
          </cell>
          <cell r="AA113">
            <v>806</v>
          </cell>
          <cell r="AQ113" t="str">
            <v>Westin  Hotel</v>
          </cell>
          <cell r="AR113">
            <v>4</v>
          </cell>
          <cell r="AS113">
            <v>1055</v>
          </cell>
          <cell r="AT113">
            <v>6</v>
          </cell>
          <cell r="AU113">
            <v>2883</v>
          </cell>
          <cell r="AV113">
            <v>3</v>
          </cell>
          <cell r="AW113">
            <v>1458</v>
          </cell>
          <cell r="AX113">
            <v>9</v>
          </cell>
          <cell r="AY113">
            <v>4341</v>
          </cell>
          <cell r="AZ113">
            <v>4</v>
          </cell>
          <cell r="BA113">
            <v>1480</v>
          </cell>
        </row>
        <row r="114">
          <cell r="C114" t="str">
            <v>Boston, MA</v>
          </cell>
          <cell r="D114">
            <v>7</v>
          </cell>
          <cell r="E114">
            <v>899</v>
          </cell>
          <cell r="F114">
            <v>7</v>
          </cell>
          <cell r="G114">
            <v>1272</v>
          </cell>
          <cell r="H114">
            <v>7</v>
          </cell>
          <cell r="I114">
            <v>1109</v>
          </cell>
          <cell r="J114">
            <v>14</v>
          </cell>
          <cell r="K114">
            <v>2381</v>
          </cell>
          <cell r="L114">
            <v>2</v>
          </cell>
          <cell r="M114">
            <v>307</v>
          </cell>
          <cell r="N114">
            <v>7</v>
          </cell>
          <cell r="O114">
            <v>1272</v>
          </cell>
          <cell r="P114">
            <v>2</v>
          </cell>
          <cell r="Q114">
            <v>312</v>
          </cell>
          <cell r="R114">
            <v>7</v>
          </cell>
          <cell r="S114">
            <v>1104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28</v>
          </cell>
          <cell r="Y114">
            <v>6055</v>
          </cell>
          <cell r="Z114">
            <v>2</v>
          </cell>
          <cell r="AA114">
            <v>279</v>
          </cell>
          <cell r="AQ114" t="str">
            <v>Wingate Inn</v>
          </cell>
          <cell r="AR114">
            <v>22</v>
          </cell>
          <cell r="AS114">
            <v>2052</v>
          </cell>
          <cell r="AT114">
            <v>23</v>
          </cell>
          <cell r="AU114">
            <v>2256</v>
          </cell>
          <cell r="AV114">
            <v>27</v>
          </cell>
          <cell r="AW114">
            <v>2714</v>
          </cell>
          <cell r="AX114">
            <v>50</v>
          </cell>
          <cell r="AY114">
            <v>4970</v>
          </cell>
          <cell r="AZ114">
            <v>80</v>
          </cell>
          <cell r="BA114">
            <v>8974</v>
          </cell>
        </row>
        <row r="115">
          <cell r="C115" t="str">
            <v>Chicago, IL</v>
          </cell>
          <cell r="D115">
            <v>4</v>
          </cell>
          <cell r="E115">
            <v>585</v>
          </cell>
          <cell r="F115">
            <v>5</v>
          </cell>
          <cell r="G115">
            <v>934</v>
          </cell>
          <cell r="H115">
            <v>5</v>
          </cell>
          <cell r="I115">
            <v>977</v>
          </cell>
          <cell r="J115">
            <v>10</v>
          </cell>
          <cell r="K115">
            <v>1911</v>
          </cell>
          <cell r="L115">
            <v>7</v>
          </cell>
          <cell r="M115">
            <v>1901</v>
          </cell>
          <cell r="N115">
            <v>5</v>
          </cell>
          <cell r="O115">
            <v>934</v>
          </cell>
          <cell r="P115">
            <v>2</v>
          </cell>
          <cell r="Q115">
            <v>233</v>
          </cell>
          <cell r="R115">
            <v>5</v>
          </cell>
          <cell r="S115">
            <v>921</v>
          </cell>
          <cell r="T115">
            <v>4</v>
          </cell>
          <cell r="U115">
            <v>1224</v>
          </cell>
          <cell r="V115">
            <v>5</v>
          </cell>
          <cell r="W115">
            <v>1724</v>
          </cell>
          <cell r="X115">
            <v>30</v>
          </cell>
          <cell r="Y115">
            <v>7288</v>
          </cell>
          <cell r="Z115">
            <v>0</v>
          </cell>
          <cell r="AA115">
            <v>0</v>
          </cell>
          <cell r="AQ115" t="str">
            <v>Woodfield Suites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</row>
        <row r="116">
          <cell r="C116" t="str">
            <v>Dallas, TX</v>
          </cell>
          <cell r="D116">
            <v>16</v>
          </cell>
          <cell r="E116">
            <v>2249</v>
          </cell>
          <cell r="F116">
            <v>3</v>
          </cell>
          <cell r="G116">
            <v>551</v>
          </cell>
          <cell r="H116">
            <v>4</v>
          </cell>
          <cell r="I116">
            <v>801</v>
          </cell>
          <cell r="J116">
            <v>7</v>
          </cell>
          <cell r="K116">
            <v>1352</v>
          </cell>
          <cell r="L116">
            <v>2</v>
          </cell>
          <cell r="M116">
            <v>511</v>
          </cell>
          <cell r="N116">
            <v>3</v>
          </cell>
          <cell r="O116">
            <v>551</v>
          </cell>
          <cell r="P116">
            <v>0</v>
          </cell>
          <cell r="Q116">
            <v>0</v>
          </cell>
          <cell r="R116">
            <v>5</v>
          </cell>
          <cell r="S116">
            <v>1012</v>
          </cell>
          <cell r="T116">
            <v>1</v>
          </cell>
          <cell r="U116">
            <v>300</v>
          </cell>
          <cell r="V116">
            <v>1</v>
          </cell>
          <cell r="W116">
            <v>300</v>
          </cell>
          <cell r="X116">
            <v>39</v>
          </cell>
          <cell r="Y116">
            <v>6803</v>
          </cell>
          <cell r="Z116">
            <v>4</v>
          </cell>
          <cell r="AA116">
            <v>717</v>
          </cell>
          <cell r="AQ116" t="str">
            <v>Woodfin Suites</v>
          </cell>
          <cell r="AR116">
            <v>1</v>
          </cell>
          <cell r="AS116">
            <v>202</v>
          </cell>
          <cell r="AT116">
            <v>0</v>
          </cell>
          <cell r="AU116">
            <v>0</v>
          </cell>
          <cell r="AV116">
            <v>1</v>
          </cell>
          <cell r="AW116">
            <v>189</v>
          </cell>
          <cell r="AX116">
            <v>1</v>
          </cell>
          <cell r="AY116">
            <v>189</v>
          </cell>
          <cell r="AZ116">
            <v>4</v>
          </cell>
          <cell r="BA116">
            <v>803</v>
          </cell>
        </row>
        <row r="117">
          <cell r="C117" t="str">
            <v>Denver, CO</v>
          </cell>
          <cell r="D117">
            <v>18</v>
          </cell>
          <cell r="E117">
            <v>2132</v>
          </cell>
          <cell r="F117">
            <v>0</v>
          </cell>
          <cell r="G117">
            <v>0</v>
          </cell>
          <cell r="H117">
            <v>4</v>
          </cell>
          <cell r="I117">
            <v>801</v>
          </cell>
          <cell r="J117">
            <v>4</v>
          </cell>
          <cell r="K117">
            <v>801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1</v>
          </cell>
          <cell r="Q117">
            <v>142</v>
          </cell>
          <cell r="R117">
            <v>3</v>
          </cell>
          <cell r="S117">
            <v>659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32</v>
          </cell>
          <cell r="Y117">
            <v>5919</v>
          </cell>
          <cell r="Z117">
            <v>8</v>
          </cell>
          <cell r="AA117">
            <v>866</v>
          </cell>
          <cell r="AQ117" t="str">
            <v xml:space="preserve">Wyndham Garden 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1</v>
          </cell>
          <cell r="BA117">
            <v>205</v>
          </cell>
        </row>
        <row r="118">
          <cell r="C118" t="str">
            <v>Detroit, MI</v>
          </cell>
          <cell r="D118">
            <v>12</v>
          </cell>
          <cell r="E118">
            <v>1384</v>
          </cell>
          <cell r="F118">
            <v>1</v>
          </cell>
          <cell r="G118">
            <v>148</v>
          </cell>
          <cell r="H118">
            <v>1</v>
          </cell>
          <cell r="I118">
            <v>95</v>
          </cell>
          <cell r="J118">
            <v>2</v>
          </cell>
          <cell r="K118">
            <v>243</v>
          </cell>
          <cell r="L118">
            <v>2</v>
          </cell>
          <cell r="M118">
            <v>252</v>
          </cell>
          <cell r="N118">
            <v>2</v>
          </cell>
          <cell r="O118">
            <v>243</v>
          </cell>
          <cell r="P118">
            <v>0</v>
          </cell>
          <cell r="Q118">
            <v>0</v>
          </cell>
          <cell r="R118">
            <v>2</v>
          </cell>
          <cell r="S118">
            <v>252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41</v>
          </cell>
          <cell r="Y118">
            <v>7487</v>
          </cell>
          <cell r="Z118">
            <v>3</v>
          </cell>
          <cell r="AA118">
            <v>456</v>
          </cell>
          <cell r="AQ118" t="str">
            <v>Wyndham Hotel</v>
          </cell>
          <cell r="AR118">
            <v>1</v>
          </cell>
          <cell r="AS118">
            <v>93</v>
          </cell>
          <cell r="AT118">
            <v>2</v>
          </cell>
          <cell r="AU118">
            <v>587</v>
          </cell>
          <cell r="AV118">
            <v>0</v>
          </cell>
          <cell r="AW118">
            <v>0</v>
          </cell>
          <cell r="AX118">
            <v>2</v>
          </cell>
          <cell r="AY118">
            <v>587</v>
          </cell>
          <cell r="AZ118">
            <v>2</v>
          </cell>
          <cell r="BA118">
            <v>539</v>
          </cell>
        </row>
        <row r="119">
          <cell r="C119" t="str">
            <v>Houston, TX</v>
          </cell>
          <cell r="D119">
            <v>14</v>
          </cell>
          <cell r="E119">
            <v>1378</v>
          </cell>
          <cell r="F119">
            <v>3</v>
          </cell>
          <cell r="G119">
            <v>481</v>
          </cell>
          <cell r="H119">
            <v>3</v>
          </cell>
          <cell r="I119">
            <v>505</v>
          </cell>
          <cell r="J119">
            <v>6</v>
          </cell>
          <cell r="K119">
            <v>986</v>
          </cell>
          <cell r="L119">
            <v>0</v>
          </cell>
          <cell r="M119">
            <v>0</v>
          </cell>
          <cell r="N119">
            <v>3</v>
          </cell>
          <cell r="O119">
            <v>481</v>
          </cell>
          <cell r="P119">
            <v>3</v>
          </cell>
          <cell r="Q119">
            <v>505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31</v>
          </cell>
          <cell r="Y119">
            <v>5878</v>
          </cell>
          <cell r="Z119">
            <v>2</v>
          </cell>
          <cell r="AA119">
            <v>253</v>
          </cell>
        </row>
        <row r="120">
          <cell r="C120" t="str">
            <v>Los Angeles, CA</v>
          </cell>
          <cell r="D120">
            <v>5</v>
          </cell>
          <cell r="E120">
            <v>642</v>
          </cell>
          <cell r="F120">
            <v>5</v>
          </cell>
          <cell r="G120">
            <v>941</v>
          </cell>
          <cell r="H120">
            <v>3</v>
          </cell>
          <cell r="I120">
            <v>873</v>
          </cell>
          <cell r="J120">
            <v>8</v>
          </cell>
          <cell r="K120">
            <v>1814</v>
          </cell>
          <cell r="L120">
            <v>0</v>
          </cell>
          <cell r="M120">
            <v>0</v>
          </cell>
          <cell r="N120">
            <v>3</v>
          </cell>
          <cell r="O120">
            <v>399</v>
          </cell>
          <cell r="P120">
            <v>2</v>
          </cell>
          <cell r="Q120">
            <v>542</v>
          </cell>
          <cell r="R120">
            <v>2</v>
          </cell>
          <cell r="S120">
            <v>443</v>
          </cell>
          <cell r="T120">
            <v>1</v>
          </cell>
          <cell r="U120">
            <v>430</v>
          </cell>
          <cell r="V120">
            <v>1</v>
          </cell>
          <cell r="W120">
            <v>430</v>
          </cell>
          <cell r="X120">
            <v>33</v>
          </cell>
          <cell r="Y120">
            <v>8765</v>
          </cell>
          <cell r="Z120">
            <v>2</v>
          </cell>
          <cell r="AA120">
            <v>400</v>
          </cell>
        </row>
        <row r="121">
          <cell r="C121" t="str">
            <v>Miami, FL</v>
          </cell>
          <cell r="D121">
            <v>6</v>
          </cell>
          <cell r="E121">
            <v>1035</v>
          </cell>
          <cell r="F121">
            <v>3</v>
          </cell>
          <cell r="G121">
            <v>894</v>
          </cell>
          <cell r="H121">
            <v>3</v>
          </cell>
          <cell r="I121">
            <v>460</v>
          </cell>
          <cell r="J121">
            <v>6</v>
          </cell>
          <cell r="K121">
            <v>1354</v>
          </cell>
          <cell r="L121">
            <v>4</v>
          </cell>
          <cell r="M121">
            <v>606</v>
          </cell>
          <cell r="N121">
            <v>3</v>
          </cell>
          <cell r="O121">
            <v>894</v>
          </cell>
          <cell r="P121">
            <v>1</v>
          </cell>
          <cell r="Q121">
            <v>90</v>
          </cell>
          <cell r="R121">
            <v>6</v>
          </cell>
          <cell r="S121">
            <v>976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15</v>
          </cell>
          <cell r="Y121">
            <v>3385</v>
          </cell>
          <cell r="Z121">
            <v>3</v>
          </cell>
          <cell r="AA121">
            <v>679</v>
          </cell>
        </row>
        <row r="122">
          <cell r="C122" t="str">
            <v>Minneapolis, MN</v>
          </cell>
          <cell r="D122">
            <v>11</v>
          </cell>
          <cell r="E122">
            <v>1245</v>
          </cell>
          <cell r="F122">
            <v>3</v>
          </cell>
          <cell r="G122">
            <v>476</v>
          </cell>
          <cell r="H122">
            <v>4</v>
          </cell>
          <cell r="I122">
            <v>593</v>
          </cell>
          <cell r="J122">
            <v>7</v>
          </cell>
          <cell r="K122">
            <v>1069</v>
          </cell>
          <cell r="L122">
            <v>1</v>
          </cell>
          <cell r="M122">
            <v>108</v>
          </cell>
          <cell r="N122">
            <v>4</v>
          </cell>
          <cell r="O122">
            <v>598</v>
          </cell>
          <cell r="P122">
            <v>0</v>
          </cell>
          <cell r="Q122">
            <v>0</v>
          </cell>
          <cell r="R122">
            <v>3</v>
          </cell>
          <cell r="S122">
            <v>471</v>
          </cell>
          <cell r="T122">
            <v>1</v>
          </cell>
          <cell r="U122">
            <v>108</v>
          </cell>
          <cell r="V122">
            <v>1</v>
          </cell>
          <cell r="W122">
            <v>108</v>
          </cell>
          <cell r="X122">
            <v>20</v>
          </cell>
          <cell r="Y122">
            <v>3351</v>
          </cell>
          <cell r="Z122">
            <v>1</v>
          </cell>
          <cell r="AA122">
            <v>131</v>
          </cell>
        </row>
        <row r="123">
          <cell r="C123" t="str">
            <v>Nashville, TN</v>
          </cell>
          <cell r="D123">
            <v>6</v>
          </cell>
          <cell r="E123">
            <v>875</v>
          </cell>
          <cell r="F123">
            <v>2</v>
          </cell>
          <cell r="G123">
            <v>400</v>
          </cell>
          <cell r="H123">
            <v>0</v>
          </cell>
          <cell r="I123">
            <v>0</v>
          </cell>
          <cell r="J123">
            <v>2</v>
          </cell>
          <cell r="K123">
            <v>400</v>
          </cell>
          <cell r="L123">
            <v>0</v>
          </cell>
          <cell r="M123">
            <v>0</v>
          </cell>
          <cell r="N123">
            <v>2</v>
          </cell>
          <cell r="O123">
            <v>400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14</v>
          </cell>
          <cell r="Y123">
            <v>2760</v>
          </cell>
          <cell r="Z123">
            <v>3</v>
          </cell>
          <cell r="AA123">
            <v>291</v>
          </cell>
        </row>
        <row r="124">
          <cell r="C124" t="str">
            <v>New Orleans, LA</v>
          </cell>
          <cell r="D124">
            <v>8</v>
          </cell>
          <cell r="E124">
            <v>1479</v>
          </cell>
          <cell r="F124">
            <v>3</v>
          </cell>
          <cell r="G124">
            <v>560</v>
          </cell>
          <cell r="H124">
            <v>1</v>
          </cell>
          <cell r="I124">
            <v>84</v>
          </cell>
          <cell r="J124">
            <v>4</v>
          </cell>
          <cell r="K124">
            <v>644</v>
          </cell>
          <cell r="L124">
            <v>2</v>
          </cell>
          <cell r="M124">
            <v>910</v>
          </cell>
          <cell r="N124">
            <v>0</v>
          </cell>
          <cell r="O124">
            <v>0</v>
          </cell>
          <cell r="P124">
            <v>3</v>
          </cell>
          <cell r="Q124">
            <v>572</v>
          </cell>
          <cell r="R124">
            <v>1</v>
          </cell>
          <cell r="S124">
            <v>72</v>
          </cell>
          <cell r="T124">
            <v>0</v>
          </cell>
          <cell r="U124">
            <v>0</v>
          </cell>
          <cell r="V124">
            <v>2</v>
          </cell>
          <cell r="W124">
            <v>910</v>
          </cell>
          <cell r="X124">
            <v>10</v>
          </cell>
          <cell r="Y124">
            <v>2911</v>
          </cell>
          <cell r="Z124">
            <v>2</v>
          </cell>
          <cell r="AA124">
            <v>575</v>
          </cell>
        </row>
        <row r="125">
          <cell r="C125" t="str">
            <v>New York, NY</v>
          </cell>
          <cell r="D125">
            <v>4</v>
          </cell>
          <cell r="E125">
            <v>1051</v>
          </cell>
          <cell r="F125">
            <v>2</v>
          </cell>
          <cell r="G125">
            <v>480</v>
          </cell>
          <cell r="H125">
            <v>2</v>
          </cell>
          <cell r="I125">
            <v>216</v>
          </cell>
          <cell r="J125">
            <v>4</v>
          </cell>
          <cell r="K125">
            <v>696</v>
          </cell>
          <cell r="L125">
            <v>3</v>
          </cell>
          <cell r="M125">
            <v>845</v>
          </cell>
          <cell r="N125">
            <v>2</v>
          </cell>
          <cell r="O125">
            <v>480</v>
          </cell>
          <cell r="P125">
            <v>1</v>
          </cell>
          <cell r="Q125">
            <v>82</v>
          </cell>
          <cell r="R125">
            <v>2</v>
          </cell>
          <cell r="S125">
            <v>274</v>
          </cell>
          <cell r="T125">
            <v>1</v>
          </cell>
          <cell r="U125">
            <v>285</v>
          </cell>
          <cell r="V125">
            <v>2</v>
          </cell>
          <cell r="W125">
            <v>705</v>
          </cell>
          <cell r="X125">
            <v>17</v>
          </cell>
          <cell r="Y125">
            <v>7297</v>
          </cell>
          <cell r="Z125">
            <v>1</v>
          </cell>
          <cell r="AA125">
            <v>123</v>
          </cell>
        </row>
        <row r="126">
          <cell r="C126" t="str">
            <v>Norfolk, VA</v>
          </cell>
          <cell r="D126">
            <v>9</v>
          </cell>
          <cell r="E126">
            <v>979</v>
          </cell>
          <cell r="F126">
            <v>2</v>
          </cell>
          <cell r="G126">
            <v>400</v>
          </cell>
          <cell r="H126">
            <v>0</v>
          </cell>
          <cell r="I126">
            <v>0</v>
          </cell>
          <cell r="J126">
            <v>2</v>
          </cell>
          <cell r="K126">
            <v>400</v>
          </cell>
          <cell r="L126">
            <v>2</v>
          </cell>
          <cell r="M126">
            <v>418</v>
          </cell>
          <cell r="N126">
            <v>2</v>
          </cell>
          <cell r="O126">
            <v>400</v>
          </cell>
          <cell r="P126">
            <v>0</v>
          </cell>
          <cell r="Q126">
            <v>0</v>
          </cell>
          <cell r="R126">
            <v>1</v>
          </cell>
          <cell r="S126">
            <v>118</v>
          </cell>
          <cell r="T126">
            <v>1</v>
          </cell>
          <cell r="U126">
            <v>300</v>
          </cell>
          <cell r="V126">
            <v>1</v>
          </cell>
          <cell r="W126">
            <v>300</v>
          </cell>
          <cell r="X126">
            <v>18</v>
          </cell>
          <cell r="Y126">
            <v>2753</v>
          </cell>
          <cell r="Z126">
            <v>1</v>
          </cell>
          <cell r="AA126">
            <v>120</v>
          </cell>
        </row>
        <row r="127">
          <cell r="C127" t="str">
            <v>Oahu Island, HI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1</v>
          </cell>
          <cell r="M127">
            <v>299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1</v>
          </cell>
          <cell r="U127">
            <v>299</v>
          </cell>
          <cell r="V127">
            <v>1</v>
          </cell>
          <cell r="W127">
            <v>299</v>
          </cell>
          <cell r="X127">
            <v>2</v>
          </cell>
          <cell r="Y127">
            <v>1150</v>
          </cell>
          <cell r="Z127">
            <v>0</v>
          </cell>
          <cell r="AA127">
            <v>0</v>
          </cell>
        </row>
        <row r="128">
          <cell r="C128" t="str">
            <v>Orlando, FL</v>
          </cell>
          <cell r="D128">
            <v>13</v>
          </cell>
          <cell r="E128">
            <v>2759</v>
          </cell>
          <cell r="F128">
            <v>3</v>
          </cell>
          <cell r="G128">
            <v>522</v>
          </cell>
          <cell r="H128">
            <v>5</v>
          </cell>
          <cell r="I128">
            <v>2311</v>
          </cell>
          <cell r="J128">
            <v>8</v>
          </cell>
          <cell r="K128">
            <v>2833</v>
          </cell>
          <cell r="L128">
            <v>4</v>
          </cell>
          <cell r="M128">
            <v>1075</v>
          </cell>
          <cell r="N128">
            <v>3</v>
          </cell>
          <cell r="O128">
            <v>522</v>
          </cell>
          <cell r="P128">
            <v>1</v>
          </cell>
          <cell r="Q128">
            <v>152</v>
          </cell>
          <cell r="R128">
            <v>3</v>
          </cell>
          <cell r="S128">
            <v>595</v>
          </cell>
          <cell r="T128">
            <v>5</v>
          </cell>
          <cell r="U128">
            <v>2639</v>
          </cell>
          <cell r="V128">
            <v>5</v>
          </cell>
          <cell r="W128">
            <v>2639</v>
          </cell>
          <cell r="X128">
            <v>32</v>
          </cell>
          <cell r="Y128">
            <v>8552</v>
          </cell>
          <cell r="Z128">
            <v>7</v>
          </cell>
          <cell r="AA128">
            <v>1896</v>
          </cell>
        </row>
        <row r="129">
          <cell r="C129" t="str">
            <v>Philadelphia, PA</v>
          </cell>
          <cell r="D129">
            <v>11</v>
          </cell>
          <cell r="E129">
            <v>1911</v>
          </cell>
          <cell r="F129">
            <v>4</v>
          </cell>
          <cell r="G129">
            <v>768</v>
          </cell>
          <cell r="H129">
            <v>4</v>
          </cell>
          <cell r="I129">
            <v>416</v>
          </cell>
          <cell r="J129">
            <v>8</v>
          </cell>
          <cell r="K129">
            <v>1184</v>
          </cell>
          <cell r="L129">
            <v>6</v>
          </cell>
          <cell r="M129">
            <v>686</v>
          </cell>
          <cell r="N129">
            <v>3</v>
          </cell>
          <cell r="O129">
            <v>567</v>
          </cell>
          <cell r="P129">
            <v>2</v>
          </cell>
          <cell r="Q129">
            <v>284</v>
          </cell>
          <cell r="R129">
            <v>8</v>
          </cell>
          <cell r="S129">
            <v>905</v>
          </cell>
          <cell r="T129">
            <v>1</v>
          </cell>
          <cell r="U129">
            <v>114</v>
          </cell>
          <cell r="V129">
            <v>1</v>
          </cell>
          <cell r="W129">
            <v>114</v>
          </cell>
          <cell r="X129">
            <v>26</v>
          </cell>
          <cell r="Y129">
            <v>4521</v>
          </cell>
          <cell r="Z129">
            <v>3</v>
          </cell>
          <cell r="AA129">
            <v>528</v>
          </cell>
        </row>
        <row r="130">
          <cell r="C130" t="str">
            <v>Phoenix, AZ</v>
          </cell>
          <cell r="D130">
            <v>20</v>
          </cell>
          <cell r="E130">
            <v>3122</v>
          </cell>
          <cell r="F130">
            <v>0</v>
          </cell>
          <cell r="G130">
            <v>0</v>
          </cell>
          <cell r="H130">
            <v>5</v>
          </cell>
          <cell r="I130">
            <v>1651</v>
          </cell>
          <cell r="J130">
            <v>5</v>
          </cell>
          <cell r="K130">
            <v>1651</v>
          </cell>
          <cell r="L130">
            <v>1</v>
          </cell>
          <cell r="M130">
            <v>350</v>
          </cell>
          <cell r="N130">
            <v>0</v>
          </cell>
          <cell r="O130">
            <v>0</v>
          </cell>
          <cell r="P130">
            <v>1</v>
          </cell>
          <cell r="Q130">
            <v>114</v>
          </cell>
          <cell r="R130">
            <v>4</v>
          </cell>
          <cell r="S130">
            <v>1537</v>
          </cell>
          <cell r="T130">
            <v>1</v>
          </cell>
          <cell r="U130">
            <v>350</v>
          </cell>
          <cell r="V130">
            <v>1</v>
          </cell>
          <cell r="W130">
            <v>350</v>
          </cell>
          <cell r="X130">
            <v>40</v>
          </cell>
          <cell r="Y130">
            <v>6619</v>
          </cell>
          <cell r="Z130">
            <v>6</v>
          </cell>
          <cell r="AA130">
            <v>937</v>
          </cell>
        </row>
        <row r="131">
          <cell r="C131" t="str">
            <v>Saint Louis, MO</v>
          </cell>
          <cell r="D131">
            <v>5</v>
          </cell>
          <cell r="E131">
            <v>510</v>
          </cell>
          <cell r="F131">
            <v>0</v>
          </cell>
          <cell r="G131">
            <v>0</v>
          </cell>
          <cell r="H131">
            <v>2</v>
          </cell>
          <cell r="I131">
            <v>1079</v>
          </cell>
          <cell r="J131">
            <v>2</v>
          </cell>
          <cell r="K131">
            <v>1079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1</v>
          </cell>
          <cell r="S131">
            <v>163</v>
          </cell>
          <cell r="T131">
            <v>0</v>
          </cell>
          <cell r="U131">
            <v>0</v>
          </cell>
          <cell r="V131">
            <v>1</v>
          </cell>
          <cell r="W131">
            <v>916</v>
          </cell>
          <cell r="X131">
            <v>21</v>
          </cell>
          <cell r="Y131">
            <v>4030</v>
          </cell>
          <cell r="Z131">
            <v>0</v>
          </cell>
          <cell r="AA131">
            <v>0</v>
          </cell>
        </row>
        <row r="132">
          <cell r="C132" t="str">
            <v>San Diego, CA</v>
          </cell>
          <cell r="D132">
            <v>5</v>
          </cell>
          <cell r="E132">
            <v>783</v>
          </cell>
          <cell r="F132">
            <v>2</v>
          </cell>
          <cell r="G132">
            <v>530</v>
          </cell>
          <cell r="H132">
            <v>2</v>
          </cell>
          <cell r="I132">
            <v>231</v>
          </cell>
          <cell r="J132">
            <v>4</v>
          </cell>
          <cell r="K132">
            <v>761</v>
          </cell>
          <cell r="L132">
            <v>3</v>
          </cell>
          <cell r="M132">
            <v>725</v>
          </cell>
          <cell r="N132">
            <v>2</v>
          </cell>
          <cell r="O132">
            <v>530</v>
          </cell>
          <cell r="P132">
            <v>1</v>
          </cell>
          <cell r="Q132">
            <v>137</v>
          </cell>
          <cell r="R132">
            <v>3</v>
          </cell>
          <cell r="S132">
            <v>494</v>
          </cell>
          <cell r="T132">
            <v>1</v>
          </cell>
          <cell r="U132">
            <v>325</v>
          </cell>
          <cell r="V132">
            <v>1</v>
          </cell>
          <cell r="W132">
            <v>325</v>
          </cell>
          <cell r="X132">
            <v>15</v>
          </cell>
          <cell r="Y132">
            <v>4260</v>
          </cell>
          <cell r="Z132">
            <v>1</v>
          </cell>
          <cell r="AA132">
            <v>145</v>
          </cell>
        </row>
        <row r="133">
          <cell r="C133" t="str">
            <v>San Francisco, CA</v>
          </cell>
          <cell r="D133">
            <v>3</v>
          </cell>
          <cell r="E133">
            <v>497</v>
          </cell>
          <cell r="F133">
            <v>3</v>
          </cell>
          <cell r="G133">
            <v>828</v>
          </cell>
          <cell r="H133">
            <v>1</v>
          </cell>
          <cell r="I133">
            <v>95</v>
          </cell>
          <cell r="J133">
            <v>4</v>
          </cell>
          <cell r="K133">
            <v>923</v>
          </cell>
          <cell r="L133">
            <v>3</v>
          </cell>
          <cell r="M133">
            <v>656</v>
          </cell>
          <cell r="N133">
            <v>3</v>
          </cell>
          <cell r="O133">
            <v>828</v>
          </cell>
          <cell r="P133">
            <v>0</v>
          </cell>
          <cell r="Q133">
            <v>0</v>
          </cell>
          <cell r="R133">
            <v>4</v>
          </cell>
          <cell r="S133">
            <v>751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14</v>
          </cell>
          <cell r="Y133">
            <v>5340</v>
          </cell>
          <cell r="Z133">
            <v>2</v>
          </cell>
          <cell r="AA133">
            <v>361</v>
          </cell>
        </row>
        <row r="134">
          <cell r="C134" t="str">
            <v>Seattle, WA</v>
          </cell>
          <cell r="D134">
            <v>9</v>
          </cell>
          <cell r="E134">
            <v>1442</v>
          </cell>
          <cell r="F134">
            <v>1</v>
          </cell>
          <cell r="G134">
            <v>234</v>
          </cell>
          <cell r="H134">
            <v>4</v>
          </cell>
          <cell r="I134">
            <v>1210</v>
          </cell>
          <cell r="J134">
            <v>5</v>
          </cell>
          <cell r="K134">
            <v>1444</v>
          </cell>
          <cell r="L134">
            <v>2</v>
          </cell>
          <cell r="M134">
            <v>337</v>
          </cell>
          <cell r="N134">
            <v>1</v>
          </cell>
          <cell r="O134">
            <v>234</v>
          </cell>
          <cell r="P134">
            <v>1</v>
          </cell>
          <cell r="Q134">
            <v>150</v>
          </cell>
          <cell r="R134">
            <v>4</v>
          </cell>
          <cell r="S134">
            <v>847</v>
          </cell>
          <cell r="T134">
            <v>0</v>
          </cell>
          <cell r="U134">
            <v>0</v>
          </cell>
          <cell r="V134">
            <v>1</v>
          </cell>
          <cell r="W134">
            <v>550</v>
          </cell>
          <cell r="X134">
            <v>19</v>
          </cell>
          <cell r="Y134">
            <v>3463</v>
          </cell>
          <cell r="Z134">
            <v>3</v>
          </cell>
          <cell r="AA134">
            <v>409</v>
          </cell>
        </row>
        <row r="135">
          <cell r="C135" t="str">
            <v>Tampa, FL</v>
          </cell>
          <cell r="D135">
            <v>11</v>
          </cell>
          <cell r="E135">
            <v>1700</v>
          </cell>
          <cell r="F135">
            <v>3</v>
          </cell>
          <cell r="G135">
            <v>446</v>
          </cell>
          <cell r="H135">
            <v>1</v>
          </cell>
          <cell r="I135">
            <v>79</v>
          </cell>
          <cell r="J135">
            <v>4</v>
          </cell>
          <cell r="K135">
            <v>525</v>
          </cell>
          <cell r="L135">
            <v>2</v>
          </cell>
          <cell r="M135">
            <v>236</v>
          </cell>
          <cell r="N135">
            <v>2</v>
          </cell>
          <cell r="O135">
            <v>286</v>
          </cell>
          <cell r="P135">
            <v>2</v>
          </cell>
          <cell r="Q135">
            <v>239</v>
          </cell>
          <cell r="R135">
            <v>2</v>
          </cell>
          <cell r="S135">
            <v>236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21</v>
          </cell>
          <cell r="Y135">
            <v>3524</v>
          </cell>
          <cell r="Z135">
            <v>2</v>
          </cell>
          <cell r="AA135">
            <v>826</v>
          </cell>
        </row>
        <row r="136">
          <cell r="C136" t="str">
            <v>Washington, DC</v>
          </cell>
          <cell r="D136">
            <v>22</v>
          </cell>
          <cell r="E136">
            <v>3062</v>
          </cell>
          <cell r="F136">
            <v>5</v>
          </cell>
          <cell r="G136">
            <v>653</v>
          </cell>
          <cell r="H136">
            <v>7</v>
          </cell>
          <cell r="I136">
            <v>1259</v>
          </cell>
          <cell r="J136">
            <v>12</v>
          </cell>
          <cell r="K136">
            <v>1912</v>
          </cell>
          <cell r="L136">
            <v>4</v>
          </cell>
          <cell r="M136">
            <v>1026</v>
          </cell>
          <cell r="N136">
            <v>4</v>
          </cell>
          <cell r="O136">
            <v>558</v>
          </cell>
          <cell r="P136">
            <v>1</v>
          </cell>
          <cell r="Q136">
            <v>95</v>
          </cell>
          <cell r="R136">
            <v>10</v>
          </cell>
          <cell r="S136">
            <v>1760</v>
          </cell>
          <cell r="T136">
            <v>0</v>
          </cell>
          <cell r="U136">
            <v>0</v>
          </cell>
          <cell r="V136">
            <v>1</v>
          </cell>
          <cell r="W136">
            <v>525</v>
          </cell>
          <cell r="X136">
            <v>66</v>
          </cell>
          <cell r="Y136">
            <v>16752</v>
          </cell>
          <cell r="Z136">
            <v>6</v>
          </cell>
          <cell r="AA136">
            <v>1093</v>
          </cell>
        </row>
        <row r="152">
          <cell r="C152" t="str">
            <v>Anaheim, CA</v>
          </cell>
          <cell r="D152">
            <v>1</v>
          </cell>
          <cell r="E152">
            <v>74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1</v>
          </cell>
          <cell r="M152">
            <v>250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1</v>
          </cell>
          <cell r="S152">
            <v>250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4</v>
          </cell>
          <cell r="Y152">
            <v>1233</v>
          </cell>
          <cell r="Z152">
            <v>0</v>
          </cell>
          <cell r="AA152">
            <v>0</v>
          </cell>
        </row>
        <row r="153">
          <cell r="C153" t="str">
            <v>Atlanta, GA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1</v>
          </cell>
          <cell r="I153">
            <v>244</v>
          </cell>
          <cell r="J153">
            <v>1</v>
          </cell>
          <cell r="K153">
            <v>244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1</v>
          </cell>
          <cell r="S153">
            <v>244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10</v>
          </cell>
          <cell r="Y153">
            <v>4852</v>
          </cell>
          <cell r="Z153">
            <v>0</v>
          </cell>
          <cell r="AA153">
            <v>0</v>
          </cell>
        </row>
        <row r="154">
          <cell r="C154" t="str">
            <v>Boston, MA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1</v>
          </cell>
          <cell r="I154">
            <v>1120</v>
          </cell>
          <cell r="J154">
            <v>1</v>
          </cell>
          <cell r="K154">
            <v>1120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1</v>
          </cell>
          <cell r="U154">
            <v>1120</v>
          </cell>
          <cell r="V154">
            <v>1</v>
          </cell>
          <cell r="W154">
            <v>1120</v>
          </cell>
          <cell r="X154">
            <v>16</v>
          </cell>
          <cell r="Y154">
            <v>5442</v>
          </cell>
          <cell r="Z154">
            <v>0</v>
          </cell>
          <cell r="AA154">
            <v>0</v>
          </cell>
        </row>
        <row r="155">
          <cell r="C155" t="str">
            <v>Chicago, IL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14</v>
          </cell>
          <cell r="Y155">
            <v>6290</v>
          </cell>
          <cell r="Z155">
            <v>0</v>
          </cell>
          <cell r="AA155">
            <v>0</v>
          </cell>
        </row>
        <row r="156">
          <cell r="C156" t="str">
            <v>Dallas, TX</v>
          </cell>
          <cell r="D156">
            <v>1</v>
          </cell>
          <cell r="E156">
            <v>301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8</v>
          </cell>
          <cell r="Y156">
            <v>2710</v>
          </cell>
          <cell r="Z156">
            <v>1</v>
          </cell>
          <cell r="AA156">
            <v>301</v>
          </cell>
        </row>
        <row r="157">
          <cell r="C157" t="str">
            <v>Denver, CO</v>
          </cell>
          <cell r="D157">
            <v>1</v>
          </cell>
          <cell r="E157">
            <v>369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</v>
          </cell>
          <cell r="M157">
            <v>526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1</v>
          </cell>
          <cell r="W157">
            <v>526</v>
          </cell>
          <cell r="X157">
            <v>7</v>
          </cell>
          <cell r="Y157">
            <v>1907</v>
          </cell>
          <cell r="Z157">
            <v>1</v>
          </cell>
          <cell r="AA157">
            <v>369</v>
          </cell>
        </row>
        <row r="158">
          <cell r="C158" t="str">
            <v>Detroit, MI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404</v>
          </cell>
          <cell r="J158">
            <v>1</v>
          </cell>
          <cell r="K158">
            <v>404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</v>
          </cell>
          <cell r="S158">
            <v>404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2</v>
          </cell>
          <cell r="Y158">
            <v>563</v>
          </cell>
          <cell r="Z158">
            <v>0</v>
          </cell>
          <cell r="AA158">
            <v>0</v>
          </cell>
        </row>
        <row r="159">
          <cell r="C159" t="str">
            <v>Houston, TX</v>
          </cell>
          <cell r="D159">
            <v>1</v>
          </cell>
          <cell r="E159">
            <v>286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6</v>
          </cell>
          <cell r="Y159">
            <v>2209</v>
          </cell>
          <cell r="Z159">
            <v>1</v>
          </cell>
          <cell r="AA159">
            <v>286</v>
          </cell>
        </row>
        <row r="160">
          <cell r="C160" t="str">
            <v>Los Angeles, CA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18</v>
          </cell>
          <cell r="Y160">
            <v>8231</v>
          </cell>
          <cell r="Z160">
            <v>0</v>
          </cell>
          <cell r="AA160">
            <v>0</v>
          </cell>
        </row>
        <row r="161">
          <cell r="C161" t="str">
            <v>Miami, FL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3</v>
          </cell>
          <cell r="Y161">
            <v>1479</v>
          </cell>
          <cell r="Z161">
            <v>0</v>
          </cell>
          <cell r="AA161">
            <v>0</v>
          </cell>
        </row>
        <row r="162">
          <cell r="C162" t="str">
            <v>Minneapolis, MN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3</v>
          </cell>
          <cell r="Y162">
            <v>703</v>
          </cell>
          <cell r="Z162">
            <v>0</v>
          </cell>
          <cell r="AA162">
            <v>0</v>
          </cell>
        </row>
        <row r="163">
          <cell r="C163" t="str">
            <v>Nashville, TN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2</v>
          </cell>
          <cell r="Y163">
            <v>888</v>
          </cell>
          <cell r="Z163">
            <v>0</v>
          </cell>
          <cell r="AA163">
            <v>0</v>
          </cell>
        </row>
        <row r="164">
          <cell r="C164" t="str">
            <v>New Orleans, LA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4</v>
          </cell>
          <cell r="Y164">
            <v>1841</v>
          </cell>
          <cell r="Z164">
            <v>0</v>
          </cell>
          <cell r="AA164">
            <v>0</v>
          </cell>
        </row>
        <row r="165">
          <cell r="C165" t="str">
            <v>New York, NY</v>
          </cell>
          <cell r="D165">
            <v>2</v>
          </cell>
          <cell r="E165">
            <v>455</v>
          </cell>
          <cell r="F165">
            <v>2</v>
          </cell>
          <cell r="G165">
            <v>1371</v>
          </cell>
          <cell r="H165">
            <v>0</v>
          </cell>
          <cell r="I165">
            <v>0</v>
          </cell>
          <cell r="J165">
            <v>2</v>
          </cell>
          <cell r="K165">
            <v>1371</v>
          </cell>
          <cell r="L165">
            <v>0</v>
          </cell>
          <cell r="M165">
            <v>0</v>
          </cell>
          <cell r="N165">
            <v>1</v>
          </cell>
          <cell r="O165">
            <v>511</v>
          </cell>
          <cell r="P165">
            <v>1</v>
          </cell>
          <cell r="Q165">
            <v>860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9</v>
          </cell>
          <cell r="Y165">
            <v>4155</v>
          </cell>
          <cell r="Z165">
            <v>1</v>
          </cell>
          <cell r="AA165">
            <v>270</v>
          </cell>
        </row>
        <row r="166">
          <cell r="C166" t="str">
            <v>Norfolk, VA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2</v>
          </cell>
          <cell r="Y166">
            <v>403</v>
          </cell>
          <cell r="Z166">
            <v>0</v>
          </cell>
          <cell r="AA166">
            <v>0</v>
          </cell>
        </row>
        <row r="167">
          <cell r="C167" t="str">
            <v>Oahu Island, HI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7</v>
          </cell>
          <cell r="Y167">
            <v>4935</v>
          </cell>
          <cell r="Z167">
            <v>0</v>
          </cell>
          <cell r="AA167">
            <v>0</v>
          </cell>
        </row>
        <row r="168">
          <cell r="C168" t="str">
            <v>Orlando, FL</v>
          </cell>
          <cell r="D168">
            <v>0</v>
          </cell>
          <cell r="E168">
            <v>0</v>
          </cell>
          <cell r="F168">
            <v>1</v>
          </cell>
          <cell r="G168">
            <v>250</v>
          </cell>
          <cell r="H168">
            <v>0</v>
          </cell>
          <cell r="I168">
            <v>0</v>
          </cell>
          <cell r="J168">
            <v>1</v>
          </cell>
          <cell r="K168">
            <v>250</v>
          </cell>
          <cell r="L168">
            <v>0</v>
          </cell>
          <cell r="M168">
            <v>0</v>
          </cell>
          <cell r="N168">
            <v>1</v>
          </cell>
          <cell r="O168">
            <v>250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12</v>
          </cell>
          <cell r="Y168">
            <v>6131</v>
          </cell>
          <cell r="Z168">
            <v>0</v>
          </cell>
          <cell r="AA168">
            <v>0</v>
          </cell>
        </row>
        <row r="169">
          <cell r="C169" t="str">
            <v>Philadelphia, PA</v>
          </cell>
          <cell r="D169">
            <v>1</v>
          </cell>
          <cell r="E169">
            <v>193</v>
          </cell>
          <cell r="F169">
            <v>0</v>
          </cell>
          <cell r="G169">
            <v>0</v>
          </cell>
          <cell r="H169">
            <v>1</v>
          </cell>
          <cell r="I169">
            <v>192</v>
          </cell>
          <cell r="J169">
            <v>1</v>
          </cell>
          <cell r="K169">
            <v>192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1</v>
          </cell>
          <cell r="S169">
            <v>192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9</v>
          </cell>
          <cell r="Y169">
            <v>2139</v>
          </cell>
          <cell r="Z169">
            <v>0</v>
          </cell>
          <cell r="AA169">
            <v>0</v>
          </cell>
        </row>
        <row r="170">
          <cell r="C170" t="str">
            <v>Phoenix, AZ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1</v>
          </cell>
          <cell r="I170">
            <v>750</v>
          </cell>
          <cell r="J170">
            <v>1</v>
          </cell>
          <cell r="K170">
            <v>750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1</v>
          </cell>
          <cell r="U170">
            <v>750</v>
          </cell>
          <cell r="V170">
            <v>1</v>
          </cell>
          <cell r="W170">
            <v>750</v>
          </cell>
          <cell r="X170">
            <v>5</v>
          </cell>
          <cell r="Y170">
            <v>1450</v>
          </cell>
          <cell r="Z170">
            <v>0</v>
          </cell>
          <cell r="AA170">
            <v>0</v>
          </cell>
        </row>
        <row r="171">
          <cell r="C171" t="str">
            <v>Saint Louis, MO</v>
          </cell>
          <cell r="D171">
            <v>0</v>
          </cell>
          <cell r="E171">
            <v>0</v>
          </cell>
          <cell r="F171">
            <v>2</v>
          </cell>
          <cell r="G171">
            <v>551</v>
          </cell>
          <cell r="H171">
            <v>0</v>
          </cell>
          <cell r="I171">
            <v>0</v>
          </cell>
          <cell r="J171">
            <v>2</v>
          </cell>
          <cell r="K171">
            <v>551</v>
          </cell>
          <cell r="L171">
            <v>0</v>
          </cell>
          <cell r="M171">
            <v>0</v>
          </cell>
          <cell r="N171">
            <v>2</v>
          </cell>
          <cell r="O171">
            <v>551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4</v>
          </cell>
          <cell r="Y171">
            <v>909</v>
          </cell>
          <cell r="Z171">
            <v>0</v>
          </cell>
          <cell r="AA171">
            <v>0</v>
          </cell>
        </row>
        <row r="172">
          <cell r="C172" t="str">
            <v>San Diego, CA</v>
          </cell>
          <cell r="D172">
            <v>0</v>
          </cell>
          <cell r="E172">
            <v>0</v>
          </cell>
          <cell r="F172">
            <v>2</v>
          </cell>
          <cell r="G172">
            <v>775</v>
          </cell>
          <cell r="H172">
            <v>0</v>
          </cell>
          <cell r="I172">
            <v>0</v>
          </cell>
          <cell r="J172">
            <v>2</v>
          </cell>
          <cell r="K172">
            <v>775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1</v>
          </cell>
          <cell r="Q172">
            <v>263</v>
          </cell>
          <cell r="R172">
            <v>1</v>
          </cell>
          <cell r="S172">
            <v>512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5</v>
          </cell>
          <cell r="Y172">
            <v>2275</v>
          </cell>
          <cell r="Z172">
            <v>0</v>
          </cell>
          <cell r="AA172">
            <v>0</v>
          </cell>
        </row>
        <row r="173">
          <cell r="C173" t="str">
            <v>San Francisco, CA</v>
          </cell>
          <cell r="D173">
            <v>1</v>
          </cell>
          <cell r="E173">
            <v>423</v>
          </cell>
          <cell r="F173">
            <v>1</v>
          </cell>
          <cell r="G173">
            <v>101</v>
          </cell>
          <cell r="H173">
            <v>0</v>
          </cell>
          <cell r="I173">
            <v>0</v>
          </cell>
          <cell r="J173">
            <v>1</v>
          </cell>
          <cell r="K173">
            <v>101</v>
          </cell>
          <cell r="L173">
            <v>0</v>
          </cell>
          <cell r="M173">
            <v>0</v>
          </cell>
          <cell r="N173">
            <v>1</v>
          </cell>
          <cell r="O173">
            <v>101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7</v>
          </cell>
          <cell r="Y173">
            <v>3716</v>
          </cell>
          <cell r="Z173">
            <v>0</v>
          </cell>
          <cell r="AA173">
            <v>0</v>
          </cell>
        </row>
        <row r="174">
          <cell r="C174" t="str">
            <v>Seattle, WA</v>
          </cell>
          <cell r="D174">
            <v>1</v>
          </cell>
          <cell r="E174">
            <v>426</v>
          </cell>
          <cell r="F174">
            <v>0</v>
          </cell>
          <cell r="G174">
            <v>0</v>
          </cell>
          <cell r="H174">
            <v>1</v>
          </cell>
          <cell r="I174">
            <v>304</v>
          </cell>
          <cell r="J174">
            <v>1</v>
          </cell>
          <cell r="K174">
            <v>304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304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3</v>
          </cell>
          <cell r="Y174">
            <v>2131</v>
          </cell>
          <cell r="Z174">
            <v>0</v>
          </cell>
          <cell r="AA174">
            <v>0</v>
          </cell>
        </row>
        <row r="175">
          <cell r="C175" t="str">
            <v>Tampa, FL</v>
          </cell>
          <cell r="D175">
            <v>1</v>
          </cell>
          <cell r="E175">
            <v>99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6</v>
          </cell>
          <cell r="Y175">
            <v>2198</v>
          </cell>
          <cell r="Z175">
            <v>0</v>
          </cell>
          <cell r="AA175">
            <v>0</v>
          </cell>
        </row>
        <row r="176">
          <cell r="C176" t="str">
            <v>Washington, DC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10</v>
          </cell>
          <cell r="Y176">
            <v>3101</v>
          </cell>
          <cell r="Z176">
            <v>0</v>
          </cell>
          <cell r="AA176">
            <v>0</v>
          </cell>
        </row>
        <row r="191">
          <cell r="C191" t="str">
            <v>Anaheim, CA</v>
          </cell>
          <cell r="D191">
            <v>346</v>
          </cell>
          <cell r="E191">
            <v>46598</v>
          </cell>
          <cell r="F191">
            <v>12</v>
          </cell>
          <cell r="G191">
            <v>3177</v>
          </cell>
          <cell r="H191">
            <v>8</v>
          </cell>
          <cell r="I191">
            <v>2714</v>
          </cell>
          <cell r="J191">
            <v>20</v>
          </cell>
          <cell r="K191">
            <v>5891</v>
          </cell>
          <cell r="L191">
            <v>9</v>
          </cell>
          <cell r="M191">
            <v>1869</v>
          </cell>
          <cell r="N191">
            <v>29</v>
          </cell>
          <cell r="O191">
            <v>7760</v>
          </cell>
        </row>
        <row r="192">
          <cell r="C192" t="str">
            <v>Atlanta, GA</v>
          </cell>
          <cell r="D192">
            <v>614</v>
          </cell>
          <cell r="E192">
            <v>82957</v>
          </cell>
          <cell r="F192">
            <v>19</v>
          </cell>
          <cell r="G192">
            <v>1661</v>
          </cell>
          <cell r="H192">
            <v>12</v>
          </cell>
          <cell r="I192">
            <v>1106</v>
          </cell>
          <cell r="J192">
            <v>31</v>
          </cell>
          <cell r="K192">
            <v>2767</v>
          </cell>
          <cell r="L192">
            <v>43</v>
          </cell>
          <cell r="M192">
            <v>6374</v>
          </cell>
          <cell r="N192">
            <v>74</v>
          </cell>
          <cell r="O192">
            <v>9141</v>
          </cell>
        </row>
        <row r="193">
          <cell r="C193" t="str">
            <v>Boston, MA</v>
          </cell>
          <cell r="D193">
            <v>260</v>
          </cell>
          <cell r="E193">
            <v>42115</v>
          </cell>
          <cell r="F193">
            <v>16</v>
          </cell>
          <cell r="G193">
            <v>2491</v>
          </cell>
          <cell r="H193">
            <v>18</v>
          </cell>
          <cell r="I193">
            <v>4341</v>
          </cell>
          <cell r="J193">
            <v>34</v>
          </cell>
          <cell r="K193">
            <v>6832</v>
          </cell>
          <cell r="L193">
            <v>24</v>
          </cell>
          <cell r="M193">
            <v>4191</v>
          </cell>
          <cell r="N193">
            <v>58</v>
          </cell>
          <cell r="O193">
            <v>11023</v>
          </cell>
        </row>
        <row r="194">
          <cell r="C194" t="str">
            <v>Chicago, IL</v>
          </cell>
          <cell r="D194">
            <v>458</v>
          </cell>
          <cell r="E194">
            <v>81220</v>
          </cell>
          <cell r="F194">
            <v>21</v>
          </cell>
          <cell r="G194">
            <v>3902</v>
          </cell>
          <cell r="H194">
            <v>16</v>
          </cell>
          <cell r="I194">
            <v>3876</v>
          </cell>
          <cell r="J194">
            <v>37</v>
          </cell>
          <cell r="K194">
            <v>7778</v>
          </cell>
          <cell r="L194">
            <v>25</v>
          </cell>
          <cell r="M194">
            <v>4411</v>
          </cell>
          <cell r="N194">
            <v>62</v>
          </cell>
          <cell r="O194">
            <v>12189</v>
          </cell>
        </row>
        <row r="195">
          <cell r="C195" t="str">
            <v>Dallas, TX</v>
          </cell>
          <cell r="D195">
            <v>424</v>
          </cell>
          <cell r="E195">
            <v>61904</v>
          </cell>
          <cell r="F195">
            <v>14</v>
          </cell>
          <cell r="G195">
            <v>1929</v>
          </cell>
          <cell r="H195">
            <v>14</v>
          </cell>
          <cell r="I195">
            <v>2506</v>
          </cell>
          <cell r="J195">
            <v>28</v>
          </cell>
          <cell r="K195">
            <v>4435</v>
          </cell>
          <cell r="L195">
            <v>24</v>
          </cell>
          <cell r="M195">
            <v>3322</v>
          </cell>
          <cell r="N195">
            <v>52</v>
          </cell>
          <cell r="O195">
            <v>7757</v>
          </cell>
        </row>
        <row r="196">
          <cell r="C196" t="str">
            <v>Denver, CO</v>
          </cell>
          <cell r="D196">
            <v>218</v>
          </cell>
          <cell r="E196">
            <v>34818</v>
          </cell>
          <cell r="F196">
            <v>4</v>
          </cell>
          <cell r="G196">
            <v>321</v>
          </cell>
          <cell r="H196">
            <v>11</v>
          </cell>
          <cell r="I196">
            <v>2459</v>
          </cell>
          <cell r="J196">
            <v>15</v>
          </cell>
          <cell r="K196">
            <v>2780</v>
          </cell>
          <cell r="L196">
            <v>15</v>
          </cell>
          <cell r="M196">
            <v>2220</v>
          </cell>
          <cell r="N196">
            <v>30</v>
          </cell>
          <cell r="O196">
            <v>5000</v>
          </cell>
        </row>
        <row r="197">
          <cell r="C197" t="str">
            <v>Detroit, MI</v>
          </cell>
          <cell r="D197">
            <v>279</v>
          </cell>
          <cell r="E197">
            <v>35349</v>
          </cell>
          <cell r="F197">
            <v>12</v>
          </cell>
          <cell r="G197">
            <v>1127</v>
          </cell>
          <cell r="H197">
            <v>12</v>
          </cell>
          <cell r="I197">
            <v>1632</v>
          </cell>
          <cell r="J197">
            <v>24</v>
          </cell>
          <cell r="K197">
            <v>2759</v>
          </cell>
          <cell r="L197">
            <v>20</v>
          </cell>
          <cell r="M197">
            <v>1954</v>
          </cell>
          <cell r="N197">
            <v>44</v>
          </cell>
          <cell r="O197">
            <v>4713</v>
          </cell>
        </row>
        <row r="198">
          <cell r="C198" t="str">
            <v>Houston, TX</v>
          </cell>
          <cell r="D198">
            <v>375</v>
          </cell>
          <cell r="E198">
            <v>51594</v>
          </cell>
          <cell r="F198">
            <v>21</v>
          </cell>
          <cell r="G198">
            <v>1888</v>
          </cell>
          <cell r="H198">
            <v>6</v>
          </cell>
          <cell r="I198">
            <v>759</v>
          </cell>
          <cell r="J198">
            <v>27</v>
          </cell>
          <cell r="K198">
            <v>2647</v>
          </cell>
          <cell r="L198">
            <v>20</v>
          </cell>
          <cell r="M198">
            <v>4364</v>
          </cell>
          <cell r="N198">
            <v>47</v>
          </cell>
          <cell r="O198">
            <v>7011</v>
          </cell>
        </row>
        <row r="199">
          <cell r="C199" t="str">
            <v>Los Angeles, CA</v>
          </cell>
          <cell r="D199">
            <v>679</v>
          </cell>
          <cell r="E199">
            <v>83718</v>
          </cell>
          <cell r="F199">
            <v>11</v>
          </cell>
          <cell r="G199">
            <v>1593</v>
          </cell>
          <cell r="H199">
            <v>13</v>
          </cell>
          <cell r="I199">
            <v>2630</v>
          </cell>
          <cell r="J199">
            <v>24</v>
          </cell>
          <cell r="K199">
            <v>4223</v>
          </cell>
          <cell r="L199">
            <v>12</v>
          </cell>
          <cell r="M199">
            <v>1585</v>
          </cell>
          <cell r="N199">
            <v>36</v>
          </cell>
          <cell r="O199">
            <v>5808</v>
          </cell>
        </row>
        <row r="200">
          <cell r="C200" t="str">
            <v>Miami, FL</v>
          </cell>
          <cell r="D200">
            <v>272</v>
          </cell>
          <cell r="E200">
            <v>43547</v>
          </cell>
          <cell r="F200">
            <v>11</v>
          </cell>
          <cell r="G200">
            <v>2605</v>
          </cell>
          <cell r="H200">
            <v>5</v>
          </cell>
          <cell r="I200">
            <v>625</v>
          </cell>
          <cell r="J200">
            <v>16</v>
          </cell>
          <cell r="K200">
            <v>3230</v>
          </cell>
          <cell r="L200">
            <v>16</v>
          </cell>
          <cell r="M200">
            <v>2192</v>
          </cell>
          <cell r="N200">
            <v>32</v>
          </cell>
          <cell r="O200">
            <v>5422</v>
          </cell>
        </row>
        <row r="201">
          <cell r="C201" t="str">
            <v>Minneapolis, MN</v>
          </cell>
          <cell r="D201">
            <v>233</v>
          </cell>
          <cell r="E201">
            <v>31550</v>
          </cell>
          <cell r="F201">
            <v>6</v>
          </cell>
          <cell r="G201">
            <v>787</v>
          </cell>
          <cell r="H201">
            <v>7</v>
          </cell>
          <cell r="I201">
            <v>894</v>
          </cell>
          <cell r="J201">
            <v>13</v>
          </cell>
          <cell r="K201">
            <v>1681</v>
          </cell>
          <cell r="L201">
            <v>18</v>
          </cell>
          <cell r="M201">
            <v>2215</v>
          </cell>
          <cell r="N201">
            <v>31</v>
          </cell>
          <cell r="O201">
            <v>3896</v>
          </cell>
        </row>
        <row r="202">
          <cell r="C202" t="str">
            <v>Nashville, TN</v>
          </cell>
          <cell r="D202">
            <v>252</v>
          </cell>
          <cell r="E202">
            <v>31435</v>
          </cell>
          <cell r="F202">
            <v>8</v>
          </cell>
          <cell r="G202">
            <v>1262</v>
          </cell>
          <cell r="H202">
            <v>7</v>
          </cell>
          <cell r="I202">
            <v>564</v>
          </cell>
          <cell r="J202">
            <v>15</v>
          </cell>
          <cell r="K202">
            <v>1826</v>
          </cell>
          <cell r="L202">
            <v>11</v>
          </cell>
          <cell r="M202">
            <v>1137</v>
          </cell>
          <cell r="N202">
            <v>26</v>
          </cell>
          <cell r="O202">
            <v>2963</v>
          </cell>
        </row>
        <row r="203">
          <cell r="C203" t="str">
            <v>New Orleans, LA</v>
          </cell>
          <cell r="D203">
            <v>179</v>
          </cell>
          <cell r="E203">
            <v>30755</v>
          </cell>
          <cell r="F203">
            <v>13</v>
          </cell>
          <cell r="G203">
            <v>1924</v>
          </cell>
          <cell r="H203">
            <v>5</v>
          </cell>
          <cell r="I203">
            <v>480</v>
          </cell>
          <cell r="J203">
            <v>18</v>
          </cell>
          <cell r="K203">
            <v>2404</v>
          </cell>
          <cell r="L203">
            <v>17</v>
          </cell>
          <cell r="M203">
            <v>3052</v>
          </cell>
          <cell r="N203">
            <v>35</v>
          </cell>
          <cell r="O203">
            <v>5456</v>
          </cell>
        </row>
        <row r="204">
          <cell r="C204" t="str">
            <v>New York, NY</v>
          </cell>
          <cell r="D204">
            <v>277</v>
          </cell>
          <cell r="E204">
            <v>75608</v>
          </cell>
          <cell r="F204">
            <v>12</v>
          </cell>
          <cell r="G204">
            <v>3079</v>
          </cell>
          <cell r="H204">
            <v>5</v>
          </cell>
          <cell r="I204">
            <v>550</v>
          </cell>
          <cell r="J204">
            <v>17</v>
          </cell>
          <cell r="K204">
            <v>3629</v>
          </cell>
          <cell r="L204">
            <v>14</v>
          </cell>
          <cell r="M204">
            <v>2537</v>
          </cell>
          <cell r="N204">
            <v>31</v>
          </cell>
          <cell r="O204">
            <v>6166</v>
          </cell>
        </row>
        <row r="205">
          <cell r="C205" t="str">
            <v>Norfolk, VA</v>
          </cell>
          <cell r="D205">
            <v>310</v>
          </cell>
          <cell r="E205">
            <v>34697</v>
          </cell>
          <cell r="F205">
            <v>4</v>
          </cell>
          <cell r="G205">
            <v>668</v>
          </cell>
          <cell r="H205">
            <v>3</v>
          </cell>
          <cell r="I205">
            <v>239</v>
          </cell>
          <cell r="J205">
            <v>7</v>
          </cell>
          <cell r="K205">
            <v>907</v>
          </cell>
          <cell r="L205">
            <v>12</v>
          </cell>
          <cell r="M205">
            <v>1634</v>
          </cell>
          <cell r="N205">
            <v>19</v>
          </cell>
          <cell r="O205">
            <v>2541</v>
          </cell>
        </row>
        <row r="206">
          <cell r="C206" t="str">
            <v>Oahu Island, HI</v>
          </cell>
          <cell r="D206">
            <v>109</v>
          </cell>
          <cell r="E206">
            <v>36407</v>
          </cell>
          <cell r="F206">
            <v>1</v>
          </cell>
          <cell r="G206">
            <v>453</v>
          </cell>
          <cell r="H206">
            <v>0</v>
          </cell>
          <cell r="I206">
            <v>0</v>
          </cell>
          <cell r="J206">
            <v>1</v>
          </cell>
          <cell r="K206">
            <v>453</v>
          </cell>
          <cell r="L206">
            <v>1</v>
          </cell>
          <cell r="M206">
            <v>299</v>
          </cell>
          <cell r="N206">
            <v>2</v>
          </cell>
          <cell r="O206">
            <v>752</v>
          </cell>
        </row>
        <row r="207">
          <cell r="C207" t="str">
            <v>Orlando, FL</v>
          </cell>
          <cell r="D207">
            <v>417</v>
          </cell>
          <cell r="E207">
            <v>112948</v>
          </cell>
          <cell r="F207">
            <v>15</v>
          </cell>
          <cell r="G207">
            <v>7899</v>
          </cell>
          <cell r="H207">
            <v>13</v>
          </cell>
          <cell r="I207">
            <v>4788</v>
          </cell>
          <cell r="J207">
            <v>28</v>
          </cell>
          <cell r="K207">
            <v>12687</v>
          </cell>
          <cell r="L207">
            <v>42</v>
          </cell>
          <cell r="M207">
            <v>12195</v>
          </cell>
          <cell r="N207">
            <v>70</v>
          </cell>
          <cell r="O207">
            <v>24882</v>
          </cell>
        </row>
        <row r="208">
          <cell r="C208" t="str">
            <v>Philadelphia, PA</v>
          </cell>
          <cell r="D208">
            <v>238</v>
          </cell>
          <cell r="E208">
            <v>37267</v>
          </cell>
          <cell r="F208">
            <v>11</v>
          </cell>
          <cell r="G208">
            <v>1571</v>
          </cell>
          <cell r="H208">
            <v>6</v>
          </cell>
          <cell r="I208">
            <v>680</v>
          </cell>
          <cell r="J208">
            <v>17</v>
          </cell>
          <cell r="K208">
            <v>2251</v>
          </cell>
          <cell r="L208">
            <v>18</v>
          </cell>
          <cell r="M208">
            <v>1815</v>
          </cell>
          <cell r="N208">
            <v>35</v>
          </cell>
          <cell r="O208">
            <v>4066</v>
          </cell>
        </row>
        <row r="209">
          <cell r="C209" t="str">
            <v>Phoenix, AZ</v>
          </cell>
          <cell r="D209">
            <v>336</v>
          </cell>
          <cell r="E209">
            <v>50713</v>
          </cell>
          <cell r="F209">
            <v>2</v>
          </cell>
          <cell r="G209">
            <v>219</v>
          </cell>
          <cell r="H209">
            <v>9</v>
          </cell>
          <cell r="I209">
            <v>2842</v>
          </cell>
          <cell r="J209">
            <v>11</v>
          </cell>
          <cell r="K209">
            <v>3061</v>
          </cell>
          <cell r="L209">
            <v>10</v>
          </cell>
          <cell r="M209">
            <v>2821</v>
          </cell>
          <cell r="N209">
            <v>21</v>
          </cell>
          <cell r="O209">
            <v>5882</v>
          </cell>
        </row>
        <row r="210">
          <cell r="C210" t="str">
            <v>Saint Louis, MO</v>
          </cell>
          <cell r="D210">
            <v>214</v>
          </cell>
          <cell r="E210">
            <v>30315</v>
          </cell>
          <cell r="F210">
            <v>5</v>
          </cell>
          <cell r="G210">
            <v>782</v>
          </cell>
          <cell r="H210">
            <v>5</v>
          </cell>
          <cell r="I210">
            <v>1818</v>
          </cell>
          <cell r="J210">
            <v>10</v>
          </cell>
          <cell r="K210">
            <v>2600</v>
          </cell>
          <cell r="L210">
            <v>14</v>
          </cell>
          <cell r="M210">
            <v>1480</v>
          </cell>
          <cell r="N210">
            <v>24</v>
          </cell>
          <cell r="O210">
            <v>4080</v>
          </cell>
        </row>
        <row r="211">
          <cell r="C211" t="str">
            <v>San Diego, CA</v>
          </cell>
          <cell r="D211">
            <v>399</v>
          </cell>
          <cell r="E211">
            <v>49458</v>
          </cell>
          <cell r="F211">
            <v>10</v>
          </cell>
          <cell r="G211">
            <v>2086</v>
          </cell>
          <cell r="H211">
            <v>9</v>
          </cell>
          <cell r="I211">
            <v>1606</v>
          </cell>
          <cell r="J211">
            <v>19</v>
          </cell>
          <cell r="K211">
            <v>3692</v>
          </cell>
          <cell r="L211">
            <v>15</v>
          </cell>
          <cell r="M211">
            <v>4536</v>
          </cell>
          <cell r="N211">
            <v>34</v>
          </cell>
          <cell r="O211">
            <v>8228</v>
          </cell>
        </row>
        <row r="212">
          <cell r="C212" t="str">
            <v>San Francisco, CA</v>
          </cell>
          <cell r="D212">
            <v>339</v>
          </cell>
          <cell r="E212">
            <v>48885</v>
          </cell>
          <cell r="F212">
            <v>13</v>
          </cell>
          <cell r="G212">
            <v>2192</v>
          </cell>
          <cell r="H212">
            <v>9</v>
          </cell>
          <cell r="I212">
            <v>1691</v>
          </cell>
          <cell r="J212">
            <v>22</v>
          </cell>
          <cell r="K212">
            <v>3883</v>
          </cell>
          <cell r="L212">
            <v>22</v>
          </cell>
          <cell r="M212">
            <v>4038</v>
          </cell>
          <cell r="N212">
            <v>44</v>
          </cell>
          <cell r="O212">
            <v>7921</v>
          </cell>
        </row>
        <row r="213">
          <cell r="C213" t="str">
            <v>Seattle, WA</v>
          </cell>
          <cell r="D213">
            <v>282</v>
          </cell>
          <cell r="E213">
            <v>32954</v>
          </cell>
          <cell r="F213">
            <v>8</v>
          </cell>
          <cell r="G213">
            <v>1571</v>
          </cell>
          <cell r="H213">
            <v>16</v>
          </cell>
          <cell r="I213">
            <v>2692</v>
          </cell>
          <cell r="J213">
            <v>24</v>
          </cell>
          <cell r="K213">
            <v>4263</v>
          </cell>
          <cell r="L213">
            <v>11</v>
          </cell>
          <cell r="M213">
            <v>2119</v>
          </cell>
          <cell r="N213">
            <v>35</v>
          </cell>
          <cell r="O213">
            <v>6382</v>
          </cell>
        </row>
        <row r="214">
          <cell r="C214" t="str">
            <v>Tampa, FL</v>
          </cell>
          <cell r="D214">
            <v>308</v>
          </cell>
          <cell r="E214">
            <v>38264</v>
          </cell>
          <cell r="F214">
            <v>10</v>
          </cell>
          <cell r="G214">
            <v>1152</v>
          </cell>
          <cell r="H214">
            <v>3</v>
          </cell>
          <cell r="I214">
            <v>213</v>
          </cell>
          <cell r="J214">
            <v>13</v>
          </cell>
          <cell r="K214">
            <v>1365</v>
          </cell>
          <cell r="L214">
            <v>25</v>
          </cell>
          <cell r="M214">
            <v>2785</v>
          </cell>
          <cell r="N214">
            <v>38</v>
          </cell>
          <cell r="O214">
            <v>4150</v>
          </cell>
        </row>
        <row r="215">
          <cell r="C215" t="str">
            <v>Washington, DC</v>
          </cell>
          <cell r="D215">
            <v>425</v>
          </cell>
          <cell r="E215">
            <v>78572</v>
          </cell>
          <cell r="F215">
            <v>16</v>
          </cell>
          <cell r="G215">
            <v>2089</v>
          </cell>
          <cell r="H215">
            <v>15</v>
          </cell>
          <cell r="I215">
            <v>2562</v>
          </cell>
          <cell r="J215">
            <v>31</v>
          </cell>
          <cell r="K215">
            <v>4651</v>
          </cell>
          <cell r="L215">
            <v>28</v>
          </cell>
          <cell r="M215">
            <v>7092</v>
          </cell>
          <cell r="N215">
            <v>59</v>
          </cell>
          <cell r="O215">
            <v>11743</v>
          </cell>
        </row>
      </sheetData>
      <sheetData sheetId="5" refreshError="1">
        <row r="11">
          <cell r="BQ11">
            <v>222871</v>
          </cell>
          <cell r="BT11">
            <v>1591</v>
          </cell>
        </row>
        <row r="13">
          <cell r="BQ13">
            <v>127578</v>
          </cell>
          <cell r="BT13">
            <v>1252</v>
          </cell>
        </row>
        <row r="14">
          <cell r="BQ14">
            <v>123143</v>
          </cell>
          <cell r="BT14">
            <v>864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98">
          <cell r="B498" t="str">
            <v>Best Western</v>
          </cell>
          <cell r="C498">
            <v>12</v>
          </cell>
          <cell r="D498">
            <v>1189</v>
          </cell>
        </row>
        <row r="499">
          <cell r="B499" t="str">
            <v>Days Inn</v>
          </cell>
          <cell r="C499">
            <v>9</v>
          </cell>
          <cell r="D499">
            <v>1102</v>
          </cell>
        </row>
        <row r="500">
          <cell r="B500" t="str">
            <v>Drury Inn</v>
          </cell>
          <cell r="C500">
            <v>13</v>
          </cell>
          <cell r="D500">
            <v>2185</v>
          </cell>
        </row>
        <row r="501">
          <cell r="B501" t="str">
            <v>Hampton Inn</v>
          </cell>
          <cell r="C501">
            <v>8</v>
          </cell>
          <cell r="D501">
            <v>994</v>
          </cell>
        </row>
        <row r="502">
          <cell r="B502" t="str">
            <v>Holiday Inn</v>
          </cell>
          <cell r="C502">
            <v>16</v>
          </cell>
          <cell r="D502">
            <v>3610</v>
          </cell>
        </row>
        <row r="503">
          <cell r="B503" t="str">
            <v>Marriott Hotel</v>
          </cell>
          <cell r="C503">
            <v>3</v>
          </cell>
          <cell r="D503">
            <v>1573</v>
          </cell>
        </row>
        <row r="504">
          <cell r="B504" t="str">
            <v>Radisson Hotel</v>
          </cell>
          <cell r="C504">
            <v>3</v>
          </cell>
          <cell r="D504">
            <v>996</v>
          </cell>
        </row>
        <row r="505">
          <cell r="B505" t="str">
            <v>Super 8</v>
          </cell>
          <cell r="C505">
            <v>18</v>
          </cell>
          <cell r="D505">
            <v>992</v>
          </cell>
        </row>
        <row r="507">
          <cell r="B507" t="str">
            <v>ACCOR</v>
          </cell>
          <cell r="C507">
            <v>15</v>
          </cell>
          <cell r="D507">
            <v>1659</v>
          </cell>
        </row>
        <row r="508">
          <cell r="B508" t="str">
            <v>Bass Hotels</v>
          </cell>
          <cell r="C508">
            <v>22</v>
          </cell>
          <cell r="D508">
            <v>4001</v>
          </cell>
        </row>
        <row r="509">
          <cell r="B509" t="str">
            <v>Best Western</v>
          </cell>
          <cell r="C509">
            <v>12</v>
          </cell>
          <cell r="D509">
            <v>1189</v>
          </cell>
        </row>
        <row r="510">
          <cell r="B510" t="str">
            <v>Carlson Co.</v>
          </cell>
          <cell r="C510">
            <v>3</v>
          </cell>
          <cell r="D510">
            <v>996</v>
          </cell>
        </row>
        <row r="511">
          <cell r="B511" t="str">
            <v>Cendant Corp.</v>
          </cell>
          <cell r="C511">
            <v>47</v>
          </cell>
          <cell r="D511">
            <v>4103</v>
          </cell>
        </row>
        <row r="512">
          <cell r="B512" t="str">
            <v>Drury Inns</v>
          </cell>
          <cell r="C512">
            <v>13</v>
          </cell>
          <cell r="D512">
            <v>2185</v>
          </cell>
        </row>
        <row r="513">
          <cell r="B513" t="str">
            <v>Hilton Hotels</v>
          </cell>
          <cell r="C513">
            <v>18</v>
          </cell>
          <cell r="D513">
            <v>2849</v>
          </cell>
        </row>
        <row r="514">
          <cell r="B514" t="str">
            <v>Marriott International</v>
          </cell>
          <cell r="C514">
            <v>21</v>
          </cell>
          <cell r="D514">
            <v>4030</v>
          </cell>
        </row>
        <row r="516">
          <cell r="B516" t="str">
            <v>Economy</v>
          </cell>
          <cell r="C516">
            <v>85</v>
          </cell>
          <cell r="D516">
            <v>7729</v>
          </cell>
        </row>
        <row r="517">
          <cell r="B517" t="str">
            <v>Independent</v>
          </cell>
          <cell r="C517">
            <v>36</v>
          </cell>
          <cell r="D517">
            <v>2435</v>
          </cell>
        </row>
        <row r="518">
          <cell r="B518" t="str">
            <v>Midscale w/F&amp;B</v>
          </cell>
          <cell r="C518">
            <v>35</v>
          </cell>
          <cell r="D518">
            <v>5652</v>
          </cell>
        </row>
        <row r="519">
          <cell r="B519" t="str">
            <v>Midscale w/o F&amp;B</v>
          </cell>
          <cell r="C519">
            <v>51</v>
          </cell>
          <cell r="D519">
            <v>5671</v>
          </cell>
        </row>
        <row r="520">
          <cell r="B520" t="str">
            <v>Upper Upscale</v>
          </cell>
          <cell r="C520">
            <v>13</v>
          </cell>
          <cell r="D520">
            <v>4103</v>
          </cell>
        </row>
        <row r="521">
          <cell r="B521" t="str">
            <v>Upscale</v>
          </cell>
          <cell r="C521">
            <v>20</v>
          </cell>
          <cell r="D521">
            <v>5331</v>
          </cell>
        </row>
        <row r="524">
          <cell r="B524" t="str">
            <v>Best Western</v>
          </cell>
          <cell r="C524">
            <v>28</v>
          </cell>
          <cell r="D524">
            <v>2733</v>
          </cell>
        </row>
        <row r="525">
          <cell r="B525" t="str">
            <v>Days Inn</v>
          </cell>
          <cell r="C525">
            <v>14</v>
          </cell>
          <cell r="D525">
            <v>1432</v>
          </cell>
        </row>
        <row r="526">
          <cell r="B526" t="str">
            <v>Hilton Hotel</v>
          </cell>
          <cell r="C526">
            <v>6</v>
          </cell>
          <cell r="D526">
            <v>1549</v>
          </cell>
        </row>
        <row r="527">
          <cell r="B527" t="str">
            <v>Holiday Inn</v>
          </cell>
          <cell r="C527">
            <v>10</v>
          </cell>
          <cell r="D527">
            <v>2507</v>
          </cell>
        </row>
        <row r="528">
          <cell r="B528" t="str">
            <v>Hyatt Hotel</v>
          </cell>
          <cell r="C528">
            <v>3</v>
          </cell>
          <cell r="D528">
            <v>1641</v>
          </cell>
        </row>
        <row r="529">
          <cell r="B529" t="str">
            <v>Marriott Hotel</v>
          </cell>
          <cell r="C529">
            <v>5</v>
          </cell>
          <cell r="D529">
            <v>2629</v>
          </cell>
        </row>
        <row r="530">
          <cell r="B530" t="str">
            <v>Motel 6</v>
          </cell>
          <cell r="C530">
            <v>13</v>
          </cell>
          <cell r="D530">
            <v>1722</v>
          </cell>
        </row>
        <row r="531">
          <cell r="B531" t="str">
            <v>Sheraton Hotel</v>
          </cell>
          <cell r="C531">
            <v>2</v>
          </cell>
          <cell r="D531">
            <v>1439</v>
          </cell>
        </row>
        <row r="533">
          <cell r="B533" t="str">
            <v>ACCOR</v>
          </cell>
          <cell r="C533">
            <v>13</v>
          </cell>
          <cell r="D533">
            <v>1722</v>
          </cell>
        </row>
        <row r="534">
          <cell r="B534" t="str">
            <v>Bass Hotels</v>
          </cell>
          <cell r="C534">
            <v>20</v>
          </cell>
          <cell r="D534">
            <v>3391</v>
          </cell>
        </row>
        <row r="535">
          <cell r="B535" t="str">
            <v>Best Western</v>
          </cell>
          <cell r="C535">
            <v>28</v>
          </cell>
          <cell r="D535">
            <v>2733</v>
          </cell>
        </row>
        <row r="536">
          <cell r="B536" t="str">
            <v>Cendant Corp.</v>
          </cell>
          <cell r="C536">
            <v>62</v>
          </cell>
          <cell r="D536">
            <v>5200</v>
          </cell>
        </row>
        <row r="537">
          <cell r="B537" t="str">
            <v>Hilton Hotels</v>
          </cell>
          <cell r="C537">
            <v>18</v>
          </cell>
          <cell r="D537">
            <v>4185</v>
          </cell>
        </row>
        <row r="538">
          <cell r="B538" t="str">
            <v>Hyatt Hotels</v>
          </cell>
          <cell r="C538">
            <v>3</v>
          </cell>
          <cell r="D538">
            <v>1641</v>
          </cell>
        </row>
        <row r="539">
          <cell r="B539" t="str">
            <v>Marriott International</v>
          </cell>
          <cell r="C539">
            <v>15</v>
          </cell>
          <cell r="D539">
            <v>4259</v>
          </cell>
        </row>
        <row r="540">
          <cell r="B540" t="str">
            <v>Starwood Hotels</v>
          </cell>
          <cell r="C540">
            <v>6</v>
          </cell>
          <cell r="D540">
            <v>2669</v>
          </cell>
        </row>
        <row r="542">
          <cell r="B542" t="str">
            <v>Economy</v>
          </cell>
          <cell r="C542">
            <v>93</v>
          </cell>
          <cell r="D542">
            <v>7869</v>
          </cell>
        </row>
        <row r="543">
          <cell r="B543" t="str">
            <v>Independent</v>
          </cell>
          <cell r="C543">
            <v>195</v>
          </cell>
          <cell r="D543">
            <v>16871</v>
          </cell>
        </row>
        <row r="544">
          <cell r="B544" t="str">
            <v>Midscale w/F&amp;B</v>
          </cell>
          <cell r="C544">
            <v>56</v>
          </cell>
          <cell r="D544">
            <v>7760</v>
          </cell>
        </row>
        <row r="545">
          <cell r="B545" t="str">
            <v>Midscale w/o F&amp;B</v>
          </cell>
          <cell r="C545">
            <v>25</v>
          </cell>
          <cell r="D545">
            <v>2715</v>
          </cell>
        </row>
        <row r="546">
          <cell r="B546" t="str">
            <v>Upper Upscale</v>
          </cell>
          <cell r="C546">
            <v>20</v>
          </cell>
          <cell r="D546">
            <v>9110</v>
          </cell>
        </row>
        <row r="547">
          <cell r="B547" t="str">
            <v>Upscale</v>
          </cell>
          <cell r="C547">
            <v>27</v>
          </cell>
          <cell r="D547">
            <v>5158</v>
          </cell>
        </row>
        <row r="550">
          <cell r="B550" t="str">
            <v>Best Western</v>
          </cell>
          <cell r="C550">
            <v>15</v>
          </cell>
          <cell r="D550">
            <v>1868</v>
          </cell>
        </row>
        <row r="551">
          <cell r="B551" t="str">
            <v>Hilton Hotel</v>
          </cell>
          <cell r="C551">
            <v>2</v>
          </cell>
          <cell r="D551">
            <v>2129</v>
          </cell>
        </row>
        <row r="552">
          <cell r="B552" t="str">
            <v>Holiday Inn</v>
          </cell>
          <cell r="C552">
            <v>7</v>
          </cell>
          <cell r="D552">
            <v>2599</v>
          </cell>
        </row>
        <row r="553">
          <cell r="B553" t="str">
            <v>Hyatt Hotel</v>
          </cell>
          <cell r="C553">
            <v>5</v>
          </cell>
          <cell r="D553">
            <v>2956</v>
          </cell>
        </row>
        <row r="554">
          <cell r="B554" t="str">
            <v>Marriott Hotel</v>
          </cell>
          <cell r="C554">
            <v>4</v>
          </cell>
          <cell r="D554">
            <v>2752</v>
          </cell>
        </row>
        <row r="555">
          <cell r="B555" t="str">
            <v>Renaissance Hotel</v>
          </cell>
          <cell r="C555">
            <v>2</v>
          </cell>
          <cell r="D555">
            <v>1401</v>
          </cell>
        </row>
        <row r="556">
          <cell r="B556" t="str">
            <v>Sheraton Hotel</v>
          </cell>
          <cell r="C556">
            <v>3</v>
          </cell>
          <cell r="D556">
            <v>1481</v>
          </cell>
        </row>
        <row r="557">
          <cell r="B557" t="str">
            <v>Westin  Hotel</v>
          </cell>
          <cell r="C557">
            <v>2</v>
          </cell>
          <cell r="D557">
            <v>1577</v>
          </cell>
        </row>
        <row r="559">
          <cell r="B559" t="str">
            <v>Bass Hotels</v>
          </cell>
          <cell r="C559">
            <v>15</v>
          </cell>
          <cell r="D559">
            <v>4062</v>
          </cell>
        </row>
        <row r="560">
          <cell r="B560" t="str">
            <v>Best Western</v>
          </cell>
          <cell r="C560">
            <v>15</v>
          </cell>
          <cell r="D560">
            <v>1868</v>
          </cell>
        </row>
        <row r="561">
          <cell r="B561" t="str">
            <v>Cendant Corp.</v>
          </cell>
          <cell r="C561">
            <v>33</v>
          </cell>
          <cell r="D561">
            <v>2925</v>
          </cell>
        </row>
        <row r="562">
          <cell r="B562" t="str">
            <v>Choice Hotels</v>
          </cell>
          <cell r="C562">
            <v>12</v>
          </cell>
          <cell r="D562">
            <v>1300</v>
          </cell>
        </row>
        <row r="563">
          <cell r="B563" t="str">
            <v>Hilton Hotels</v>
          </cell>
          <cell r="C563">
            <v>10</v>
          </cell>
          <cell r="D563">
            <v>3862</v>
          </cell>
        </row>
        <row r="564">
          <cell r="B564" t="str">
            <v>Hyatt Hotels</v>
          </cell>
          <cell r="C564">
            <v>5</v>
          </cell>
          <cell r="D564">
            <v>2956</v>
          </cell>
        </row>
        <row r="565">
          <cell r="B565" t="str">
            <v>Marriott International</v>
          </cell>
          <cell r="C565">
            <v>12</v>
          </cell>
          <cell r="D565">
            <v>5224</v>
          </cell>
        </row>
        <row r="566">
          <cell r="B566" t="str">
            <v>Starwood Hotels</v>
          </cell>
          <cell r="C566">
            <v>6</v>
          </cell>
          <cell r="D566">
            <v>3481</v>
          </cell>
        </row>
        <row r="568">
          <cell r="B568" t="str">
            <v>Economy</v>
          </cell>
          <cell r="C568">
            <v>52</v>
          </cell>
          <cell r="D568">
            <v>3308</v>
          </cell>
        </row>
        <row r="569">
          <cell r="B569" t="str">
            <v>Independent</v>
          </cell>
          <cell r="C569">
            <v>194</v>
          </cell>
          <cell r="D569">
            <v>15698</v>
          </cell>
        </row>
        <row r="570">
          <cell r="B570" t="str">
            <v>Midscale w/F&amp;B</v>
          </cell>
          <cell r="C570">
            <v>32</v>
          </cell>
          <cell r="D570">
            <v>6222</v>
          </cell>
        </row>
        <row r="571">
          <cell r="B571" t="str">
            <v>Midscale w/o F&amp;B</v>
          </cell>
          <cell r="C571">
            <v>13</v>
          </cell>
          <cell r="D571">
            <v>1201</v>
          </cell>
        </row>
        <row r="572">
          <cell r="B572" t="str">
            <v>Upper Upscale</v>
          </cell>
          <cell r="C572">
            <v>32</v>
          </cell>
          <cell r="D572">
            <v>16639</v>
          </cell>
        </row>
        <row r="573">
          <cell r="B573" t="str">
            <v>Upscale</v>
          </cell>
          <cell r="C573">
            <v>16</v>
          </cell>
          <cell r="D573">
            <v>3683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dant Ex III"/>
      <sheetName val="BY MSA ExIII"/>
      <sheetName val="days inn Ex III"/>
      <sheetName val="howard johnson Ex III"/>
      <sheetName val="howard johnson express Ex III"/>
      <sheetName val="knights inn Ex III"/>
      <sheetName val="ramada inn Ex III"/>
      <sheetName val="ramada ltd Ex III"/>
      <sheetName val="super 8 Ex III"/>
      <sheetName val="thriftlodge Ex III"/>
      <sheetName val="travelodge Ex III"/>
      <sheetName val="villager lodge Ex III"/>
      <sheetName val="wingate Ex III"/>
      <sheetName val="lookups"/>
      <sheetName val="Top 10 cos."/>
      <sheetName val="piv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2">
          <cell r="C42" t="str">
            <v>Anaheim, CA</v>
          </cell>
          <cell r="D42">
            <v>9</v>
          </cell>
          <cell r="E42">
            <v>482</v>
          </cell>
          <cell r="F42">
            <v>2</v>
          </cell>
          <cell r="G42">
            <v>90</v>
          </cell>
          <cell r="H42">
            <v>3</v>
          </cell>
          <cell r="I42">
            <v>451</v>
          </cell>
          <cell r="J42">
            <v>1</v>
          </cell>
          <cell r="K42">
            <v>28</v>
          </cell>
          <cell r="L42">
            <v>6</v>
          </cell>
          <cell r="M42">
            <v>1402</v>
          </cell>
          <cell r="N42">
            <v>5</v>
          </cell>
          <cell r="O42">
            <v>422</v>
          </cell>
          <cell r="P42">
            <v>5</v>
          </cell>
          <cell r="Q42">
            <v>461</v>
          </cell>
          <cell r="R42">
            <v>0</v>
          </cell>
          <cell r="S42">
            <v>0</v>
          </cell>
          <cell r="T42">
            <v>13</v>
          </cell>
          <cell r="U42">
            <v>988</v>
          </cell>
          <cell r="V42">
            <v>2</v>
          </cell>
          <cell r="W42">
            <v>250</v>
          </cell>
          <cell r="X42">
            <v>0</v>
          </cell>
          <cell r="Y42">
            <v>0</v>
          </cell>
        </row>
        <row r="43">
          <cell r="C43" t="str">
            <v>Atlanta, GA</v>
          </cell>
          <cell r="D43">
            <v>31</v>
          </cell>
          <cell r="E43">
            <v>3338</v>
          </cell>
          <cell r="F43">
            <v>0</v>
          </cell>
          <cell r="G43">
            <v>0</v>
          </cell>
          <cell r="H43">
            <v>7</v>
          </cell>
          <cell r="I43">
            <v>1025</v>
          </cell>
          <cell r="J43">
            <v>3</v>
          </cell>
          <cell r="K43">
            <v>300</v>
          </cell>
          <cell r="L43">
            <v>10</v>
          </cell>
          <cell r="M43">
            <v>1887</v>
          </cell>
          <cell r="N43">
            <v>12</v>
          </cell>
          <cell r="O43">
            <v>744</v>
          </cell>
          <cell r="P43">
            <v>17</v>
          </cell>
          <cell r="Q43">
            <v>1142</v>
          </cell>
          <cell r="R43">
            <v>0</v>
          </cell>
          <cell r="S43">
            <v>0</v>
          </cell>
          <cell r="T43">
            <v>5</v>
          </cell>
          <cell r="U43">
            <v>496</v>
          </cell>
          <cell r="V43">
            <v>5</v>
          </cell>
          <cell r="W43">
            <v>632</v>
          </cell>
          <cell r="X43">
            <v>3</v>
          </cell>
          <cell r="Y43">
            <v>285</v>
          </cell>
        </row>
        <row r="44">
          <cell r="C44" t="str">
            <v>Boston, MA</v>
          </cell>
          <cell r="D44">
            <v>8</v>
          </cell>
          <cell r="E44">
            <v>825</v>
          </cell>
          <cell r="F44">
            <v>0</v>
          </cell>
          <cell r="G44">
            <v>0</v>
          </cell>
          <cell r="H44">
            <v>6</v>
          </cell>
          <cell r="I44">
            <v>865</v>
          </cell>
          <cell r="J44">
            <v>0</v>
          </cell>
          <cell r="K44">
            <v>0</v>
          </cell>
          <cell r="L44">
            <v>6</v>
          </cell>
          <cell r="M44">
            <v>910</v>
          </cell>
          <cell r="N44">
            <v>0</v>
          </cell>
          <cell r="O44">
            <v>0</v>
          </cell>
          <cell r="P44">
            <v>6</v>
          </cell>
          <cell r="Q44">
            <v>385</v>
          </cell>
          <cell r="R44">
            <v>0</v>
          </cell>
          <cell r="S44">
            <v>0</v>
          </cell>
          <cell r="T44">
            <v>3</v>
          </cell>
          <cell r="U44">
            <v>458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C45" t="str">
            <v>Chicago, IL</v>
          </cell>
          <cell r="D45">
            <v>15</v>
          </cell>
          <cell r="E45">
            <v>2329</v>
          </cell>
          <cell r="F45">
            <v>1</v>
          </cell>
          <cell r="G45">
            <v>67</v>
          </cell>
          <cell r="H45">
            <v>3</v>
          </cell>
          <cell r="I45">
            <v>451</v>
          </cell>
          <cell r="J45">
            <v>1</v>
          </cell>
          <cell r="K45">
            <v>152</v>
          </cell>
          <cell r="L45">
            <v>10</v>
          </cell>
          <cell r="M45">
            <v>1855</v>
          </cell>
          <cell r="N45">
            <v>0</v>
          </cell>
          <cell r="O45">
            <v>0</v>
          </cell>
          <cell r="P45">
            <v>9</v>
          </cell>
          <cell r="Q45">
            <v>600</v>
          </cell>
          <cell r="R45">
            <v>1</v>
          </cell>
          <cell r="S45">
            <v>54</v>
          </cell>
          <cell r="T45">
            <v>3</v>
          </cell>
          <cell r="U45">
            <v>444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C46" t="str">
            <v>Dallas, TX</v>
          </cell>
          <cell r="D46">
            <v>12</v>
          </cell>
          <cell r="E46">
            <v>1198</v>
          </cell>
          <cell r="F46">
            <v>1</v>
          </cell>
          <cell r="G46">
            <v>50</v>
          </cell>
          <cell r="H46">
            <v>5</v>
          </cell>
          <cell r="I46">
            <v>420</v>
          </cell>
          <cell r="J46">
            <v>1</v>
          </cell>
          <cell r="K46">
            <v>100</v>
          </cell>
          <cell r="L46">
            <v>5</v>
          </cell>
          <cell r="M46">
            <v>940</v>
          </cell>
          <cell r="N46">
            <v>5</v>
          </cell>
          <cell r="O46">
            <v>345</v>
          </cell>
          <cell r="P46">
            <v>11</v>
          </cell>
          <cell r="Q46">
            <v>914</v>
          </cell>
          <cell r="R46">
            <v>0</v>
          </cell>
          <cell r="S46">
            <v>0</v>
          </cell>
          <cell r="T46">
            <v>1</v>
          </cell>
          <cell r="U46">
            <v>184</v>
          </cell>
          <cell r="V46">
            <v>0</v>
          </cell>
          <cell r="W46">
            <v>0</v>
          </cell>
          <cell r="X46">
            <v>2</v>
          </cell>
          <cell r="Y46">
            <v>214</v>
          </cell>
        </row>
        <row r="47">
          <cell r="C47" t="str">
            <v>Denver, CO</v>
          </cell>
          <cell r="D47">
            <v>8</v>
          </cell>
          <cell r="E47">
            <v>1147</v>
          </cell>
          <cell r="F47">
            <v>0</v>
          </cell>
          <cell r="G47">
            <v>0</v>
          </cell>
          <cell r="H47">
            <v>1</v>
          </cell>
          <cell r="I47">
            <v>404</v>
          </cell>
          <cell r="J47">
            <v>0</v>
          </cell>
          <cell r="K47">
            <v>0</v>
          </cell>
          <cell r="L47">
            <v>5</v>
          </cell>
          <cell r="M47">
            <v>847</v>
          </cell>
          <cell r="N47">
            <v>1</v>
          </cell>
          <cell r="O47">
            <v>139</v>
          </cell>
          <cell r="P47">
            <v>11</v>
          </cell>
          <cell r="Q47">
            <v>1112</v>
          </cell>
          <cell r="R47">
            <v>0</v>
          </cell>
          <cell r="S47">
            <v>0</v>
          </cell>
          <cell r="T47">
            <v>2</v>
          </cell>
          <cell r="U47">
            <v>408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C48" t="str">
            <v>Detroit, MI</v>
          </cell>
          <cell r="D48">
            <v>11</v>
          </cell>
          <cell r="E48">
            <v>1139</v>
          </cell>
          <cell r="F48">
            <v>0</v>
          </cell>
          <cell r="G48">
            <v>0</v>
          </cell>
          <cell r="H48">
            <v>2</v>
          </cell>
          <cell r="I48">
            <v>293</v>
          </cell>
          <cell r="J48">
            <v>10</v>
          </cell>
          <cell r="K48">
            <v>1120</v>
          </cell>
          <cell r="L48">
            <v>6</v>
          </cell>
          <cell r="M48">
            <v>1123</v>
          </cell>
          <cell r="N48">
            <v>2</v>
          </cell>
          <cell r="O48">
            <v>127</v>
          </cell>
          <cell r="P48">
            <v>10</v>
          </cell>
          <cell r="Q48">
            <v>677</v>
          </cell>
          <cell r="R48">
            <v>0</v>
          </cell>
          <cell r="S48">
            <v>0</v>
          </cell>
          <cell r="T48">
            <v>3</v>
          </cell>
          <cell r="U48">
            <v>335</v>
          </cell>
          <cell r="V48">
            <v>1</v>
          </cell>
          <cell r="W48">
            <v>110</v>
          </cell>
          <cell r="X48">
            <v>0</v>
          </cell>
          <cell r="Y48">
            <v>0</v>
          </cell>
        </row>
        <row r="49">
          <cell r="C49" t="str">
            <v>Houston, TX</v>
          </cell>
          <cell r="D49">
            <v>19</v>
          </cell>
          <cell r="E49">
            <v>2745</v>
          </cell>
          <cell r="F49">
            <v>4</v>
          </cell>
          <cell r="G49">
            <v>277</v>
          </cell>
          <cell r="H49">
            <v>3</v>
          </cell>
          <cell r="I49">
            <v>343</v>
          </cell>
          <cell r="J49">
            <v>1</v>
          </cell>
          <cell r="K49">
            <v>44</v>
          </cell>
          <cell r="L49">
            <v>5</v>
          </cell>
          <cell r="M49">
            <v>986</v>
          </cell>
          <cell r="N49">
            <v>6</v>
          </cell>
          <cell r="O49">
            <v>583</v>
          </cell>
          <cell r="P49">
            <v>8</v>
          </cell>
          <cell r="Q49">
            <v>460</v>
          </cell>
          <cell r="R49">
            <v>0</v>
          </cell>
          <cell r="S49">
            <v>0</v>
          </cell>
          <cell r="T49">
            <v>3</v>
          </cell>
          <cell r="U49">
            <v>355</v>
          </cell>
          <cell r="V49">
            <v>1</v>
          </cell>
          <cell r="W49">
            <v>51</v>
          </cell>
          <cell r="X49">
            <v>2</v>
          </cell>
          <cell r="Y49">
            <v>185</v>
          </cell>
        </row>
        <row r="50">
          <cell r="C50" t="str">
            <v>Los Angeles, CA</v>
          </cell>
          <cell r="D50">
            <v>18</v>
          </cell>
          <cell r="E50">
            <v>1239</v>
          </cell>
          <cell r="F50">
            <v>2</v>
          </cell>
          <cell r="G50">
            <v>136</v>
          </cell>
          <cell r="H50">
            <v>5</v>
          </cell>
          <cell r="I50">
            <v>854</v>
          </cell>
          <cell r="J50">
            <v>2</v>
          </cell>
          <cell r="K50">
            <v>94</v>
          </cell>
          <cell r="L50">
            <v>15</v>
          </cell>
          <cell r="M50">
            <v>1954</v>
          </cell>
          <cell r="N50">
            <v>4</v>
          </cell>
          <cell r="O50">
            <v>180</v>
          </cell>
          <cell r="P50">
            <v>12</v>
          </cell>
          <cell r="Q50">
            <v>758</v>
          </cell>
          <cell r="R50">
            <v>1</v>
          </cell>
          <cell r="S50">
            <v>49</v>
          </cell>
          <cell r="T50">
            <v>28</v>
          </cell>
          <cell r="U50">
            <v>2294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C51" t="str">
            <v>Miami, FL</v>
          </cell>
          <cell r="D51">
            <v>10</v>
          </cell>
          <cell r="E51">
            <v>1282</v>
          </cell>
          <cell r="F51">
            <v>0</v>
          </cell>
          <cell r="G51">
            <v>0</v>
          </cell>
          <cell r="H51">
            <v>8</v>
          </cell>
          <cell r="I51">
            <v>1134</v>
          </cell>
          <cell r="J51">
            <v>2</v>
          </cell>
          <cell r="K51">
            <v>82</v>
          </cell>
          <cell r="L51">
            <v>3</v>
          </cell>
          <cell r="M51">
            <v>817</v>
          </cell>
          <cell r="N51">
            <v>3</v>
          </cell>
          <cell r="O51">
            <v>430</v>
          </cell>
          <cell r="P51">
            <v>2</v>
          </cell>
          <cell r="Q51">
            <v>102</v>
          </cell>
          <cell r="R51">
            <v>0</v>
          </cell>
          <cell r="S51">
            <v>0</v>
          </cell>
          <cell r="T51">
            <v>3</v>
          </cell>
          <cell r="U51">
            <v>630</v>
          </cell>
          <cell r="V51">
            <v>2</v>
          </cell>
          <cell r="W51">
            <v>114</v>
          </cell>
          <cell r="X51">
            <v>0</v>
          </cell>
          <cell r="Y51">
            <v>0</v>
          </cell>
        </row>
        <row r="52">
          <cell r="C52" t="str">
            <v>Minneapolis, MN</v>
          </cell>
          <cell r="D52">
            <v>8</v>
          </cell>
          <cell r="E52">
            <v>969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</v>
          </cell>
          <cell r="M52">
            <v>1140</v>
          </cell>
          <cell r="N52">
            <v>0</v>
          </cell>
          <cell r="O52">
            <v>0</v>
          </cell>
          <cell r="P52">
            <v>22</v>
          </cell>
          <cell r="Q52">
            <v>1527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</v>
          </cell>
          <cell r="Y52">
            <v>84</v>
          </cell>
        </row>
        <row r="53">
          <cell r="C53" t="str">
            <v>Nashville, TN</v>
          </cell>
          <cell r="D53">
            <v>19</v>
          </cell>
          <cell r="E53">
            <v>2133</v>
          </cell>
          <cell r="F53">
            <v>1</v>
          </cell>
          <cell r="G53">
            <v>80</v>
          </cell>
          <cell r="H53">
            <v>3</v>
          </cell>
          <cell r="I53">
            <v>222</v>
          </cell>
          <cell r="J53">
            <v>2</v>
          </cell>
          <cell r="K53">
            <v>169</v>
          </cell>
          <cell r="L53">
            <v>7</v>
          </cell>
          <cell r="M53">
            <v>1189</v>
          </cell>
          <cell r="N53">
            <v>3</v>
          </cell>
          <cell r="O53">
            <v>331</v>
          </cell>
          <cell r="P53">
            <v>9</v>
          </cell>
          <cell r="Q53">
            <v>910</v>
          </cell>
          <cell r="R53">
            <v>0</v>
          </cell>
          <cell r="S53">
            <v>0</v>
          </cell>
          <cell r="T53">
            <v>1</v>
          </cell>
          <cell r="U53">
            <v>73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C54" t="str">
            <v>New Orleans, LA</v>
          </cell>
          <cell r="D54">
            <v>5</v>
          </cell>
          <cell r="E54">
            <v>865</v>
          </cell>
          <cell r="F54">
            <v>0</v>
          </cell>
          <cell r="G54">
            <v>0</v>
          </cell>
          <cell r="H54">
            <v>1</v>
          </cell>
          <cell r="I54">
            <v>75</v>
          </cell>
          <cell r="J54">
            <v>0</v>
          </cell>
          <cell r="K54">
            <v>0</v>
          </cell>
          <cell r="L54">
            <v>4</v>
          </cell>
          <cell r="M54">
            <v>552</v>
          </cell>
          <cell r="N54">
            <v>2</v>
          </cell>
          <cell r="O54">
            <v>213</v>
          </cell>
          <cell r="P54">
            <v>3</v>
          </cell>
          <cell r="Q54">
            <v>218</v>
          </cell>
          <cell r="R54">
            <v>0</v>
          </cell>
          <cell r="S54">
            <v>0</v>
          </cell>
          <cell r="T54">
            <v>3</v>
          </cell>
          <cell r="U54">
            <v>486</v>
          </cell>
          <cell r="V54">
            <v>0</v>
          </cell>
          <cell r="W54">
            <v>0</v>
          </cell>
          <cell r="X54">
            <v>1</v>
          </cell>
          <cell r="Y54">
            <v>102</v>
          </cell>
        </row>
        <row r="55">
          <cell r="C55" t="str">
            <v>New York, NY</v>
          </cell>
          <cell r="D55">
            <v>1</v>
          </cell>
          <cell r="E55">
            <v>367</v>
          </cell>
          <cell r="F55">
            <v>0</v>
          </cell>
          <cell r="G55">
            <v>0</v>
          </cell>
          <cell r="H55">
            <v>4</v>
          </cell>
          <cell r="I55">
            <v>571</v>
          </cell>
          <cell r="J55">
            <v>0</v>
          </cell>
          <cell r="K55">
            <v>0</v>
          </cell>
          <cell r="L55">
            <v>6</v>
          </cell>
          <cell r="M55">
            <v>3157</v>
          </cell>
          <cell r="N55">
            <v>0</v>
          </cell>
          <cell r="O55">
            <v>0</v>
          </cell>
          <cell r="P55">
            <v>1</v>
          </cell>
          <cell r="Q55">
            <v>43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C56" t="str">
            <v>Norfolk, VA</v>
          </cell>
          <cell r="D56">
            <v>20</v>
          </cell>
          <cell r="E56">
            <v>2316</v>
          </cell>
          <cell r="F56">
            <v>3</v>
          </cell>
          <cell r="G56">
            <v>144</v>
          </cell>
          <cell r="H56">
            <v>6</v>
          </cell>
          <cell r="I56">
            <v>916</v>
          </cell>
          <cell r="J56">
            <v>1</v>
          </cell>
          <cell r="K56">
            <v>116</v>
          </cell>
          <cell r="L56">
            <v>9</v>
          </cell>
          <cell r="M56">
            <v>1551</v>
          </cell>
          <cell r="N56">
            <v>1</v>
          </cell>
          <cell r="O56">
            <v>132</v>
          </cell>
          <cell r="P56">
            <v>6</v>
          </cell>
          <cell r="Q56">
            <v>448</v>
          </cell>
          <cell r="R56">
            <v>0</v>
          </cell>
          <cell r="S56">
            <v>0</v>
          </cell>
          <cell r="T56">
            <v>6</v>
          </cell>
          <cell r="U56">
            <v>555</v>
          </cell>
          <cell r="V56">
            <v>3</v>
          </cell>
          <cell r="W56">
            <v>133</v>
          </cell>
          <cell r="X56">
            <v>0</v>
          </cell>
          <cell r="Y56">
            <v>0</v>
          </cell>
        </row>
        <row r="57">
          <cell r="C57" t="str">
            <v>Oahu Island, HI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</v>
          </cell>
          <cell r="M57">
            <v>80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C58" t="str">
            <v>Orlando, FL</v>
          </cell>
          <cell r="D58">
            <v>25</v>
          </cell>
          <cell r="E58">
            <v>6115</v>
          </cell>
          <cell r="F58">
            <v>2</v>
          </cell>
          <cell r="G58">
            <v>159</v>
          </cell>
          <cell r="H58">
            <v>12</v>
          </cell>
          <cell r="I58">
            <v>3178</v>
          </cell>
          <cell r="J58">
            <v>5</v>
          </cell>
          <cell r="K58">
            <v>353</v>
          </cell>
          <cell r="L58">
            <v>12</v>
          </cell>
          <cell r="M58">
            <v>2971</v>
          </cell>
          <cell r="N58">
            <v>5</v>
          </cell>
          <cell r="O58">
            <v>668</v>
          </cell>
          <cell r="P58">
            <v>5</v>
          </cell>
          <cell r="Q58">
            <v>483</v>
          </cell>
          <cell r="R58">
            <v>1</v>
          </cell>
          <cell r="S58">
            <v>85</v>
          </cell>
          <cell r="T58">
            <v>7</v>
          </cell>
          <cell r="U58">
            <v>1341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C59" t="str">
            <v>Philadelphia, PA</v>
          </cell>
          <cell r="D59">
            <v>11</v>
          </cell>
          <cell r="E59">
            <v>1115</v>
          </cell>
          <cell r="F59">
            <v>1</v>
          </cell>
          <cell r="G59">
            <v>101</v>
          </cell>
          <cell r="H59">
            <v>4</v>
          </cell>
          <cell r="I59">
            <v>460</v>
          </cell>
          <cell r="J59">
            <v>3</v>
          </cell>
          <cell r="K59">
            <v>159</v>
          </cell>
          <cell r="L59">
            <v>6</v>
          </cell>
          <cell r="M59">
            <v>851</v>
          </cell>
          <cell r="N59">
            <v>0</v>
          </cell>
          <cell r="O59">
            <v>0</v>
          </cell>
          <cell r="P59">
            <v>1</v>
          </cell>
          <cell r="Q59">
            <v>83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1</v>
          </cell>
          <cell r="W59">
            <v>64</v>
          </cell>
          <cell r="X59">
            <v>0</v>
          </cell>
          <cell r="Y59">
            <v>0</v>
          </cell>
        </row>
        <row r="60">
          <cell r="C60" t="str">
            <v>Phoenix, AZ</v>
          </cell>
          <cell r="D60">
            <v>8</v>
          </cell>
          <cell r="E60">
            <v>1100</v>
          </cell>
          <cell r="F60">
            <v>0</v>
          </cell>
          <cell r="G60">
            <v>0</v>
          </cell>
          <cell r="H60">
            <v>2</v>
          </cell>
          <cell r="I60">
            <v>302</v>
          </cell>
          <cell r="J60">
            <v>0</v>
          </cell>
          <cell r="K60">
            <v>0</v>
          </cell>
          <cell r="L60">
            <v>6</v>
          </cell>
          <cell r="M60">
            <v>1067</v>
          </cell>
          <cell r="N60">
            <v>2</v>
          </cell>
          <cell r="O60">
            <v>110</v>
          </cell>
          <cell r="P60">
            <v>10</v>
          </cell>
          <cell r="Q60">
            <v>741</v>
          </cell>
          <cell r="R60">
            <v>0</v>
          </cell>
          <cell r="S60">
            <v>0</v>
          </cell>
          <cell r="T60">
            <v>4</v>
          </cell>
          <cell r="U60">
            <v>262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C61" t="str">
            <v>Saint Louis, MO</v>
          </cell>
          <cell r="D61">
            <v>9</v>
          </cell>
          <cell r="E61">
            <v>1102</v>
          </cell>
          <cell r="F61">
            <v>2</v>
          </cell>
          <cell r="G61">
            <v>188</v>
          </cell>
          <cell r="H61">
            <v>1</v>
          </cell>
          <cell r="I61">
            <v>171</v>
          </cell>
          <cell r="J61">
            <v>1</v>
          </cell>
          <cell r="K61">
            <v>104</v>
          </cell>
          <cell r="L61">
            <v>6</v>
          </cell>
          <cell r="M61">
            <v>968</v>
          </cell>
          <cell r="N61">
            <v>4</v>
          </cell>
          <cell r="O61">
            <v>263</v>
          </cell>
          <cell r="P61">
            <v>15</v>
          </cell>
          <cell r="Q61">
            <v>838</v>
          </cell>
          <cell r="R61">
            <v>0</v>
          </cell>
          <cell r="S61">
            <v>0</v>
          </cell>
          <cell r="T61">
            <v>2</v>
          </cell>
          <cell r="U61">
            <v>245</v>
          </cell>
          <cell r="V61">
            <v>4</v>
          </cell>
          <cell r="W61">
            <v>215</v>
          </cell>
          <cell r="X61">
            <v>1</v>
          </cell>
          <cell r="Y61">
            <v>120</v>
          </cell>
        </row>
        <row r="62">
          <cell r="C62" t="str">
            <v>San Diego, CA</v>
          </cell>
          <cell r="D62">
            <v>13</v>
          </cell>
          <cell r="E62">
            <v>1345</v>
          </cell>
          <cell r="F62">
            <v>3</v>
          </cell>
          <cell r="G62">
            <v>277</v>
          </cell>
          <cell r="H62">
            <v>2</v>
          </cell>
          <cell r="I62">
            <v>132</v>
          </cell>
          <cell r="J62">
            <v>0</v>
          </cell>
          <cell r="K62">
            <v>0</v>
          </cell>
          <cell r="L62">
            <v>11</v>
          </cell>
          <cell r="M62">
            <v>1437</v>
          </cell>
          <cell r="N62">
            <v>6</v>
          </cell>
          <cell r="O62">
            <v>529</v>
          </cell>
          <cell r="P62">
            <v>10</v>
          </cell>
          <cell r="Q62">
            <v>808</v>
          </cell>
          <cell r="R62">
            <v>3</v>
          </cell>
          <cell r="S62">
            <v>97</v>
          </cell>
          <cell r="T62">
            <v>19</v>
          </cell>
          <cell r="U62">
            <v>1279</v>
          </cell>
          <cell r="V62">
            <v>2</v>
          </cell>
          <cell r="W62">
            <v>129</v>
          </cell>
          <cell r="X62">
            <v>0</v>
          </cell>
          <cell r="Y62">
            <v>0</v>
          </cell>
        </row>
        <row r="63">
          <cell r="C63" t="str">
            <v>San Francisco, CA</v>
          </cell>
          <cell r="D63">
            <v>12</v>
          </cell>
          <cell r="E63">
            <v>588</v>
          </cell>
          <cell r="F63">
            <v>3</v>
          </cell>
          <cell r="G63">
            <v>97</v>
          </cell>
          <cell r="H63">
            <v>4</v>
          </cell>
          <cell r="I63">
            <v>228</v>
          </cell>
          <cell r="J63">
            <v>1</v>
          </cell>
          <cell r="K63">
            <v>82</v>
          </cell>
          <cell r="L63">
            <v>4</v>
          </cell>
          <cell r="M63">
            <v>1050</v>
          </cell>
          <cell r="N63">
            <v>2</v>
          </cell>
          <cell r="O63">
            <v>105</v>
          </cell>
          <cell r="P63">
            <v>3</v>
          </cell>
          <cell r="Q63">
            <v>125</v>
          </cell>
          <cell r="R63">
            <v>0</v>
          </cell>
          <cell r="S63">
            <v>0</v>
          </cell>
          <cell r="T63">
            <v>13</v>
          </cell>
          <cell r="U63">
            <v>1023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C64" t="str">
            <v>Seattle, WA</v>
          </cell>
          <cell r="D64">
            <v>7</v>
          </cell>
          <cell r="E64">
            <v>559</v>
          </cell>
          <cell r="F64">
            <v>1</v>
          </cell>
          <cell r="G64">
            <v>94</v>
          </cell>
          <cell r="H64">
            <v>3</v>
          </cell>
          <cell r="I64">
            <v>400</v>
          </cell>
          <cell r="J64">
            <v>1</v>
          </cell>
          <cell r="K64">
            <v>77</v>
          </cell>
          <cell r="L64">
            <v>3</v>
          </cell>
          <cell r="M64">
            <v>445</v>
          </cell>
          <cell r="N64">
            <v>1</v>
          </cell>
          <cell r="O64">
            <v>41</v>
          </cell>
          <cell r="P64">
            <v>2</v>
          </cell>
          <cell r="Q64">
            <v>209</v>
          </cell>
          <cell r="R64">
            <v>0</v>
          </cell>
          <cell r="S64">
            <v>0</v>
          </cell>
          <cell r="T64">
            <v>12</v>
          </cell>
          <cell r="U64">
            <v>863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C65" t="str">
            <v>Tampa, FL</v>
          </cell>
          <cell r="D65">
            <v>16</v>
          </cell>
          <cell r="E65">
            <v>2325</v>
          </cell>
          <cell r="F65">
            <v>3</v>
          </cell>
          <cell r="G65">
            <v>214</v>
          </cell>
          <cell r="H65">
            <v>7</v>
          </cell>
          <cell r="I65">
            <v>923</v>
          </cell>
          <cell r="J65">
            <v>1</v>
          </cell>
          <cell r="K65">
            <v>114</v>
          </cell>
          <cell r="L65">
            <v>9</v>
          </cell>
          <cell r="M65">
            <v>1544</v>
          </cell>
          <cell r="N65">
            <v>6</v>
          </cell>
          <cell r="O65">
            <v>397</v>
          </cell>
          <cell r="P65">
            <v>4</v>
          </cell>
          <cell r="Q65">
            <v>350</v>
          </cell>
          <cell r="R65">
            <v>0</v>
          </cell>
          <cell r="S65">
            <v>0</v>
          </cell>
          <cell r="T65">
            <v>5</v>
          </cell>
          <cell r="U65">
            <v>803</v>
          </cell>
          <cell r="V65">
            <v>3</v>
          </cell>
          <cell r="W65">
            <v>209</v>
          </cell>
          <cell r="X65">
            <v>0</v>
          </cell>
          <cell r="Y65">
            <v>0</v>
          </cell>
        </row>
        <row r="66">
          <cell r="C66" t="str">
            <v>Washington, DC</v>
          </cell>
          <cell r="D66">
            <v>22</v>
          </cell>
          <cell r="E66">
            <v>3199</v>
          </cell>
          <cell r="F66">
            <v>4</v>
          </cell>
          <cell r="G66">
            <v>344</v>
          </cell>
          <cell r="H66">
            <v>2</v>
          </cell>
          <cell r="I66">
            <v>342</v>
          </cell>
          <cell r="J66">
            <v>1</v>
          </cell>
          <cell r="K66">
            <v>119</v>
          </cell>
          <cell r="L66">
            <v>9</v>
          </cell>
          <cell r="M66">
            <v>1795</v>
          </cell>
          <cell r="N66">
            <v>3</v>
          </cell>
          <cell r="O66">
            <v>312</v>
          </cell>
          <cell r="P66">
            <v>10</v>
          </cell>
          <cell r="Q66">
            <v>681</v>
          </cell>
          <cell r="R66">
            <v>0</v>
          </cell>
          <cell r="S66">
            <v>0</v>
          </cell>
          <cell r="T66">
            <v>3</v>
          </cell>
          <cell r="U66">
            <v>348</v>
          </cell>
          <cell r="V66">
            <v>1</v>
          </cell>
          <cell r="W66">
            <v>80</v>
          </cell>
          <cell r="X66">
            <v>0</v>
          </cell>
          <cell r="Y66">
            <v>0</v>
          </cell>
        </row>
      </sheetData>
      <sheetData sheetId="14"/>
      <sheetData sheetId="15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sus"/>
      <sheetName val="BASS"/>
      <sheetName val="CENDANT"/>
      <sheetName val="CHOICE"/>
      <sheetName val="ESA"/>
      <sheetName val="HILTON"/>
      <sheetName val="MARRIOTT"/>
      <sheetName val="PRIME"/>
      <sheetName val="STARWOOD"/>
      <sheetName val="USFS"/>
      <sheetName val="WYNDHAM"/>
      <sheetName val="lookup"/>
      <sheetName val="pivots"/>
      <sheetName val="LOOKUP mkts"/>
    </sheetNames>
    <sheetDataSet>
      <sheetData sheetId="0" refreshError="1">
        <row r="4">
          <cell r="A4" t="str">
            <v>Anaheim, CA</v>
          </cell>
          <cell r="B4">
            <v>364</v>
          </cell>
          <cell r="C4">
            <v>45277</v>
          </cell>
        </row>
        <row r="5">
          <cell r="A5" t="str">
            <v>Atlanta, GA</v>
          </cell>
          <cell r="B5">
            <v>624</v>
          </cell>
          <cell r="C5">
            <v>83349</v>
          </cell>
        </row>
        <row r="6">
          <cell r="A6" t="str">
            <v>Boston, MA</v>
          </cell>
          <cell r="B6">
            <v>254</v>
          </cell>
          <cell r="C6">
            <v>39641</v>
          </cell>
        </row>
        <row r="7">
          <cell r="A7" t="str">
            <v>Chicago, IL</v>
          </cell>
          <cell r="B7">
            <v>450</v>
          </cell>
          <cell r="C7">
            <v>78698</v>
          </cell>
        </row>
        <row r="8">
          <cell r="A8" t="str">
            <v>Dallas, TX</v>
          </cell>
          <cell r="B8">
            <v>411</v>
          </cell>
          <cell r="C8">
            <v>62111</v>
          </cell>
        </row>
        <row r="9">
          <cell r="A9" t="str">
            <v>Denver, CO</v>
          </cell>
          <cell r="B9">
            <v>224</v>
          </cell>
          <cell r="C9">
            <v>34182</v>
          </cell>
        </row>
        <row r="10">
          <cell r="A10" t="str">
            <v>Detroit, MI</v>
          </cell>
          <cell r="B10">
            <v>291</v>
          </cell>
          <cell r="C10">
            <v>36005</v>
          </cell>
        </row>
        <row r="11">
          <cell r="A11" t="str">
            <v>Houston, TX</v>
          </cell>
          <cell r="B11">
            <v>359</v>
          </cell>
          <cell r="C11">
            <v>50761</v>
          </cell>
        </row>
        <row r="12">
          <cell r="A12" t="str">
            <v>Los Angeles, CA</v>
          </cell>
          <cell r="B12">
            <v>678</v>
          </cell>
          <cell r="C12">
            <v>82784</v>
          </cell>
        </row>
        <row r="13">
          <cell r="A13" t="str">
            <v>Miami, FL</v>
          </cell>
          <cell r="B13">
            <v>273</v>
          </cell>
          <cell r="C13">
            <v>43229</v>
          </cell>
        </row>
        <row r="14">
          <cell r="A14" t="str">
            <v>Minneapolis, MN</v>
          </cell>
          <cell r="B14">
            <v>245</v>
          </cell>
          <cell r="C14">
            <v>31012</v>
          </cell>
        </row>
        <row r="15">
          <cell r="A15" t="str">
            <v>Nashville, TN</v>
          </cell>
          <cell r="B15">
            <v>256</v>
          </cell>
          <cell r="C15">
            <v>30962</v>
          </cell>
        </row>
        <row r="16">
          <cell r="A16" t="str">
            <v>New Orleans, LA</v>
          </cell>
          <cell r="B16">
            <v>166</v>
          </cell>
          <cell r="C16">
            <v>29273</v>
          </cell>
        </row>
        <row r="17">
          <cell r="A17" t="str">
            <v>New York, NY</v>
          </cell>
          <cell r="B17">
            <v>269</v>
          </cell>
          <cell r="C17">
            <v>72176</v>
          </cell>
        </row>
        <row r="18">
          <cell r="A18" t="str">
            <v>Norfolk, VA</v>
          </cell>
          <cell r="B18">
            <v>321</v>
          </cell>
          <cell r="C18">
            <v>34243</v>
          </cell>
        </row>
        <row r="19">
          <cell r="A19" t="str">
            <v>Oahu Island, HI</v>
          </cell>
          <cell r="B19">
            <v>118</v>
          </cell>
          <cell r="C19">
            <v>36422</v>
          </cell>
        </row>
        <row r="20">
          <cell r="A20" t="str">
            <v>Orlando, FL</v>
          </cell>
          <cell r="B20">
            <v>406</v>
          </cell>
          <cell r="C20">
            <v>106610</v>
          </cell>
        </row>
        <row r="21">
          <cell r="A21" t="str">
            <v>Philadelphia, PA</v>
          </cell>
          <cell r="B21">
            <v>255</v>
          </cell>
          <cell r="C21">
            <v>36719</v>
          </cell>
        </row>
        <row r="22">
          <cell r="A22" t="str">
            <v>Phoenix, AZ</v>
          </cell>
          <cell r="B22">
            <v>342</v>
          </cell>
          <cell r="C22">
            <v>51001</v>
          </cell>
        </row>
        <row r="23">
          <cell r="A23" t="str">
            <v>Saint Louis, MO</v>
          </cell>
          <cell r="B23">
            <v>231</v>
          </cell>
          <cell r="C23">
            <v>30238</v>
          </cell>
        </row>
        <row r="24">
          <cell r="A24" t="str">
            <v>San Diego, CA</v>
          </cell>
          <cell r="B24">
            <v>417</v>
          </cell>
          <cell r="C24">
            <v>49275</v>
          </cell>
        </row>
        <row r="25">
          <cell r="A25" t="str">
            <v>San Francisco, CA</v>
          </cell>
          <cell r="B25">
            <v>337</v>
          </cell>
          <cell r="C25">
            <v>46548</v>
          </cell>
        </row>
        <row r="26">
          <cell r="A26" t="str">
            <v>Seattle, WA</v>
          </cell>
          <cell r="B26">
            <v>273</v>
          </cell>
          <cell r="C26">
            <v>32101</v>
          </cell>
        </row>
        <row r="27">
          <cell r="A27" t="str">
            <v>Tampa, FL</v>
          </cell>
          <cell r="B27">
            <v>331</v>
          </cell>
          <cell r="C27">
            <v>39563</v>
          </cell>
        </row>
        <row r="28">
          <cell r="A28" t="str">
            <v>Washington, DC</v>
          </cell>
          <cell r="B28">
            <v>420</v>
          </cell>
          <cell r="C28">
            <v>75414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>
        <row r="5">
          <cell r="B5" t="str">
            <v>Anaheim, CA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1</v>
          </cell>
          <cell r="J5">
            <v>104</v>
          </cell>
          <cell r="K5">
            <v>4</v>
          </cell>
          <cell r="L5">
            <v>677</v>
          </cell>
          <cell r="M5">
            <v>1</v>
          </cell>
          <cell r="N5">
            <v>140</v>
          </cell>
          <cell r="O5">
            <v>0</v>
          </cell>
          <cell r="P5">
            <v>0</v>
          </cell>
          <cell r="Q5">
            <v>1</v>
          </cell>
          <cell r="R5">
            <v>74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3</v>
          </cell>
          <cell r="X5">
            <v>787</v>
          </cell>
          <cell r="Y5">
            <v>0</v>
          </cell>
          <cell r="Z5">
            <v>0</v>
          </cell>
          <cell r="AA5">
            <v>3</v>
          </cell>
          <cell r="AB5">
            <v>787</v>
          </cell>
          <cell r="AC5">
            <v>2</v>
          </cell>
          <cell r="AD5">
            <v>225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1</v>
          </cell>
          <cell r="AV5">
            <v>160</v>
          </cell>
          <cell r="AW5">
            <v>1</v>
          </cell>
          <cell r="AX5">
            <v>110</v>
          </cell>
          <cell r="AY5">
            <v>2</v>
          </cell>
          <cell r="AZ5">
            <v>270</v>
          </cell>
          <cell r="BA5">
            <v>0</v>
          </cell>
          <cell r="BB5">
            <v>0</v>
          </cell>
          <cell r="BC5">
            <v>3</v>
          </cell>
          <cell r="BD5">
            <v>1059</v>
          </cell>
          <cell r="BE5">
            <v>1</v>
          </cell>
          <cell r="BF5">
            <v>225</v>
          </cell>
          <cell r="BG5">
            <v>4</v>
          </cell>
          <cell r="BH5">
            <v>1284</v>
          </cell>
          <cell r="BI5">
            <v>1</v>
          </cell>
          <cell r="BJ5">
            <v>90</v>
          </cell>
          <cell r="BK5">
            <v>2</v>
          </cell>
          <cell r="BL5">
            <v>545</v>
          </cell>
          <cell r="BM5">
            <v>1</v>
          </cell>
          <cell r="BN5">
            <v>275</v>
          </cell>
          <cell r="BO5">
            <v>3</v>
          </cell>
          <cell r="BP5">
            <v>820</v>
          </cell>
          <cell r="BQ5">
            <v>4</v>
          </cell>
          <cell r="BR5">
            <v>688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1</v>
          </cell>
          <cell r="CH5">
            <v>300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</row>
        <row r="6">
          <cell r="B6" t="str">
            <v>Atlanta, GA</v>
          </cell>
          <cell r="C6">
            <v>9</v>
          </cell>
          <cell r="D6">
            <v>907</v>
          </cell>
          <cell r="E6">
            <v>17</v>
          </cell>
          <cell r="F6">
            <v>1192</v>
          </cell>
          <cell r="G6">
            <v>18</v>
          </cell>
          <cell r="H6">
            <v>1211</v>
          </cell>
          <cell r="I6">
            <v>12</v>
          </cell>
          <cell r="J6">
            <v>1160</v>
          </cell>
          <cell r="K6">
            <v>14</v>
          </cell>
          <cell r="L6">
            <v>1922</v>
          </cell>
          <cell r="M6">
            <v>19</v>
          </cell>
          <cell r="N6">
            <v>2190</v>
          </cell>
          <cell r="O6">
            <v>6</v>
          </cell>
          <cell r="P6">
            <v>767</v>
          </cell>
          <cell r="Q6">
            <v>0</v>
          </cell>
          <cell r="R6">
            <v>0</v>
          </cell>
          <cell r="S6">
            <v>8</v>
          </cell>
          <cell r="T6">
            <v>632</v>
          </cell>
          <cell r="U6">
            <v>0</v>
          </cell>
          <cell r="V6">
            <v>0</v>
          </cell>
          <cell r="W6">
            <v>1</v>
          </cell>
          <cell r="X6">
            <v>61</v>
          </cell>
          <cell r="Y6">
            <v>4</v>
          </cell>
          <cell r="Z6">
            <v>315</v>
          </cell>
          <cell r="AA6">
            <v>5</v>
          </cell>
          <cell r="AB6">
            <v>376</v>
          </cell>
          <cell r="AC6">
            <v>1</v>
          </cell>
          <cell r="AD6">
            <v>425</v>
          </cell>
          <cell r="AE6">
            <v>1</v>
          </cell>
          <cell r="AF6">
            <v>94</v>
          </cell>
          <cell r="AG6">
            <v>2</v>
          </cell>
          <cell r="AH6">
            <v>155</v>
          </cell>
          <cell r="AI6">
            <v>3</v>
          </cell>
          <cell r="AJ6">
            <v>249</v>
          </cell>
          <cell r="AK6">
            <v>7</v>
          </cell>
          <cell r="AL6">
            <v>785</v>
          </cell>
          <cell r="AM6">
            <v>1</v>
          </cell>
          <cell r="AN6">
            <v>48</v>
          </cell>
          <cell r="AO6">
            <v>0</v>
          </cell>
          <cell r="AP6">
            <v>0</v>
          </cell>
          <cell r="AQ6">
            <v>1</v>
          </cell>
          <cell r="AR6">
            <v>48</v>
          </cell>
          <cell r="AS6">
            <v>3</v>
          </cell>
          <cell r="AT6">
            <v>188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4</v>
          </cell>
          <cell r="BD6">
            <v>497</v>
          </cell>
          <cell r="BE6">
            <v>1</v>
          </cell>
          <cell r="BF6">
            <v>123</v>
          </cell>
          <cell r="BG6">
            <v>5</v>
          </cell>
          <cell r="BH6">
            <v>620</v>
          </cell>
          <cell r="BI6">
            <v>2</v>
          </cell>
          <cell r="BJ6">
            <v>292</v>
          </cell>
          <cell r="BK6">
            <v>3</v>
          </cell>
          <cell r="BL6">
            <v>278</v>
          </cell>
          <cell r="BM6">
            <v>1</v>
          </cell>
          <cell r="BN6">
            <v>102</v>
          </cell>
          <cell r="BO6">
            <v>4</v>
          </cell>
          <cell r="BP6">
            <v>380</v>
          </cell>
          <cell r="BQ6">
            <v>4</v>
          </cell>
          <cell r="BR6">
            <v>585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1</v>
          </cell>
          <cell r="BZ6">
            <v>128</v>
          </cell>
          <cell r="CA6">
            <v>0</v>
          </cell>
          <cell r="CB6">
            <v>0</v>
          </cell>
          <cell r="CC6">
            <v>1</v>
          </cell>
          <cell r="CD6">
            <v>244</v>
          </cell>
          <cell r="CE6">
            <v>1</v>
          </cell>
          <cell r="CF6">
            <v>244</v>
          </cell>
          <cell r="CG6">
            <v>0</v>
          </cell>
          <cell r="CH6">
            <v>0</v>
          </cell>
          <cell r="CI6">
            <v>2</v>
          </cell>
          <cell r="CJ6">
            <v>140</v>
          </cell>
          <cell r="CK6">
            <v>4</v>
          </cell>
          <cell r="CL6">
            <v>313</v>
          </cell>
          <cell r="CM6">
            <v>6</v>
          </cell>
          <cell r="CN6">
            <v>453</v>
          </cell>
          <cell r="CO6">
            <v>10</v>
          </cell>
          <cell r="CP6">
            <v>763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</row>
        <row r="7">
          <cell r="B7" t="str">
            <v>Boston, MA</v>
          </cell>
          <cell r="C7">
            <v>0</v>
          </cell>
          <cell r="D7">
            <v>0</v>
          </cell>
          <cell r="E7">
            <v>2</v>
          </cell>
          <cell r="F7">
            <v>169</v>
          </cell>
          <cell r="G7">
            <v>1</v>
          </cell>
          <cell r="H7">
            <v>94</v>
          </cell>
          <cell r="I7">
            <v>1</v>
          </cell>
          <cell r="J7">
            <v>104</v>
          </cell>
          <cell r="K7">
            <v>7</v>
          </cell>
          <cell r="L7">
            <v>1510</v>
          </cell>
          <cell r="M7">
            <v>6</v>
          </cell>
          <cell r="N7">
            <v>774</v>
          </cell>
          <cell r="O7">
            <v>1</v>
          </cell>
          <cell r="P7">
            <v>158</v>
          </cell>
          <cell r="Q7">
            <v>0</v>
          </cell>
          <cell r="R7">
            <v>0</v>
          </cell>
          <cell r="S7">
            <v>3</v>
          </cell>
          <cell r="T7">
            <v>289</v>
          </cell>
          <cell r="U7">
            <v>2</v>
          </cell>
          <cell r="V7">
            <v>572</v>
          </cell>
          <cell r="W7">
            <v>2</v>
          </cell>
          <cell r="X7">
            <v>280</v>
          </cell>
          <cell r="Y7">
            <v>0</v>
          </cell>
          <cell r="Z7">
            <v>0</v>
          </cell>
          <cell r="AA7">
            <v>2</v>
          </cell>
          <cell r="AB7">
            <v>280</v>
          </cell>
          <cell r="AC7">
            <v>1</v>
          </cell>
          <cell r="AD7">
            <v>140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1</v>
          </cell>
          <cell r="AL7">
            <v>55</v>
          </cell>
          <cell r="AM7">
            <v>1</v>
          </cell>
          <cell r="AN7">
            <v>208</v>
          </cell>
          <cell r="AO7">
            <v>2</v>
          </cell>
          <cell r="AP7">
            <v>181</v>
          </cell>
          <cell r="AQ7">
            <v>3</v>
          </cell>
          <cell r="AR7">
            <v>389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5</v>
          </cell>
          <cell r="BD7">
            <v>814</v>
          </cell>
          <cell r="BE7">
            <v>4</v>
          </cell>
          <cell r="BF7">
            <v>937</v>
          </cell>
          <cell r="BG7">
            <v>9</v>
          </cell>
          <cell r="BH7">
            <v>1751</v>
          </cell>
          <cell r="BI7">
            <v>0</v>
          </cell>
          <cell r="BJ7">
            <v>0</v>
          </cell>
          <cell r="BK7">
            <v>4</v>
          </cell>
          <cell r="BL7">
            <v>849</v>
          </cell>
          <cell r="BM7">
            <v>3</v>
          </cell>
          <cell r="BN7">
            <v>401</v>
          </cell>
          <cell r="BO7">
            <v>7</v>
          </cell>
          <cell r="BP7">
            <v>1250</v>
          </cell>
          <cell r="BQ7">
            <v>9</v>
          </cell>
          <cell r="BR7">
            <v>1231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1</v>
          </cell>
          <cell r="CD7">
            <v>1120</v>
          </cell>
          <cell r="CE7">
            <v>1</v>
          </cell>
          <cell r="CF7">
            <v>1120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1</v>
          </cell>
          <cell r="CP7">
            <v>85</v>
          </cell>
          <cell r="CQ7">
            <v>1</v>
          </cell>
          <cell r="CR7">
            <v>180</v>
          </cell>
          <cell r="CS7">
            <v>0</v>
          </cell>
          <cell r="CT7">
            <v>0</v>
          </cell>
          <cell r="CU7">
            <v>1</v>
          </cell>
          <cell r="CV7">
            <v>180</v>
          </cell>
          <cell r="CW7">
            <v>0</v>
          </cell>
          <cell r="CX7">
            <v>0</v>
          </cell>
        </row>
        <row r="8">
          <cell r="B8" t="str">
            <v>Chicago, IL</v>
          </cell>
          <cell r="C8">
            <v>6</v>
          </cell>
          <cell r="D8">
            <v>554</v>
          </cell>
          <cell r="E8">
            <v>4</v>
          </cell>
          <cell r="F8">
            <v>294</v>
          </cell>
          <cell r="G8">
            <v>7</v>
          </cell>
          <cell r="H8">
            <v>515</v>
          </cell>
          <cell r="I8">
            <v>12</v>
          </cell>
          <cell r="J8">
            <v>1337</v>
          </cell>
          <cell r="K8">
            <v>9</v>
          </cell>
          <cell r="L8">
            <v>1921</v>
          </cell>
          <cell r="M8">
            <v>4</v>
          </cell>
          <cell r="N8">
            <v>585</v>
          </cell>
          <cell r="O8">
            <v>6</v>
          </cell>
          <cell r="P8">
            <v>791</v>
          </cell>
          <cell r="Q8">
            <v>0</v>
          </cell>
          <cell r="R8">
            <v>0</v>
          </cell>
          <cell r="S8">
            <v>3</v>
          </cell>
          <cell r="T8">
            <v>499</v>
          </cell>
          <cell r="U8">
            <v>1</v>
          </cell>
          <cell r="V8">
            <v>418</v>
          </cell>
          <cell r="W8">
            <v>2</v>
          </cell>
          <cell r="X8">
            <v>317</v>
          </cell>
          <cell r="Y8">
            <v>2</v>
          </cell>
          <cell r="Z8">
            <v>546</v>
          </cell>
          <cell r="AA8">
            <v>4</v>
          </cell>
          <cell r="AB8">
            <v>863</v>
          </cell>
          <cell r="AC8">
            <v>4</v>
          </cell>
          <cell r="AD8">
            <v>718</v>
          </cell>
          <cell r="AE8">
            <v>2</v>
          </cell>
          <cell r="AF8">
            <v>164</v>
          </cell>
          <cell r="AG8">
            <v>4</v>
          </cell>
          <cell r="AH8">
            <v>371</v>
          </cell>
          <cell r="AI8">
            <v>6</v>
          </cell>
          <cell r="AJ8">
            <v>535</v>
          </cell>
          <cell r="AK8">
            <v>3</v>
          </cell>
          <cell r="AL8">
            <v>300</v>
          </cell>
          <cell r="AM8">
            <v>0</v>
          </cell>
          <cell r="AN8">
            <v>0</v>
          </cell>
          <cell r="AO8">
            <v>2</v>
          </cell>
          <cell r="AP8">
            <v>260</v>
          </cell>
          <cell r="AQ8">
            <v>2</v>
          </cell>
          <cell r="AR8">
            <v>260</v>
          </cell>
          <cell r="AS8">
            <v>0</v>
          </cell>
          <cell r="AT8">
            <v>0</v>
          </cell>
          <cell r="AU8">
            <v>1</v>
          </cell>
          <cell r="AV8">
            <v>140</v>
          </cell>
          <cell r="AW8">
            <v>0</v>
          </cell>
          <cell r="AX8">
            <v>0</v>
          </cell>
          <cell r="AY8">
            <v>1</v>
          </cell>
          <cell r="AZ8">
            <v>140</v>
          </cell>
          <cell r="BA8">
            <v>0</v>
          </cell>
          <cell r="BB8">
            <v>0</v>
          </cell>
          <cell r="BC8">
            <v>5</v>
          </cell>
          <cell r="BD8">
            <v>1157</v>
          </cell>
          <cell r="BE8">
            <v>2</v>
          </cell>
          <cell r="BF8">
            <v>500</v>
          </cell>
          <cell r="BG8">
            <v>7</v>
          </cell>
          <cell r="BH8">
            <v>1657</v>
          </cell>
          <cell r="BI8">
            <v>2</v>
          </cell>
          <cell r="BJ8">
            <v>369</v>
          </cell>
          <cell r="BK8">
            <v>3</v>
          </cell>
          <cell r="BL8">
            <v>683</v>
          </cell>
          <cell r="BM8">
            <v>2</v>
          </cell>
          <cell r="BN8">
            <v>251</v>
          </cell>
          <cell r="BO8">
            <v>5</v>
          </cell>
          <cell r="BP8">
            <v>934</v>
          </cell>
          <cell r="BQ8">
            <v>10</v>
          </cell>
          <cell r="BR8">
            <v>2223</v>
          </cell>
          <cell r="BS8">
            <v>2</v>
          </cell>
          <cell r="BT8">
            <v>394</v>
          </cell>
          <cell r="BU8">
            <v>0</v>
          </cell>
          <cell r="BV8">
            <v>0</v>
          </cell>
          <cell r="BW8">
            <v>2</v>
          </cell>
          <cell r="BX8">
            <v>394</v>
          </cell>
          <cell r="BY8">
            <v>1</v>
          </cell>
          <cell r="BZ8">
            <v>250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1</v>
          </cell>
          <cell r="CJ8">
            <v>50</v>
          </cell>
          <cell r="CK8">
            <v>0</v>
          </cell>
          <cell r="CL8">
            <v>0</v>
          </cell>
          <cell r="CM8">
            <v>1</v>
          </cell>
          <cell r="CN8">
            <v>50</v>
          </cell>
          <cell r="CO8">
            <v>4</v>
          </cell>
          <cell r="CP8">
            <v>555</v>
          </cell>
          <cell r="CQ8">
            <v>1</v>
          </cell>
          <cell r="CR8">
            <v>310</v>
          </cell>
          <cell r="CS8">
            <v>0</v>
          </cell>
          <cell r="CT8">
            <v>0</v>
          </cell>
          <cell r="CU8">
            <v>1</v>
          </cell>
          <cell r="CV8">
            <v>310</v>
          </cell>
          <cell r="CW8">
            <v>0</v>
          </cell>
          <cell r="CX8">
            <v>0</v>
          </cell>
        </row>
        <row r="9">
          <cell r="B9" t="str">
            <v>Dallas, TX</v>
          </cell>
          <cell r="C9">
            <v>7</v>
          </cell>
          <cell r="D9">
            <v>551</v>
          </cell>
          <cell r="E9">
            <v>14</v>
          </cell>
          <cell r="F9">
            <v>875</v>
          </cell>
          <cell r="G9">
            <v>16</v>
          </cell>
          <cell r="H9">
            <v>1193</v>
          </cell>
          <cell r="I9">
            <v>8</v>
          </cell>
          <cell r="J9">
            <v>841</v>
          </cell>
          <cell r="K9">
            <v>9</v>
          </cell>
          <cell r="L9">
            <v>1207</v>
          </cell>
          <cell r="M9">
            <v>14</v>
          </cell>
          <cell r="N9">
            <v>1814</v>
          </cell>
          <cell r="O9">
            <v>6</v>
          </cell>
          <cell r="P9">
            <v>795</v>
          </cell>
          <cell r="Q9">
            <v>0</v>
          </cell>
          <cell r="R9">
            <v>0</v>
          </cell>
          <cell r="S9">
            <v>8</v>
          </cell>
          <cell r="T9">
            <v>512</v>
          </cell>
          <cell r="U9">
            <v>1</v>
          </cell>
          <cell r="V9">
            <v>197</v>
          </cell>
          <cell r="W9">
            <v>0</v>
          </cell>
          <cell r="X9">
            <v>0</v>
          </cell>
          <cell r="Y9">
            <v>2</v>
          </cell>
          <cell r="Z9">
            <v>148</v>
          </cell>
          <cell r="AA9">
            <v>2</v>
          </cell>
          <cell r="AB9">
            <v>148</v>
          </cell>
          <cell r="AC9">
            <v>0</v>
          </cell>
          <cell r="AD9">
            <v>0</v>
          </cell>
          <cell r="AE9">
            <v>2</v>
          </cell>
          <cell r="AF9">
            <v>165</v>
          </cell>
          <cell r="AG9">
            <v>0</v>
          </cell>
          <cell r="AH9">
            <v>0</v>
          </cell>
          <cell r="AI9">
            <v>2</v>
          </cell>
          <cell r="AJ9">
            <v>165</v>
          </cell>
          <cell r="AK9">
            <v>4</v>
          </cell>
          <cell r="AL9">
            <v>385</v>
          </cell>
          <cell r="AM9">
            <v>3</v>
          </cell>
          <cell r="AN9">
            <v>180</v>
          </cell>
          <cell r="AO9">
            <v>3</v>
          </cell>
          <cell r="AP9">
            <v>235</v>
          </cell>
          <cell r="AQ9">
            <v>6</v>
          </cell>
          <cell r="AR9">
            <v>415</v>
          </cell>
          <cell r="AS9">
            <v>1</v>
          </cell>
          <cell r="AT9">
            <v>69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2</v>
          </cell>
          <cell r="BD9">
            <v>644</v>
          </cell>
          <cell r="BE9">
            <v>2</v>
          </cell>
          <cell r="BF9">
            <v>357</v>
          </cell>
          <cell r="BG9">
            <v>4</v>
          </cell>
          <cell r="BH9">
            <v>1001</v>
          </cell>
          <cell r="BI9">
            <v>1</v>
          </cell>
          <cell r="BJ9">
            <v>300</v>
          </cell>
          <cell r="BK9">
            <v>5</v>
          </cell>
          <cell r="BL9">
            <v>989</v>
          </cell>
          <cell r="BM9">
            <v>1</v>
          </cell>
          <cell r="BN9">
            <v>100</v>
          </cell>
          <cell r="BO9">
            <v>6</v>
          </cell>
          <cell r="BP9">
            <v>1089</v>
          </cell>
          <cell r="BQ9">
            <v>4</v>
          </cell>
          <cell r="BR9">
            <v>803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1</v>
          </cell>
          <cell r="BZ9">
            <v>128</v>
          </cell>
          <cell r="CA9">
            <v>1</v>
          </cell>
          <cell r="CB9">
            <v>321</v>
          </cell>
          <cell r="CC9">
            <v>0</v>
          </cell>
          <cell r="CD9">
            <v>0</v>
          </cell>
          <cell r="CE9">
            <v>1</v>
          </cell>
          <cell r="CF9">
            <v>321</v>
          </cell>
          <cell r="CG9">
            <v>0</v>
          </cell>
          <cell r="CH9">
            <v>0</v>
          </cell>
          <cell r="CI9">
            <v>2</v>
          </cell>
          <cell r="CJ9">
            <v>140</v>
          </cell>
          <cell r="CK9">
            <v>1</v>
          </cell>
          <cell r="CL9">
            <v>50</v>
          </cell>
          <cell r="CM9">
            <v>3</v>
          </cell>
          <cell r="CN9">
            <v>190</v>
          </cell>
          <cell r="CO9">
            <v>2</v>
          </cell>
          <cell r="CP9">
            <v>160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</row>
        <row r="10">
          <cell r="B10" t="str">
            <v>Denver, CO</v>
          </cell>
          <cell r="C10">
            <v>5</v>
          </cell>
          <cell r="D10">
            <v>466</v>
          </cell>
          <cell r="E10">
            <v>5</v>
          </cell>
          <cell r="F10">
            <v>477</v>
          </cell>
          <cell r="G10">
            <v>11</v>
          </cell>
          <cell r="H10">
            <v>958</v>
          </cell>
          <cell r="I10">
            <v>6</v>
          </cell>
          <cell r="J10">
            <v>708</v>
          </cell>
          <cell r="K10">
            <v>6</v>
          </cell>
          <cell r="L10">
            <v>753</v>
          </cell>
          <cell r="M10">
            <v>14</v>
          </cell>
          <cell r="N10">
            <v>1656</v>
          </cell>
          <cell r="O10">
            <v>6</v>
          </cell>
          <cell r="P10">
            <v>805</v>
          </cell>
          <cell r="Q10">
            <v>1</v>
          </cell>
          <cell r="R10">
            <v>369</v>
          </cell>
          <cell r="S10">
            <v>2</v>
          </cell>
          <cell r="T10">
            <v>193</v>
          </cell>
          <cell r="U10">
            <v>3</v>
          </cell>
          <cell r="V10">
            <v>432</v>
          </cell>
          <cell r="W10">
            <v>1</v>
          </cell>
          <cell r="X10">
            <v>121</v>
          </cell>
          <cell r="Y10">
            <v>1</v>
          </cell>
          <cell r="Z10">
            <v>70</v>
          </cell>
          <cell r="AA10">
            <v>2</v>
          </cell>
          <cell r="AB10">
            <v>191</v>
          </cell>
          <cell r="AC10">
            <v>1</v>
          </cell>
          <cell r="AD10">
            <v>62</v>
          </cell>
          <cell r="AE10">
            <v>0</v>
          </cell>
          <cell r="AF10">
            <v>0</v>
          </cell>
          <cell r="AG10">
            <v>1</v>
          </cell>
          <cell r="AH10">
            <v>100</v>
          </cell>
          <cell r="AI10">
            <v>1</v>
          </cell>
          <cell r="AJ10">
            <v>100</v>
          </cell>
          <cell r="AK10">
            <v>1</v>
          </cell>
          <cell r="AL10">
            <v>60</v>
          </cell>
          <cell r="AM10">
            <v>0</v>
          </cell>
          <cell r="AN10">
            <v>0</v>
          </cell>
          <cell r="AO10">
            <v>1</v>
          </cell>
          <cell r="AP10">
            <v>62</v>
          </cell>
          <cell r="AQ10">
            <v>1</v>
          </cell>
          <cell r="AR10">
            <v>62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2</v>
          </cell>
          <cell r="BD10">
            <v>191</v>
          </cell>
          <cell r="BE10">
            <v>2</v>
          </cell>
          <cell r="BF10">
            <v>263</v>
          </cell>
          <cell r="BG10">
            <v>4</v>
          </cell>
          <cell r="BH10">
            <v>454</v>
          </cell>
          <cell r="BI10">
            <v>1</v>
          </cell>
          <cell r="BJ10">
            <v>120</v>
          </cell>
          <cell r="BK10">
            <v>4</v>
          </cell>
          <cell r="BL10">
            <v>472</v>
          </cell>
          <cell r="BM10">
            <v>4</v>
          </cell>
          <cell r="BN10">
            <v>1591</v>
          </cell>
          <cell r="BO10">
            <v>8</v>
          </cell>
          <cell r="BP10">
            <v>2063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</v>
          </cell>
          <cell r="CD10">
            <v>526</v>
          </cell>
          <cell r="CE10">
            <v>1</v>
          </cell>
          <cell r="CF10">
            <v>526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2</v>
          </cell>
          <cell r="CP10">
            <v>144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</row>
        <row r="11">
          <cell r="B11" t="str">
            <v>Detroit, MI</v>
          </cell>
          <cell r="C11">
            <v>4</v>
          </cell>
          <cell r="D11">
            <v>418</v>
          </cell>
          <cell r="E11">
            <v>4</v>
          </cell>
          <cell r="F11">
            <v>298</v>
          </cell>
          <cell r="G11">
            <v>2</v>
          </cell>
          <cell r="H11">
            <v>128</v>
          </cell>
          <cell r="I11">
            <v>7</v>
          </cell>
          <cell r="J11">
            <v>850</v>
          </cell>
          <cell r="K11">
            <v>5</v>
          </cell>
          <cell r="L11">
            <v>545</v>
          </cell>
          <cell r="M11">
            <v>11</v>
          </cell>
          <cell r="N11">
            <v>1094</v>
          </cell>
          <cell r="O11">
            <v>2</v>
          </cell>
          <cell r="P11">
            <v>267</v>
          </cell>
          <cell r="Q11">
            <v>0</v>
          </cell>
          <cell r="R11">
            <v>0</v>
          </cell>
          <cell r="S11">
            <v>1</v>
          </cell>
          <cell r="T11">
            <v>98</v>
          </cell>
          <cell r="U11">
            <v>0</v>
          </cell>
          <cell r="V11">
            <v>0</v>
          </cell>
          <cell r="W11">
            <v>4</v>
          </cell>
          <cell r="X11">
            <v>409</v>
          </cell>
          <cell r="Y11">
            <v>3</v>
          </cell>
          <cell r="Z11">
            <v>236</v>
          </cell>
          <cell r="AA11">
            <v>7</v>
          </cell>
          <cell r="AB11">
            <v>645</v>
          </cell>
          <cell r="AC11">
            <v>3</v>
          </cell>
          <cell r="AD11">
            <v>243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1</v>
          </cell>
          <cell r="AL11">
            <v>80</v>
          </cell>
          <cell r="AM11">
            <v>1</v>
          </cell>
          <cell r="AN11">
            <v>63</v>
          </cell>
          <cell r="AO11">
            <v>2</v>
          </cell>
          <cell r="AP11">
            <v>163</v>
          </cell>
          <cell r="AQ11">
            <v>3</v>
          </cell>
          <cell r="AR11">
            <v>226</v>
          </cell>
          <cell r="AS11">
            <v>0</v>
          </cell>
          <cell r="AT11">
            <v>0</v>
          </cell>
          <cell r="AU11">
            <v>1</v>
          </cell>
          <cell r="AV11">
            <v>121</v>
          </cell>
          <cell r="AW11">
            <v>0</v>
          </cell>
          <cell r="AX11">
            <v>0</v>
          </cell>
          <cell r="AY11">
            <v>1</v>
          </cell>
          <cell r="AZ11">
            <v>121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5</v>
          </cell>
          <cell r="BF11">
            <v>928</v>
          </cell>
          <cell r="BG11">
            <v>5</v>
          </cell>
          <cell r="BH11">
            <v>928</v>
          </cell>
          <cell r="BI11">
            <v>3</v>
          </cell>
          <cell r="BJ11">
            <v>424</v>
          </cell>
          <cell r="BK11">
            <v>3</v>
          </cell>
          <cell r="BL11">
            <v>533</v>
          </cell>
          <cell r="BM11">
            <v>1</v>
          </cell>
          <cell r="BN11">
            <v>162</v>
          </cell>
          <cell r="BO11">
            <v>4</v>
          </cell>
          <cell r="BP11">
            <v>695</v>
          </cell>
          <cell r="BQ11">
            <v>1</v>
          </cell>
          <cell r="BR11">
            <v>90</v>
          </cell>
          <cell r="BS11">
            <v>0</v>
          </cell>
          <cell r="BT11">
            <v>0</v>
          </cell>
          <cell r="BU11">
            <v>1</v>
          </cell>
          <cell r="BV11">
            <v>112</v>
          </cell>
          <cell r="BW11">
            <v>1</v>
          </cell>
          <cell r="BX11">
            <v>112</v>
          </cell>
          <cell r="BY11">
            <v>1</v>
          </cell>
          <cell r="BZ11">
            <v>128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1</v>
          </cell>
          <cell r="CJ11">
            <v>62</v>
          </cell>
          <cell r="CK11">
            <v>1</v>
          </cell>
          <cell r="CL11">
            <v>90</v>
          </cell>
          <cell r="CM11">
            <v>2</v>
          </cell>
          <cell r="CN11">
            <v>152</v>
          </cell>
          <cell r="CO11">
            <v>1</v>
          </cell>
          <cell r="CP11">
            <v>82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</row>
        <row r="12">
          <cell r="B12" t="str">
            <v>Houston, TX</v>
          </cell>
          <cell r="C12">
            <v>11</v>
          </cell>
          <cell r="D12">
            <v>1041</v>
          </cell>
          <cell r="E12">
            <v>14</v>
          </cell>
          <cell r="F12">
            <v>800</v>
          </cell>
          <cell r="G12">
            <v>11</v>
          </cell>
          <cell r="H12">
            <v>605</v>
          </cell>
          <cell r="I12">
            <v>13</v>
          </cell>
          <cell r="J12">
            <v>1453</v>
          </cell>
          <cell r="K12">
            <v>9</v>
          </cell>
          <cell r="L12">
            <v>816</v>
          </cell>
          <cell r="M12">
            <v>12</v>
          </cell>
          <cell r="N12">
            <v>1125</v>
          </cell>
          <cell r="O12">
            <v>5</v>
          </cell>
          <cell r="P12">
            <v>503</v>
          </cell>
          <cell r="Q12">
            <v>1</v>
          </cell>
          <cell r="R12">
            <v>286</v>
          </cell>
          <cell r="S12">
            <v>2</v>
          </cell>
          <cell r="T12">
            <v>123</v>
          </cell>
          <cell r="U12">
            <v>0</v>
          </cell>
          <cell r="V12">
            <v>0</v>
          </cell>
          <cell r="W12">
            <v>5</v>
          </cell>
          <cell r="X12">
            <v>631</v>
          </cell>
          <cell r="Y12">
            <v>2</v>
          </cell>
          <cell r="Z12">
            <v>165</v>
          </cell>
          <cell r="AA12">
            <v>7</v>
          </cell>
          <cell r="AB12">
            <v>796</v>
          </cell>
          <cell r="AC12">
            <v>1</v>
          </cell>
          <cell r="AD12">
            <v>59</v>
          </cell>
          <cell r="AE12">
            <v>5</v>
          </cell>
          <cell r="AF12">
            <v>260</v>
          </cell>
          <cell r="AG12">
            <v>2</v>
          </cell>
          <cell r="AH12">
            <v>105</v>
          </cell>
          <cell r="AI12">
            <v>7</v>
          </cell>
          <cell r="AJ12">
            <v>365</v>
          </cell>
          <cell r="AK12">
            <v>2</v>
          </cell>
          <cell r="AL12">
            <v>225</v>
          </cell>
          <cell r="AM12">
            <v>0</v>
          </cell>
          <cell r="AN12">
            <v>0</v>
          </cell>
          <cell r="AO12">
            <v>3</v>
          </cell>
          <cell r="AP12">
            <v>329</v>
          </cell>
          <cell r="AQ12">
            <v>3</v>
          </cell>
          <cell r="AR12">
            <v>329</v>
          </cell>
          <cell r="AS12">
            <v>2</v>
          </cell>
          <cell r="AT12">
            <v>136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4</v>
          </cell>
          <cell r="BD12">
            <v>460</v>
          </cell>
          <cell r="BE12">
            <v>2</v>
          </cell>
          <cell r="BF12">
            <v>277</v>
          </cell>
          <cell r="BG12">
            <v>6</v>
          </cell>
          <cell r="BH12">
            <v>737</v>
          </cell>
          <cell r="BI12">
            <v>2</v>
          </cell>
          <cell r="BJ12">
            <v>249</v>
          </cell>
          <cell r="BK12">
            <v>6</v>
          </cell>
          <cell r="BL12">
            <v>1059</v>
          </cell>
          <cell r="BM12">
            <v>1</v>
          </cell>
          <cell r="BN12">
            <v>90</v>
          </cell>
          <cell r="BO12">
            <v>7</v>
          </cell>
          <cell r="BP12">
            <v>1149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3</v>
          </cell>
          <cell r="CJ12">
            <v>245</v>
          </cell>
          <cell r="CK12">
            <v>0</v>
          </cell>
          <cell r="CL12">
            <v>0</v>
          </cell>
          <cell r="CM12">
            <v>3</v>
          </cell>
          <cell r="CN12">
            <v>245</v>
          </cell>
          <cell r="CO12">
            <v>5</v>
          </cell>
          <cell r="CP12">
            <v>390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</row>
        <row r="13">
          <cell r="B13" t="str">
            <v>Los Angeles, CA</v>
          </cell>
          <cell r="C13">
            <v>0</v>
          </cell>
          <cell r="D13">
            <v>0</v>
          </cell>
          <cell r="E13">
            <v>2</v>
          </cell>
          <cell r="F13">
            <v>115</v>
          </cell>
          <cell r="G13">
            <v>1</v>
          </cell>
          <cell r="H13">
            <v>101</v>
          </cell>
          <cell r="I13">
            <v>10</v>
          </cell>
          <cell r="J13">
            <v>1203</v>
          </cell>
          <cell r="K13">
            <v>2</v>
          </cell>
          <cell r="L13">
            <v>286</v>
          </cell>
          <cell r="M13">
            <v>3</v>
          </cell>
          <cell r="N13">
            <v>242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3</v>
          </cell>
          <cell r="X13">
            <v>334</v>
          </cell>
          <cell r="Y13">
            <v>1</v>
          </cell>
          <cell r="Z13">
            <v>95</v>
          </cell>
          <cell r="AA13">
            <v>4</v>
          </cell>
          <cell r="AB13">
            <v>429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1</v>
          </cell>
          <cell r="AL13">
            <v>72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1</v>
          </cell>
          <cell r="BF13">
            <v>71</v>
          </cell>
          <cell r="BG13">
            <v>1</v>
          </cell>
          <cell r="BH13">
            <v>71</v>
          </cell>
          <cell r="BI13">
            <v>3</v>
          </cell>
          <cell r="BJ13">
            <v>393</v>
          </cell>
          <cell r="BK13">
            <v>4</v>
          </cell>
          <cell r="BL13">
            <v>634</v>
          </cell>
          <cell r="BM13">
            <v>6</v>
          </cell>
          <cell r="BN13">
            <v>1580</v>
          </cell>
          <cell r="BO13">
            <v>10</v>
          </cell>
          <cell r="BP13">
            <v>2214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1</v>
          </cell>
          <cell r="CH13">
            <v>250</v>
          </cell>
          <cell r="CI13">
            <v>1</v>
          </cell>
          <cell r="CJ13">
            <v>53</v>
          </cell>
          <cell r="CK13">
            <v>1</v>
          </cell>
          <cell r="CL13">
            <v>50</v>
          </cell>
          <cell r="CM13">
            <v>2</v>
          </cell>
          <cell r="CN13">
            <v>103</v>
          </cell>
          <cell r="CO13">
            <v>2</v>
          </cell>
          <cell r="CP13">
            <v>209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</row>
        <row r="14">
          <cell r="B14" t="str">
            <v>Miami, FL</v>
          </cell>
          <cell r="C14">
            <v>4</v>
          </cell>
          <cell r="D14">
            <v>436</v>
          </cell>
          <cell r="E14">
            <v>1</v>
          </cell>
          <cell r="F14">
            <v>88</v>
          </cell>
          <cell r="G14">
            <v>3</v>
          </cell>
          <cell r="H14">
            <v>344</v>
          </cell>
          <cell r="I14">
            <v>0</v>
          </cell>
          <cell r="J14">
            <v>0</v>
          </cell>
          <cell r="K14">
            <v>1</v>
          </cell>
          <cell r="L14">
            <v>121</v>
          </cell>
          <cell r="M14">
            <v>4</v>
          </cell>
          <cell r="N14">
            <v>496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</v>
          </cell>
          <cell r="V14">
            <v>157</v>
          </cell>
          <cell r="W14">
            <v>1</v>
          </cell>
          <cell r="X14">
            <v>422</v>
          </cell>
          <cell r="Y14">
            <v>0</v>
          </cell>
          <cell r="Z14">
            <v>0</v>
          </cell>
          <cell r="AA14">
            <v>1</v>
          </cell>
          <cell r="AB14">
            <v>422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2</v>
          </cell>
          <cell r="AX14">
            <v>221</v>
          </cell>
          <cell r="AY14">
            <v>2</v>
          </cell>
          <cell r="AZ14">
            <v>221</v>
          </cell>
          <cell r="BA14">
            <v>0</v>
          </cell>
          <cell r="BB14">
            <v>0</v>
          </cell>
          <cell r="BC14">
            <v>3</v>
          </cell>
          <cell r="BD14">
            <v>430</v>
          </cell>
          <cell r="BE14">
            <v>0</v>
          </cell>
          <cell r="BF14">
            <v>0</v>
          </cell>
          <cell r="BG14">
            <v>3</v>
          </cell>
          <cell r="BH14">
            <v>430</v>
          </cell>
          <cell r="BI14">
            <v>0</v>
          </cell>
          <cell r="BJ14">
            <v>0</v>
          </cell>
          <cell r="BK14">
            <v>6</v>
          </cell>
          <cell r="BL14">
            <v>1689</v>
          </cell>
          <cell r="BM14">
            <v>3</v>
          </cell>
          <cell r="BN14">
            <v>411</v>
          </cell>
          <cell r="BO14">
            <v>9</v>
          </cell>
          <cell r="BP14">
            <v>2100</v>
          </cell>
          <cell r="BQ14">
            <v>5</v>
          </cell>
          <cell r="BR14">
            <v>790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2</v>
          </cell>
          <cell r="BZ14">
            <v>208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2</v>
          </cell>
          <cell r="CP14">
            <v>183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</row>
        <row r="15">
          <cell r="B15" t="str">
            <v>Minneapolis, MN</v>
          </cell>
          <cell r="C15">
            <v>6</v>
          </cell>
          <cell r="D15">
            <v>576</v>
          </cell>
          <cell r="E15">
            <v>2</v>
          </cell>
          <cell r="F15">
            <v>164</v>
          </cell>
          <cell r="G15">
            <v>5</v>
          </cell>
          <cell r="H15">
            <v>438</v>
          </cell>
          <cell r="I15">
            <v>6</v>
          </cell>
          <cell r="J15">
            <v>624</v>
          </cell>
          <cell r="K15">
            <v>6</v>
          </cell>
          <cell r="L15">
            <v>670</v>
          </cell>
          <cell r="M15">
            <v>9</v>
          </cell>
          <cell r="N15">
            <v>911</v>
          </cell>
          <cell r="O15">
            <v>2</v>
          </cell>
          <cell r="P15">
            <v>271</v>
          </cell>
          <cell r="Q15">
            <v>0</v>
          </cell>
          <cell r="R15">
            <v>0</v>
          </cell>
          <cell r="S15">
            <v>2</v>
          </cell>
          <cell r="T15">
            <v>157</v>
          </cell>
          <cell r="U15">
            <v>0</v>
          </cell>
          <cell r="V15">
            <v>0</v>
          </cell>
          <cell r="W15">
            <v>3</v>
          </cell>
          <cell r="X15">
            <v>264</v>
          </cell>
          <cell r="Y15">
            <v>0</v>
          </cell>
          <cell r="Z15">
            <v>0</v>
          </cell>
          <cell r="AA15">
            <v>3</v>
          </cell>
          <cell r="AB15">
            <v>264</v>
          </cell>
          <cell r="AC15">
            <v>1</v>
          </cell>
          <cell r="AD15">
            <v>140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2</v>
          </cell>
          <cell r="AL15">
            <v>206</v>
          </cell>
          <cell r="AM15">
            <v>0</v>
          </cell>
          <cell r="AN15">
            <v>0</v>
          </cell>
          <cell r="AO15">
            <v>1</v>
          </cell>
          <cell r="AP15">
            <v>130</v>
          </cell>
          <cell r="AQ15">
            <v>1</v>
          </cell>
          <cell r="AR15">
            <v>130</v>
          </cell>
          <cell r="AS15">
            <v>1</v>
          </cell>
          <cell r="AT15">
            <v>156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</v>
          </cell>
          <cell r="BF15">
            <v>150</v>
          </cell>
          <cell r="BG15">
            <v>1</v>
          </cell>
          <cell r="BH15">
            <v>150</v>
          </cell>
          <cell r="BI15">
            <v>0</v>
          </cell>
          <cell r="BJ15">
            <v>0</v>
          </cell>
          <cell r="BK15">
            <v>4</v>
          </cell>
          <cell r="BL15">
            <v>621</v>
          </cell>
          <cell r="BM15">
            <v>3</v>
          </cell>
          <cell r="BN15">
            <v>493</v>
          </cell>
          <cell r="BO15">
            <v>7</v>
          </cell>
          <cell r="BP15">
            <v>1114</v>
          </cell>
          <cell r="BQ15">
            <v>2</v>
          </cell>
          <cell r="BR15">
            <v>228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1</v>
          </cell>
          <cell r="CJ15">
            <v>59</v>
          </cell>
          <cell r="CK15">
            <v>1</v>
          </cell>
          <cell r="CL15">
            <v>83</v>
          </cell>
          <cell r="CM15">
            <v>2</v>
          </cell>
          <cell r="CN15">
            <v>142</v>
          </cell>
          <cell r="CO15">
            <v>4</v>
          </cell>
          <cell r="CP15">
            <v>283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</row>
        <row r="16">
          <cell r="B16" t="str">
            <v>Nashville, TN</v>
          </cell>
          <cell r="C16">
            <v>1</v>
          </cell>
          <cell r="D16">
            <v>64</v>
          </cell>
          <cell r="E16">
            <v>8</v>
          </cell>
          <cell r="F16">
            <v>513</v>
          </cell>
          <cell r="G16">
            <v>8</v>
          </cell>
          <cell r="H16">
            <v>548</v>
          </cell>
          <cell r="I16">
            <v>2</v>
          </cell>
          <cell r="J16">
            <v>231</v>
          </cell>
          <cell r="K16">
            <v>6</v>
          </cell>
          <cell r="L16">
            <v>586</v>
          </cell>
          <cell r="M16">
            <v>3</v>
          </cell>
          <cell r="N16">
            <v>640</v>
          </cell>
          <cell r="O16">
            <v>1</v>
          </cell>
          <cell r="P16">
            <v>128</v>
          </cell>
          <cell r="Q16">
            <v>0</v>
          </cell>
          <cell r="R16">
            <v>0</v>
          </cell>
          <cell r="S16">
            <v>1</v>
          </cell>
          <cell r="T16">
            <v>44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72</v>
          </cell>
          <cell r="AA16">
            <v>1</v>
          </cell>
          <cell r="AB16">
            <v>72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</v>
          </cell>
          <cell r="AH16">
            <v>101</v>
          </cell>
          <cell r="AI16">
            <v>1</v>
          </cell>
          <cell r="AJ16">
            <v>101</v>
          </cell>
          <cell r="AK16">
            <v>0</v>
          </cell>
          <cell r="AL16">
            <v>0</v>
          </cell>
          <cell r="AM16">
            <v>1</v>
          </cell>
          <cell r="AN16">
            <v>80</v>
          </cell>
          <cell r="AO16">
            <v>1</v>
          </cell>
          <cell r="AP16">
            <v>48</v>
          </cell>
          <cell r="AQ16">
            <v>2</v>
          </cell>
          <cell r="AR16">
            <v>128</v>
          </cell>
          <cell r="AS16">
            <v>1</v>
          </cell>
          <cell r="AT16">
            <v>81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4</v>
          </cell>
          <cell r="BD16">
            <v>847</v>
          </cell>
          <cell r="BE16">
            <v>0</v>
          </cell>
          <cell r="BF16">
            <v>0</v>
          </cell>
          <cell r="BG16">
            <v>4</v>
          </cell>
          <cell r="BH16">
            <v>847</v>
          </cell>
          <cell r="BI16">
            <v>1</v>
          </cell>
          <cell r="BJ16">
            <v>98</v>
          </cell>
          <cell r="BK16">
            <v>4</v>
          </cell>
          <cell r="BL16">
            <v>542</v>
          </cell>
          <cell r="BM16">
            <v>0</v>
          </cell>
          <cell r="BN16">
            <v>0</v>
          </cell>
          <cell r="BO16">
            <v>4</v>
          </cell>
          <cell r="BP16">
            <v>542</v>
          </cell>
          <cell r="BQ16">
            <v>0</v>
          </cell>
          <cell r="BR16">
            <v>0</v>
          </cell>
          <cell r="BS16">
            <v>1</v>
          </cell>
          <cell r="BT16">
            <v>84</v>
          </cell>
          <cell r="BU16">
            <v>0</v>
          </cell>
          <cell r="BV16">
            <v>0</v>
          </cell>
          <cell r="BW16">
            <v>1</v>
          </cell>
          <cell r="BX16">
            <v>84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2</v>
          </cell>
          <cell r="CJ16">
            <v>160</v>
          </cell>
          <cell r="CK16">
            <v>0</v>
          </cell>
          <cell r="CL16">
            <v>0</v>
          </cell>
          <cell r="CM16">
            <v>2</v>
          </cell>
          <cell r="CN16">
            <v>160</v>
          </cell>
          <cell r="CO16">
            <v>2</v>
          </cell>
          <cell r="CP16">
            <v>150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</row>
        <row r="17">
          <cell r="B17" t="str">
            <v>New Orleans, LA</v>
          </cell>
          <cell r="C17">
            <v>0</v>
          </cell>
          <cell r="D17">
            <v>0</v>
          </cell>
          <cell r="E17">
            <v>4</v>
          </cell>
          <cell r="F17">
            <v>394</v>
          </cell>
          <cell r="G17">
            <v>4</v>
          </cell>
          <cell r="H17">
            <v>413</v>
          </cell>
          <cell r="I17">
            <v>1</v>
          </cell>
          <cell r="J17">
            <v>104</v>
          </cell>
          <cell r="K17">
            <v>5</v>
          </cell>
          <cell r="L17">
            <v>650</v>
          </cell>
          <cell r="M17">
            <v>7</v>
          </cell>
          <cell r="N17">
            <v>1027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120</v>
          </cell>
          <cell r="AE17">
            <v>0</v>
          </cell>
          <cell r="AF17">
            <v>0</v>
          </cell>
          <cell r="AG17">
            <v>1</v>
          </cell>
          <cell r="AH17">
            <v>60</v>
          </cell>
          <cell r="AI17">
            <v>1</v>
          </cell>
          <cell r="AJ17">
            <v>60</v>
          </cell>
          <cell r="AK17">
            <v>3</v>
          </cell>
          <cell r="AL17">
            <v>310</v>
          </cell>
          <cell r="AM17">
            <v>1</v>
          </cell>
          <cell r="AN17">
            <v>169</v>
          </cell>
          <cell r="AO17">
            <v>1</v>
          </cell>
          <cell r="AP17">
            <v>95</v>
          </cell>
          <cell r="AQ17">
            <v>2</v>
          </cell>
          <cell r="AR17">
            <v>264</v>
          </cell>
          <cell r="AS17">
            <v>1</v>
          </cell>
          <cell r="AT17">
            <v>51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4</v>
          </cell>
          <cell r="BD17">
            <v>702</v>
          </cell>
          <cell r="BE17">
            <v>3</v>
          </cell>
          <cell r="BF17">
            <v>381</v>
          </cell>
          <cell r="BG17">
            <v>7</v>
          </cell>
          <cell r="BH17">
            <v>1083</v>
          </cell>
          <cell r="BI17">
            <v>1</v>
          </cell>
          <cell r="BJ17">
            <v>175</v>
          </cell>
          <cell r="BK17">
            <v>3</v>
          </cell>
          <cell r="BL17">
            <v>943</v>
          </cell>
          <cell r="BM17">
            <v>0</v>
          </cell>
          <cell r="BN17">
            <v>0</v>
          </cell>
          <cell r="BO17">
            <v>3</v>
          </cell>
          <cell r="BP17">
            <v>943</v>
          </cell>
          <cell r="BQ17">
            <v>3</v>
          </cell>
          <cell r="BR17">
            <v>1118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1</v>
          </cell>
          <cell r="CD17">
            <v>322</v>
          </cell>
          <cell r="CE17">
            <v>1</v>
          </cell>
          <cell r="CF17">
            <v>322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1</v>
          </cell>
          <cell r="CP17">
            <v>110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</row>
        <row r="18">
          <cell r="B18" t="str">
            <v>New York, NY</v>
          </cell>
          <cell r="C18">
            <v>2</v>
          </cell>
          <cell r="D18">
            <v>670</v>
          </cell>
          <cell r="E18">
            <v>0</v>
          </cell>
          <cell r="F18">
            <v>0</v>
          </cell>
          <cell r="G18">
            <v>3</v>
          </cell>
          <cell r="H18">
            <v>179</v>
          </cell>
          <cell r="I18">
            <v>0</v>
          </cell>
          <cell r="J18">
            <v>0</v>
          </cell>
          <cell r="K18">
            <v>2</v>
          </cell>
          <cell r="L18">
            <v>907</v>
          </cell>
          <cell r="M18">
            <v>4</v>
          </cell>
          <cell r="N18">
            <v>1051</v>
          </cell>
          <cell r="O18">
            <v>0</v>
          </cell>
          <cell r="P18">
            <v>0</v>
          </cell>
          <cell r="Q18">
            <v>1</v>
          </cell>
          <cell r="R18">
            <v>185</v>
          </cell>
          <cell r="S18">
            <v>0</v>
          </cell>
          <cell r="T18">
            <v>0</v>
          </cell>
          <cell r="U18">
            <v>1</v>
          </cell>
          <cell r="V18">
            <v>160</v>
          </cell>
          <cell r="W18">
            <v>1</v>
          </cell>
          <cell r="X18">
            <v>297</v>
          </cell>
          <cell r="Y18">
            <v>0</v>
          </cell>
          <cell r="Z18">
            <v>0</v>
          </cell>
          <cell r="AA18">
            <v>1</v>
          </cell>
          <cell r="AB18">
            <v>297</v>
          </cell>
          <cell r="AC18">
            <v>1</v>
          </cell>
          <cell r="AD18">
            <v>90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</v>
          </cell>
          <cell r="AL18">
            <v>217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1</v>
          </cell>
          <cell r="AV18">
            <v>138</v>
          </cell>
          <cell r="AW18">
            <v>0</v>
          </cell>
          <cell r="AX18">
            <v>0</v>
          </cell>
          <cell r="AY18">
            <v>1</v>
          </cell>
          <cell r="AZ18">
            <v>138</v>
          </cell>
          <cell r="BA18">
            <v>0</v>
          </cell>
          <cell r="BB18">
            <v>0</v>
          </cell>
          <cell r="BC18">
            <v>1</v>
          </cell>
          <cell r="BD18">
            <v>140</v>
          </cell>
          <cell r="BE18">
            <v>3</v>
          </cell>
          <cell r="BF18">
            <v>460</v>
          </cell>
          <cell r="BG18">
            <v>4</v>
          </cell>
          <cell r="BH18">
            <v>600</v>
          </cell>
          <cell r="BI18">
            <v>1</v>
          </cell>
          <cell r="BJ18">
            <v>297</v>
          </cell>
          <cell r="BK18">
            <v>2</v>
          </cell>
          <cell r="BL18">
            <v>480</v>
          </cell>
          <cell r="BM18">
            <v>1</v>
          </cell>
          <cell r="BN18">
            <v>140</v>
          </cell>
          <cell r="BO18">
            <v>3</v>
          </cell>
          <cell r="BP18">
            <v>620</v>
          </cell>
          <cell r="BQ18">
            <v>4</v>
          </cell>
          <cell r="BR18">
            <v>583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2</v>
          </cell>
          <cell r="CB18">
            <v>1130</v>
          </cell>
          <cell r="CC18">
            <v>0</v>
          </cell>
          <cell r="CD18">
            <v>0</v>
          </cell>
          <cell r="CE18">
            <v>2</v>
          </cell>
          <cell r="CF18">
            <v>1130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</row>
        <row r="19">
          <cell r="B19" t="str">
            <v>Norfolk, VA</v>
          </cell>
          <cell r="C19">
            <v>0</v>
          </cell>
          <cell r="D19">
            <v>0</v>
          </cell>
          <cell r="E19">
            <v>2</v>
          </cell>
          <cell r="F19">
            <v>118</v>
          </cell>
          <cell r="G19">
            <v>2</v>
          </cell>
          <cell r="H19">
            <v>156</v>
          </cell>
          <cell r="I19">
            <v>1</v>
          </cell>
          <cell r="J19">
            <v>73</v>
          </cell>
          <cell r="K19">
            <v>4</v>
          </cell>
          <cell r="L19">
            <v>360</v>
          </cell>
          <cell r="M19">
            <v>10</v>
          </cell>
          <cell r="N19">
            <v>1069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2</v>
          </cell>
          <cell r="T19">
            <v>158</v>
          </cell>
          <cell r="U19">
            <v>0</v>
          </cell>
          <cell r="V19">
            <v>0</v>
          </cell>
          <cell r="W19">
            <v>1</v>
          </cell>
          <cell r="X19">
            <v>128</v>
          </cell>
          <cell r="Y19">
            <v>0</v>
          </cell>
          <cell r="Z19">
            <v>0</v>
          </cell>
          <cell r="AA19">
            <v>1</v>
          </cell>
          <cell r="AB19">
            <v>128</v>
          </cell>
          <cell r="AC19">
            <v>0</v>
          </cell>
          <cell r="AD19">
            <v>0</v>
          </cell>
          <cell r="AE19">
            <v>1</v>
          </cell>
          <cell r="AF19">
            <v>65</v>
          </cell>
          <cell r="AG19">
            <v>0</v>
          </cell>
          <cell r="AH19">
            <v>0</v>
          </cell>
          <cell r="AI19">
            <v>1</v>
          </cell>
          <cell r="AJ19">
            <v>65</v>
          </cell>
          <cell r="AK19">
            <v>2</v>
          </cell>
          <cell r="AL19">
            <v>200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1</v>
          </cell>
          <cell r="BF19">
            <v>150</v>
          </cell>
          <cell r="BG19">
            <v>1</v>
          </cell>
          <cell r="BH19">
            <v>150</v>
          </cell>
          <cell r="BI19">
            <v>0</v>
          </cell>
          <cell r="BJ19">
            <v>0</v>
          </cell>
          <cell r="BK19">
            <v>2</v>
          </cell>
          <cell r="BL19">
            <v>390</v>
          </cell>
          <cell r="BM19">
            <v>0</v>
          </cell>
          <cell r="BN19">
            <v>0</v>
          </cell>
          <cell r="BO19">
            <v>2</v>
          </cell>
          <cell r="BP19">
            <v>390</v>
          </cell>
          <cell r="BQ19">
            <v>1</v>
          </cell>
          <cell r="BR19">
            <v>300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1</v>
          </cell>
          <cell r="CP19">
            <v>65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</row>
        <row r="20">
          <cell r="B20" t="str">
            <v>Oahu Island, HI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</v>
          </cell>
          <cell r="T20">
            <v>49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1</v>
          </cell>
          <cell r="BD20">
            <v>453</v>
          </cell>
          <cell r="BE20">
            <v>0</v>
          </cell>
          <cell r="BF20">
            <v>0</v>
          </cell>
          <cell r="BG20">
            <v>1</v>
          </cell>
          <cell r="BH20">
            <v>453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1</v>
          </cell>
          <cell r="BR20">
            <v>299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</row>
        <row r="21">
          <cell r="B21" t="str">
            <v>Orlando, FL</v>
          </cell>
          <cell r="C21">
            <v>3</v>
          </cell>
          <cell r="D21">
            <v>1012</v>
          </cell>
          <cell r="E21">
            <v>1</v>
          </cell>
          <cell r="F21">
            <v>100</v>
          </cell>
          <cell r="G21">
            <v>8</v>
          </cell>
          <cell r="H21">
            <v>905</v>
          </cell>
          <cell r="I21">
            <v>7</v>
          </cell>
          <cell r="J21">
            <v>764</v>
          </cell>
          <cell r="K21">
            <v>13</v>
          </cell>
          <cell r="L21">
            <v>1863</v>
          </cell>
          <cell r="M21">
            <v>9</v>
          </cell>
          <cell r="N21">
            <v>1158</v>
          </cell>
          <cell r="O21">
            <v>4</v>
          </cell>
          <cell r="P21">
            <v>552</v>
          </cell>
          <cell r="Q21">
            <v>0</v>
          </cell>
          <cell r="R21">
            <v>0</v>
          </cell>
          <cell r="S21">
            <v>4</v>
          </cell>
          <cell r="T21">
            <v>528</v>
          </cell>
          <cell r="U21">
            <v>0</v>
          </cell>
          <cell r="V21">
            <v>0</v>
          </cell>
          <cell r="W21">
            <v>1</v>
          </cell>
          <cell r="X21">
            <v>150</v>
          </cell>
          <cell r="Y21">
            <v>3</v>
          </cell>
          <cell r="Z21">
            <v>625</v>
          </cell>
          <cell r="AA21">
            <v>4</v>
          </cell>
          <cell r="AB21">
            <v>775</v>
          </cell>
          <cell r="AC21">
            <v>2</v>
          </cell>
          <cell r="AD21">
            <v>220</v>
          </cell>
          <cell r="AE21">
            <v>1</v>
          </cell>
          <cell r="AF21">
            <v>82</v>
          </cell>
          <cell r="AG21">
            <v>2</v>
          </cell>
          <cell r="AH21">
            <v>200</v>
          </cell>
          <cell r="AI21">
            <v>3</v>
          </cell>
          <cell r="AJ21">
            <v>282</v>
          </cell>
          <cell r="AK21">
            <v>0</v>
          </cell>
          <cell r="AL21">
            <v>0</v>
          </cell>
          <cell r="AM21">
            <v>1</v>
          </cell>
          <cell r="AN21">
            <v>80</v>
          </cell>
          <cell r="AO21">
            <v>0</v>
          </cell>
          <cell r="AP21">
            <v>0</v>
          </cell>
          <cell r="AQ21">
            <v>1</v>
          </cell>
          <cell r="AR21">
            <v>80</v>
          </cell>
          <cell r="AS21">
            <v>1</v>
          </cell>
          <cell r="AT21">
            <v>78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4</v>
          </cell>
          <cell r="BD21">
            <v>664</v>
          </cell>
          <cell r="BE21">
            <v>1</v>
          </cell>
          <cell r="BF21">
            <v>150</v>
          </cell>
          <cell r="BG21">
            <v>5</v>
          </cell>
          <cell r="BH21">
            <v>814</v>
          </cell>
          <cell r="BI21">
            <v>4</v>
          </cell>
          <cell r="BJ21">
            <v>580</v>
          </cell>
          <cell r="BK21">
            <v>5</v>
          </cell>
          <cell r="BL21">
            <v>1800</v>
          </cell>
          <cell r="BM21">
            <v>3</v>
          </cell>
          <cell r="BN21">
            <v>1889</v>
          </cell>
          <cell r="BO21">
            <v>8</v>
          </cell>
          <cell r="BP21">
            <v>3689</v>
          </cell>
          <cell r="BQ21">
            <v>3</v>
          </cell>
          <cell r="BR21">
            <v>619</v>
          </cell>
          <cell r="BS21">
            <v>2</v>
          </cell>
          <cell r="BT21">
            <v>302</v>
          </cell>
          <cell r="BU21">
            <v>0</v>
          </cell>
          <cell r="BV21">
            <v>0</v>
          </cell>
          <cell r="BW21">
            <v>2</v>
          </cell>
          <cell r="BX21">
            <v>302</v>
          </cell>
          <cell r="BY21">
            <v>0</v>
          </cell>
          <cell r="BZ21">
            <v>0</v>
          </cell>
          <cell r="CA21">
            <v>1</v>
          </cell>
          <cell r="CB21">
            <v>250</v>
          </cell>
          <cell r="CC21">
            <v>0</v>
          </cell>
          <cell r="CD21">
            <v>0</v>
          </cell>
          <cell r="CE21">
            <v>1</v>
          </cell>
          <cell r="CF21">
            <v>250</v>
          </cell>
          <cell r="CG21">
            <v>1</v>
          </cell>
          <cell r="CH21">
            <v>1200</v>
          </cell>
          <cell r="CI21">
            <v>0</v>
          </cell>
          <cell r="CJ21">
            <v>0</v>
          </cell>
          <cell r="CK21">
            <v>2</v>
          </cell>
          <cell r="CL21">
            <v>220</v>
          </cell>
          <cell r="CM21">
            <v>2</v>
          </cell>
          <cell r="CN21">
            <v>220</v>
          </cell>
          <cell r="CO21">
            <v>1</v>
          </cell>
          <cell r="CP21">
            <v>83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</row>
        <row r="22">
          <cell r="B22" t="str">
            <v>Philadelphia, PA</v>
          </cell>
          <cell r="C22">
            <v>2</v>
          </cell>
          <cell r="D22">
            <v>160</v>
          </cell>
          <cell r="E22">
            <v>0</v>
          </cell>
          <cell r="F22">
            <v>0</v>
          </cell>
          <cell r="G22">
            <v>4</v>
          </cell>
          <cell r="H22">
            <v>247</v>
          </cell>
          <cell r="I22">
            <v>9</v>
          </cell>
          <cell r="J22">
            <v>894</v>
          </cell>
          <cell r="K22">
            <v>9</v>
          </cell>
          <cell r="L22">
            <v>1255</v>
          </cell>
          <cell r="M22">
            <v>9</v>
          </cell>
          <cell r="N22">
            <v>1713</v>
          </cell>
          <cell r="O22">
            <v>0</v>
          </cell>
          <cell r="P22">
            <v>0</v>
          </cell>
          <cell r="Q22">
            <v>1</v>
          </cell>
          <cell r="R22">
            <v>193</v>
          </cell>
          <cell r="S22">
            <v>3</v>
          </cell>
          <cell r="T22">
            <v>528</v>
          </cell>
          <cell r="U22">
            <v>1</v>
          </cell>
          <cell r="V22">
            <v>131</v>
          </cell>
          <cell r="W22">
            <v>2</v>
          </cell>
          <cell r="X22">
            <v>146</v>
          </cell>
          <cell r="Y22">
            <v>2</v>
          </cell>
          <cell r="Z22">
            <v>425</v>
          </cell>
          <cell r="AA22">
            <v>4</v>
          </cell>
          <cell r="AB22">
            <v>571</v>
          </cell>
          <cell r="AC22">
            <v>1</v>
          </cell>
          <cell r="AD22">
            <v>70</v>
          </cell>
          <cell r="AE22">
            <v>0</v>
          </cell>
          <cell r="AF22">
            <v>0</v>
          </cell>
          <cell r="AG22">
            <v>1</v>
          </cell>
          <cell r="AH22">
            <v>100</v>
          </cell>
          <cell r="AI22">
            <v>1</v>
          </cell>
          <cell r="AJ22">
            <v>100</v>
          </cell>
          <cell r="AK22">
            <v>4</v>
          </cell>
          <cell r="AL22">
            <v>272</v>
          </cell>
          <cell r="AM22">
            <v>2</v>
          </cell>
          <cell r="AN22">
            <v>147</v>
          </cell>
          <cell r="AO22">
            <v>1</v>
          </cell>
          <cell r="AP22">
            <v>100</v>
          </cell>
          <cell r="AQ22">
            <v>3</v>
          </cell>
          <cell r="AR22">
            <v>247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1</v>
          </cell>
          <cell r="BD22">
            <v>250</v>
          </cell>
          <cell r="BE22">
            <v>3</v>
          </cell>
          <cell r="BF22">
            <v>251</v>
          </cell>
          <cell r="BG22">
            <v>4</v>
          </cell>
          <cell r="BH22">
            <v>501</v>
          </cell>
          <cell r="BI22">
            <v>2</v>
          </cell>
          <cell r="BJ22">
            <v>224</v>
          </cell>
          <cell r="BK22">
            <v>6</v>
          </cell>
          <cell r="BL22">
            <v>966</v>
          </cell>
          <cell r="BM22">
            <v>5</v>
          </cell>
          <cell r="BN22">
            <v>591</v>
          </cell>
          <cell r="BO22">
            <v>11</v>
          </cell>
          <cell r="BP22">
            <v>1557</v>
          </cell>
          <cell r="BQ22">
            <v>6</v>
          </cell>
          <cell r="BR22">
            <v>686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1</v>
          </cell>
          <cell r="BZ22">
            <v>128</v>
          </cell>
          <cell r="CA22">
            <v>0</v>
          </cell>
          <cell r="CB22">
            <v>0</v>
          </cell>
          <cell r="CC22">
            <v>1</v>
          </cell>
          <cell r="CD22">
            <v>185</v>
          </cell>
          <cell r="CE22">
            <v>1</v>
          </cell>
          <cell r="CF22">
            <v>185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1</v>
          </cell>
          <cell r="CL22">
            <v>75</v>
          </cell>
          <cell r="CM22">
            <v>1</v>
          </cell>
          <cell r="CN22">
            <v>75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</row>
        <row r="23">
          <cell r="B23" t="str">
            <v>Phoenix, AZ</v>
          </cell>
          <cell r="C23">
            <v>3</v>
          </cell>
          <cell r="D23">
            <v>329</v>
          </cell>
          <cell r="E23">
            <v>7</v>
          </cell>
          <cell r="F23">
            <v>468</v>
          </cell>
          <cell r="G23">
            <v>10</v>
          </cell>
          <cell r="H23">
            <v>818</v>
          </cell>
          <cell r="I23">
            <v>7</v>
          </cell>
          <cell r="J23">
            <v>769</v>
          </cell>
          <cell r="K23">
            <v>12</v>
          </cell>
          <cell r="L23">
            <v>1636</v>
          </cell>
          <cell r="M23">
            <v>19</v>
          </cell>
          <cell r="N23">
            <v>2772</v>
          </cell>
          <cell r="O23">
            <v>7</v>
          </cell>
          <cell r="P23">
            <v>917</v>
          </cell>
          <cell r="Q23">
            <v>0</v>
          </cell>
          <cell r="R23">
            <v>0</v>
          </cell>
          <cell r="S23">
            <v>6</v>
          </cell>
          <cell r="T23">
            <v>536</v>
          </cell>
          <cell r="U23">
            <v>1</v>
          </cell>
          <cell r="V23">
            <v>164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1</v>
          </cell>
          <cell r="BF23">
            <v>120</v>
          </cell>
          <cell r="BG23">
            <v>1</v>
          </cell>
          <cell r="BH23">
            <v>120</v>
          </cell>
          <cell r="BI23">
            <v>1</v>
          </cell>
          <cell r="BJ23">
            <v>350</v>
          </cell>
          <cell r="BK23">
            <v>1</v>
          </cell>
          <cell r="BL23">
            <v>123</v>
          </cell>
          <cell r="BM23">
            <v>3</v>
          </cell>
          <cell r="BN23">
            <v>587</v>
          </cell>
          <cell r="BO23">
            <v>4</v>
          </cell>
          <cell r="BP23">
            <v>710</v>
          </cell>
          <cell r="BQ23">
            <v>2</v>
          </cell>
          <cell r="BR23">
            <v>1073</v>
          </cell>
          <cell r="BS23">
            <v>0</v>
          </cell>
          <cell r="BT23">
            <v>0</v>
          </cell>
          <cell r="BU23">
            <v>1</v>
          </cell>
          <cell r="BV23">
            <v>70</v>
          </cell>
          <cell r="BW23">
            <v>1</v>
          </cell>
          <cell r="BX23">
            <v>70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1</v>
          </cell>
          <cell r="CD23">
            <v>750</v>
          </cell>
          <cell r="CE23">
            <v>1</v>
          </cell>
          <cell r="CF23">
            <v>750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1</v>
          </cell>
          <cell r="CL23">
            <v>75</v>
          </cell>
          <cell r="CM23">
            <v>1</v>
          </cell>
          <cell r="CN23">
            <v>75</v>
          </cell>
          <cell r="CO23">
            <v>1</v>
          </cell>
          <cell r="CP23">
            <v>60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</row>
        <row r="24">
          <cell r="B24" t="str">
            <v>Saint Louis, MO</v>
          </cell>
          <cell r="C24">
            <v>4</v>
          </cell>
          <cell r="D24">
            <v>272</v>
          </cell>
          <cell r="E24">
            <v>9</v>
          </cell>
          <cell r="F24">
            <v>576</v>
          </cell>
          <cell r="G24">
            <v>5</v>
          </cell>
          <cell r="H24">
            <v>317</v>
          </cell>
          <cell r="I24">
            <v>3</v>
          </cell>
          <cell r="J24">
            <v>284</v>
          </cell>
          <cell r="K24">
            <v>6</v>
          </cell>
          <cell r="L24">
            <v>853</v>
          </cell>
          <cell r="M24">
            <v>5</v>
          </cell>
          <cell r="N24">
            <v>510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2</v>
          </cell>
          <cell r="T24">
            <v>138</v>
          </cell>
          <cell r="U24">
            <v>2</v>
          </cell>
          <cell r="V24">
            <v>284</v>
          </cell>
          <cell r="W24">
            <v>0</v>
          </cell>
          <cell r="X24">
            <v>0</v>
          </cell>
          <cell r="Y24">
            <v>1</v>
          </cell>
          <cell r="Z24">
            <v>120</v>
          </cell>
          <cell r="AA24">
            <v>1</v>
          </cell>
          <cell r="AB24">
            <v>120</v>
          </cell>
          <cell r="AC24">
            <v>4</v>
          </cell>
          <cell r="AD24">
            <v>460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3</v>
          </cell>
          <cell r="AL24">
            <v>275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1</v>
          </cell>
          <cell r="AT24">
            <v>80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2</v>
          </cell>
          <cell r="BD24">
            <v>204</v>
          </cell>
          <cell r="BE24">
            <v>1</v>
          </cell>
          <cell r="BF24">
            <v>117</v>
          </cell>
          <cell r="BG24">
            <v>3</v>
          </cell>
          <cell r="BH24">
            <v>321</v>
          </cell>
          <cell r="BI24">
            <v>2</v>
          </cell>
          <cell r="BJ24">
            <v>505</v>
          </cell>
          <cell r="BK24">
            <v>0</v>
          </cell>
          <cell r="BL24">
            <v>0</v>
          </cell>
          <cell r="BM24">
            <v>2</v>
          </cell>
          <cell r="BN24">
            <v>1070</v>
          </cell>
          <cell r="BO24">
            <v>2</v>
          </cell>
          <cell r="BP24">
            <v>1070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3</v>
          </cell>
          <cell r="CB24">
            <v>666</v>
          </cell>
          <cell r="CC24">
            <v>0</v>
          </cell>
          <cell r="CD24">
            <v>0</v>
          </cell>
          <cell r="CE24">
            <v>3</v>
          </cell>
          <cell r="CF24">
            <v>666</v>
          </cell>
          <cell r="CG24">
            <v>0</v>
          </cell>
          <cell r="CH24">
            <v>0</v>
          </cell>
          <cell r="CI24">
            <v>1</v>
          </cell>
          <cell r="CJ24">
            <v>63</v>
          </cell>
          <cell r="CK24">
            <v>0</v>
          </cell>
          <cell r="CL24">
            <v>0</v>
          </cell>
          <cell r="CM24">
            <v>1</v>
          </cell>
          <cell r="CN24">
            <v>63</v>
          </cell>
          <cell r="CO24">
            <v>2</v>
          </cell>
          <cell r="CP24">
            <v>120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</row>
        <row r="25">
          <cell r="B25" t="str">
            <v>San Diego, CA</v>
          </cell>
          <cell r="C25">
            <v>1</v>
          </cell>
          <cell r="D25">
            <v>80</v>
          </cell>
          <cell r="E25">
            <v>0</v>
          </cell>
          <cell r="F25">
            <v>0</v>
          </cell>
          <cell r="G25">
            <v>2</v>
          </cell>
          <cell r="H25">
            <v>139</v>
          </cell>
          <cell r="I25">
            <v>2</v>
          </cell>
          <cell r="J25">
            <v>270</v>
          </cell>
          <cell r="K25">
            <v>3</v>
          </cell>
          <cell r="L25">
            <v>542</v>
          </cell>
          <cell r="M25">
            <v>5</v>
          </cell>
          <cell r="N25">
            <v>783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</v>
          </cell>
          <cell r="T25">
            <v>50</v>
          </cell>
          <cell r="U25">
            <v>0</v>
          </cell>
          <cell r="V25">
            <v>0</v>
          </cell>
          <cell r="W25">
            <v>1</v>
          </cell>
          <cell r="X25">
            <v>158</v>
          </cell>
          <cell r="Y25">
            <v>2</v>
          </cell>
          <cell r="Z25">
            <v>226</v>
          </cell>
          <cell r="AA25">
            <v>3</v>
          </cell>
          <cell r="AB25">
            <v>384</v>
          </cell>
          <cell r="AC25">
            <v>1</v>
          </cell>
          <cell r="AD25">
            <v>119</v>
          </cell>
          <cell r="AE25">
            <v>0</v>
          </cell>
          <cell r="AF25">
            <v>0</v>
          </cell>
          <cell r="AG25">
            <v>1</v>
          </cell>
          <cell r="AH25">
            <v>100</v>
          </cell>
          <cell r="AI25">
            <v>1</v>
          </cell>
          <cell r="AJ25">
            <v>100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1</v>
          </cell>
          <cell r="BD25">
            <v>178</v>
          </cell>
          <cell r="BE25">
            <v>2</v>
          </cell>
          <cell r="BF25">
            <v>220</v>
          </cell>
          <cell r="BG25">
            <v>3</v>
          </cell>
          <cell r="BH25">
            <v>398</v>
          </cell>
          <cell r="BI25">
            <v>1</v>
          </cell>
          <cell r="BJ25">
            <v>130</v>
          </cell>
          <cell r="BK25">
            <v>0</v>
          </cell>
          <cell r="BL25">
            <v>0</v>
          </cell>
          <cell r="BM25">
            <v>2</v>
          </cell>
          <cell r="BN25">
            <v>530</v>
          </cell>
          <cell r="BO25">
            <v>2</v>
          </cell>
          <cell r="BP25">
            <v>530</v>
          </cell>
          <cell r="BQ25">
            <v>5</v>
          </cell>
          <cell r="BR25">
            <v>641</v>
          </cell>
          <cell r="BS25">
            <v>0</v>
          </cell>
          <cell r="BT25">
            <v>0</v>
          </cell>
          <cell r="BU25">
            <v>1</v>
          </cell>
          <cell r="BV25">
            <v>203</v>
          </cell>
          <cell r="BW25">
            <v>1</v>
          </cell>
          <cell r="BX25">
            <v>203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2</v>
          </cell>
          <cell r="CD25">
            <v>763</v>
          </cell>
          <cell r="CE25">
            <v>2</v>
          </cell>
          <cell r="CF25">
            <v>763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2</v>
          </cell>
          <cell r="CP25">
            <v>91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</row>
        <row r="26">
          <cell r="B26" t="str">
            <v>San Francisco, CA</v>
          </cell>
          <cell r="C26">
            <v>1</v>
          </cell>
          <cell r="D26">
            <v>82</v>
          </cell>
          <cell r="E26">
            <v>3</v>
          </cell>
          <cell r="F26">
            <v>123</v>
          </cell>
          <cell r="G26">
            <v>2</v>
          </cell>
          <cell r="H26">
            <v>95</v>
          </cell>
          <cell r="I26">
            <v>0</v>
          </cell>
          <cell r="J26">
            <v>0</v>
          </cell>
          <cell r="K26">
            <v>4</v>
          </cell>
          <cell r="L26">
            <v>556</v>
          </cell>
          <cell r="M26">
            <v>1</v>
          </cell>
          <cell r="N26">
            <v>136</v>
          </cell>
          <cell r="O26">
            <v>0</v>
          </cell>
          <cell r="P26">
            <v>0</v>
          </cell>
          <cell r="Q26">
            <v>1</v>
          </cell>
          <cell r="R26">
            <v>423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1</v>
          </cell>
          <cell r="X26">
            <v>252</v>
          </cell>
          <cell r="Y26">
            <v>1</v>
          </cell>
          <cell r="Z26">
            <v>105</v>
          </cell>
          <cell r="AA26">
            <v>2</v>
          </cell>
          <cell r="AB26">
            <v>357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3</v>
          </cell>
          <cell r="AH26">
            <v>265</v>
          </cell>
          <cell r="AI26">
            <v>3</v>
          </cell>
          <cell r="AJ26">
            <v>265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</v>
          </cell>
          <cell r="AP26">
            <v>106</v>
          </cell>
          <cell r="AQ26">
            <v>1</v>
          </cell>
          <cell r="AR26">
            <v>106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2</v>
          </cell>
          <cell r="BD26">
            <v>148</v>
          </cell>
          <cell r="BE26">
            <v>2</v>
          </cell>
          <cell r="BF26">
            <v>502</v>
          </cell>
          <cell r="BG26">
            <v>4</v>
          </cell>
          <cell r="BH26">
            <v>650</v>
          </cell>
          <cell r="BI26">
            <v>3</v>
          </cell>
          <cell r="BJ26">
            <v>673</v>
          </cell>
          <cell r="BK26">
            <v>5</v>
          </cell>
          <cell r="BL26">
            <v>1193</v>
          </cell>
          <cell r="BM26">
            <v>0</v>
          </cell>
          <cell r="BN26">
            <v>0</v>
          </cell>
          <cell r="BO26">
            <v>5</v>
          </cell>
          <cell r="BP26">
            <v>1193</v>
          </cell>
          <cell r="BQ26">
            <v>2</v>
          </cell>
          <cell r="BR26">
            <v>278</v>
          </cell>
          <cell r="BS26">
            <v>0</v>
          </cell>
          <cell r="BT26">
            <v>0</v>
          </cell>
          <cell r="BU26">
            <v>1</v>
          </cell>
          <cell r="BV26">
            <v>128</v>
          </cell>
          <cell r="BW26">
            <v>1</v>
          </cell>
          <cell r="BX26">
            <v>128</v>
          </cell>
          <cell r="BY26">
            <v>0</v>
          </cell>
          <cell r="BZ26">
            <v>0</v>
          </cell>
          <cell r="CA26">
            <v>1</v>
          </cell>
          <cell r="CB26">
            <v>101</v>
          </cell>
          <cell r="CC26">
            <v>0</v>
          </cell>
          <cell r="CD26">
            <v>0</v>
          </cell>
          <cell r="CE26">
            <v>1</v>
          </cell>
          <cell r="CF26">
            <v>101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</row>
        <row r="27">
          <cell r="B27" t="str">
            <v>Seattle, WA</v>
          </cell>
          <cell r="C27">
            <v>3</v>
          </cell>
          <cell r="D27">
            <v>315</v>
          </cell>
          <cell r="E27">
            <v>4</v>
          </cell>
          <cell r="F27">
            <v>188</v>
          </cell>
          <cell r="G27">
            <v>6</v>
          </cell>
          <cell r="H27">
            <v>546</v>
          </cell>
          <cell r="I27">
            <v>9</v>
          </cell>
          <cell r="J27">
            <v>978</v>
          </cell>
          <cell r="K27">
            <v>3</v>
          </cell>
          <cell r="L27">
            <v>445</v>
          </cell>
          <cell r="M27">
            <v>7</v>
          </cell>
          <cell r="N27">
            <v>1193</v>
          </cell>
          <cell r="O27">
            <v>0</v>
          </cell>
          <cell r="P27">
            <v>0</v>
          </cell>
          <cell r="Q27">
            <v>1</v>
          </cell>
          <cell r="R27">
            <v>426</v>
          </cell>
          <cell r="S27">
            <v>1</v>
          </cell>
          <cell r="T27">
            <v>96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1</v>
          </cell>
          <cell r="Z27">
            <v>63</v>
          </cell>
          <cell r="AA27">
            <v>1</v>
          </cell>
          <cell r="AB27">
            <v>63</v>
          </cell>
          <cell r="AC27">
            <v>2</v>
          </cell>
          <cell r="AD27">
            <v>173</v>
          </cell>
          <cell r="AE27">
            <v>1</v>
          </cell>
          <cell r="AF27">
            <v>160</v>
          </cell>
          <cell r="AG27">
            <v>2</v>
          </cell>
          <cell r="AH27">
            <v>300</v>
          </cell>
          <cell r="AI27">
            <v>3</v>
          </cell>
          <cell r="AJ27">
            <v>460</v>
          </cell>
          <cell r="AK27">
            <v>0</v>
          </cell>
          <cell r="AL27">
            <v>0</v>
          </cell>
          <cell r="AM27">
            <v>1</v>
          </cell>
          <cell r="AN27">
            <v>200</v>
          </cell>
          <cell r="AO27">
            <v>1</v>
          </cell>
          <cell r="AP27">
            <v>159</v>
          </cell>
          <cell r="AQ27">
            <v>2</v>
          </cell>
          <cell r="AR27">
            <v>359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1</v>
          </cell>
          <cell r="BD27">
            <v>265</v>
          </cell>
          <cell r="BE27">
            <v>2</v>
          </cell>
          <cell r="BF27">
            <v>249</v>
          </cell>
          <cell r="BG27">
            <v>3</v>
          </cell>
          <cell r="BH27">
            <v>514</v>
          </cell>
          <cell r="BI27">
            <v>0</v>
          </cell>
          <cell r="BJ27">
            <v>0</v>
          </cell>
          <cell r="BK27">
            <v>3</v>
          </cell>
          <cell r="BL27">
            <v>483</v>
          </cell>
          <cell r="BM27">
            <v>3</v>
          </cell>
          <cell r="BN27">
            <v>1210</v>
          </cell>
          <cell r="BO27">
            <v>6</v>
          </cell>
          <cell r="BP27">
            <v>1693</v>
          </cell>
          <cell r="BQ27">
            <v>2</v>
          </cell>
          <cell r="BR27">
            <v>395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1</v>
          </cell>
          <cell r="CD27">
            <v>304</v>
          </cell>
          <cell r="CE27">
            <v>1</v>
          </cell>
          <cell r="CF27">
            <v>304</v>
          </cell>
          <cell r="CG27">
            <v>0</v>
          </cell>
          <cell r="CH27">
            <v>0</v>
          </cell>
          <cell r="CI27">
            <v>2</v>
          </cell>
          <cell r="CJ27">
            <v>277</v>
          </cell>
          <cell r="CK27">
            <v>2</v>
          </cell>
          <cell r="CL27">
            <v>137</v>
          </cell>
          <cell r="CM27">
            <v>4</v>
          </cell>
          <cell r="CN27">
            <v>414</v>
          </cell>
          <cell r="CO27">
            <v>2</v>
          </cell>
          <cell r="CP27">
            <v>200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</row>
        <row r="28">
          <cell r="B28" t="str">
            <v>Tampa, FL</v>
          </cell>
          <cell r="C28">
            <v>5</v>
          </cell>
          <cell r="D28">
            <v>414</v>
          </cell>
          <cell r="E28">
            <v>3</v>
          </cell>
          <cell r="F28">
            <v>255</v>
          </cell>
          <cell r="G28">
            <v>6</v>
          </cell>
          <cell r="H28">
            <v>439</v>
          </cell>
          <cell r="I28">
            <v>3</v>
          </cell>
          <cell r="J28">
            <v>263</v>
          </cell>
          <cell r="K28">
            <v>7</v>
          </cell>
          <cell r="L28">
            <v>880</v>
          </cell>
          <cell r="M28">
            <v>10</v>
          </cell>
          <cell r="N28">
            <v>1591</v>
          </cell>
          <cell r="O28">
            <v>2</v>
          </cell>
          <cell r="P28">
            <v>261</v>
          </cell>
          <cell r="Q28">
            <v>1</v>
          </cell>
          <cell r="R28">
            <v>99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1</v>
          </cell>
          <cell r="X28">
            <v>82</v>
          </cell>
          <cell r="Y28">
            <v>1</v>
          </cell>
          <cell r="Z28">
            <v>77</v>
          </cell>
          <cell r="AA28">
            <v>2</v>
          </cell>
          <cell r="AB28">
            <v>159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3</v>
          </cell>
          <cell r="AL28">
            <v>230</v>
          </cell>
          <cell r="AM28">
            <v>0</v>
          </cell>
          <cell r="AN28">
            <v>0</v>
          </cell>
          <cell r="AO28">
            <v>1</v>
          </cell>
          <cell r="AP28">
            <v>50</v>
          </cell>
          <cell r="AQ28">
            <v>1</v>
          </cell>
          <cell r="AR28">
            <v>50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2</v>
          </cell>
          <cell r="BD28">
            <v>216</v>
          </cell>
          <cell r="BE28">
            <v>2</v>
          </cell>
          <cell r="BF28">
            <v>234</v>
          </cell>
          <cell r="BG28">
            <v>4</v>
          </cell>
          <cell r="BH28">
            <v>450</v>
          </cell>
          <cell r="BI28">
            <v>0</v>
          </cell>
          <cell r="BJ28">
            <v>0</v>
          </cell>
          <cell r="BK28">
            <v>1</v>
          </cell>
          <cell r="BL28">
            <v>109</v>
          </cell>
          <cell r="BM28">
            <v>3</v>
          </cell>
          <cell r="BN28">
            <v>412</v>
          </cell>
          <cell r="BO28">
            <v>4</v>
          </cell>
          <cell r="BP28">
            <v>521</v>
          </cell>
          <cell r="BQ28">
            <v>2</v>
          </cell>
          <cell r="BR28">
            <v>254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1</v>
          </cell>
          <cell r="CJ28">
            <v>63</v>
          </cell>
          <cell r="CK28">
            <v>0</v>
          </cell>
          <cell r="CL28">
            <v>0</v>
          </cell>
          <cell r="CM28">
            <v>1</v>
          </cell>
          <cell r="CN28">
            <v>63</v>
          </cell>
          <cell r="CO28">
            <v>4</v>
          </cell>
          <cell r="CP28">
            <v>313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</row>
        <row r="29">
          <cell r="B29" t="str">
            <v>Washington, DC</v>
          </cell>
          <cell r="C29">
            <v>2</v>
          </cell>
          <cell r="D29">
            <v>130</v>
          </cell>
          <cell r="E29">
            <v>2</v>
          </cell>
          <cell r="F29">
            <v>84</v>
          </cell>
          <cell r="G29">
            <v>5</v>
          </cell>
          <cell r="H29">
            <v>406</v>
          </cell>
          <cell r="I29">
            <v>9</v>
          </cell>
          <cell r="J29">
            <v>952</v>
          </cell>
          <cell r="K29">
            <v>10</v>
          </cell>
          <cell r="L29">
            <v>1420</v>
          </cell>
          <cell r="M29">
            <v>18</v>
          </cell>
          <cell r="N29">
            <v>2235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</v>
          </cell>
          <cell r="T29">
            <v>104</v>
          </cell>
          <cell r="U29">
            <v>1</v>
          </cell>
          <cell r="V29">
            <v>151</v>
          </cell>
          <cell r="W29">
            <v>1</v>
          </cell>
          <cell r="X29">
            <v>144</v>
          </cell>
          <cell r="Y29">
            <v>2</v>
          </cell>
          <cell r="Z29">
            <v>352</v>
          </cell>
          <cell r="AA29">
            <v>3</v>
          </cell>
          <cell r="AB29">
            <v>496</v>
          </cell>
          <cell r="AC29">
            <v>1</v>
          </cell>
          <cell r="AD29">
            <v>86</v>
          </cell>
          <cell r="AE29">
            <v>1</v>
          </cell>
          <cell r="AF29">
            <v>130</v>
          </cell>
          <cell r="AG29">
            <v>0</v>
          </cell>
          <cell r="AH29">
            <v>0</v>
          </cell>
          <cell r="AI29">
            <v>1</v>
          </cell>
          <cell r="AJ29">
            <v>130</v>
          </cell>
          <cell r="AK29">
            <v>5</v>
          </cell>
          <cell r="AL29">
            <v>573</v>
          </cell>
          <cell r="AM29">
            <v>2</v>
          </cell>
          <cell r="AN29">
            <v>150</v>
          </cell>
          <cell r="AO29">
            <v>1</v>
          </cell>
          <cell r="AP29">
            <v>90</v>
          </cell>
          <cell r="AQ29">
            <v>3</v>
          </cell>
          <cell r="AR29">
            <v>240</v>
          </cell>
          <cell r="AS29">
            <v>2</v>
          </cell>
          <cell r="AT29">
            <v>134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5</v>
          </cell>
          <cell r="BD29">
            <v>632</v>
          </cell>
          <cell r="BE29">
            <v>2</v>
          </cell>
          <cell r="BF29">
            <v>229</v>
          </cell>
          <cell r="BG29">
            <v>7</v>
          </cell>
          <cell r="BH29">
            <v>861</v>
          </cell>
          <cell r="BI29">
            <v>4</v>
          </cell>
          <cell r="BJ29">
            <v>926</v>
          </cell>
          <cell r="BK29">
            <v>9</v>
          </cell>
          <cell r="BL29">
            <v>1466</v>
          </cell>
          <cell r="BM29">
            <v>2</v>
          </cell>
          <cell r="BN29">
            <v>450</v>
          </cell>
          <cell r="BO29">
            <v>11</v>
          </cell>
          <cell r="BP29">
            <v>1916</v>
          </cell>
          <cell r="BQ29">
            <v>7</v>
          </cell>
          <cell r="BR29">
            <v>1117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2</v>
          </cell>
          <cell r="BZ29">
            <v>208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1</v>
          </cell>
          <cell r="CJ29">
            <v>105</v>
          </cell>
          <cell r="CK29">
            <v>0</v>
          </cell>
          <cell r="CL29">
            <v>0</v>
          </cell>
          <cell r="CM29">
            <v>1</v>
          </cell>
          <cell r="CN29">
            <v>105</v>
          </cell>
          <cell r="CO29">
            <v>1</v>
          </cell>
          <cell r="CP29">
            <v>132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lookup"/>
      <sheetName val="brand lookup 2"/>
      <sheetName val="company lookup"/>
      <sheetName val="PIVOTS"/>
      <sheetName val="mkt lookup"/>
      <sheetName val="CENSUS LOOKUP"/>
      <sheetName val="TRACT LOOKUP"/>
      <sheetName val="BS TRACT LOOKUP"/>
      <sheetName val="CHAIN LOOKUP"/>
      <sheetName val="rawdata"/>
    </sheetNames>
    <sheetDataSet>
      <sheetData sheetId="0" refreshError="1">
        <row r="256">
          <cell r="B256" t="str">
            <v>Economy</v>
          </cell>
          <cell r="C256">
            <v>150</v>
          </cell>
          <cell r="D256">
            <v>10922</v>
          </cell>
        </row>
        <row r="257">
          <cell r="B257" t="str">
            <v>Independent</v>
          </cell>
          <cell r="C257">
            <v>313</v>
          </cell>
          <cell r="D257">
            <v>23340</v>
          </cell>
        </row>
        <row r="258">
          <cell r="B258" t="str">
            <v>Midscale w/ F&amp;B</v>
          </cell>
          <cell r="C258">
            <v>99</v>
          </cell>
          <cell r="D258">
            <v>13709</v>
          </cell>
        </row>
        <row r="259">
          <cell r="B259" t="str">
            <v>Midscale w/o F&amp;B</v>
          </cell>
          <cell r="C259">
            <v>40</v>
          </cell>
          <cell r="D259">
            <v>3323</v>
          </cell>
        </row>
        <row r="260">
          <cell r="B260" t="str">
            <v>Upper Upscale</v>
          </cell>
          <cell r="C260">
            <v>68</v>
          </cell>
          <cell r="D260">
            <v>25416</v>
          </cell>
        </row>
        <row r="261">
          <cell r="B261" t="str">
            <v>Upscale</v>
          </cell>
          <cell r="C261">
            <v>41</v>
          </cell>
          <cell r="D261">
            <v>8615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B8" t="str">
            <v>ALEXANDRIA</v>
          </cell>
          <cell r="C8">
            <v>1</v>
          </cell>
          <cell r="D8">
            <v>241</v>
          </cell>
          <cell r="E8">
            <v>1</v>
          </cell>
          <cell r="F8">
            <v>80</v>
          </cell>
          <cell r="G8">
            <v>5</v>
          </cell>
          <cell r="H8">
            <v>711</v>
          </cell>
          <cell r="I8">
            <v>1</v>
          </cell>
          <cell r="J8">
            <v>80</v>
          </cell>
          <cell r="K8">
            <v>1</v>
          </cell>
          <cell r="L8">
            <v>240</v>
          </cell>
          <cell r="M8">
            <v>2</v>
          </cell>
          <cell r="N8">
            <v>246</v>
          </cell>
          <cell r="O8">
            <v>3</v>
          </cell>
          <cell r="P8">
            <v>486</v>
          </cell>
          <cell r="Q8">
            <v>1</v>
          </cell>
          <cell r="R8">
            <v>90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3</v>
          </cell>
          <cell r="X8">
            <v>486</v>
          </cell>
          <cell r="Y8">
            <v>1</v>
          </cell>
          <cell r="Z8">
            <v>90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1</v>
          </cell>
          <cell r="AJ8">
            <v>90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3</v>
          </cell>
          <cell r="AP8">
            <v>486</v>
          </cell>
          <cell r="AQ8" t="str">
            <v>ALEXANDRIA</v>
          </cell>
          <cell r="AR8">
            <v>40</v>
          </cell>
          <cell r="AS8">
            <v>5868</v>
          </cell>
          <cell r="AT8">
            <v>39</v>
          </cell>
          <cell r="AU8">
            <v>5788</v>
          </cell>
          <cell r="AV8">
            <v>38</v>
          </cell>
          <cell r="AW8">
            <v>5547</v>
          </cell>
          <cell r="AX8">
            <v>35</v>
          </cell>
          <cell r="AY8">
            <v>5504</v>
          </cell>
          <cell r="AZ8">
            <v>0</v>
          </cell>
          <cell r="BA8">
            <v>0</v>
          </cell>
        </row>
        <row r="9">
          <cell r="B9" t="str">
            <v>ALPHARETTA</v>
          </cell>
          <cell r="C9">
            <v>3</v>
          </cell>
          <cell r="D9">
            <v>558</v>
          </cell>
          <cell r="E9">
            <v>2</v>
          </cell>
          <cell r="F9">
            <v>275</v>
          </cell>
          <cell r="G9">
            <v>19</v>
          </cell>
          <cell r="H9">
            <v>2349</v>
          </cell>
          <cell r="I9">
            <v>1</v>
          </cell>
          <cell r="J9">
            <v>150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 t="str">
            <v>ALPHARETTA</v>
          </cell>
          <cell r="AR9">
            <v>27</v>
          </cell>
          <cell r="AS9">
            <v>3053</v>
          </cell>
          <cell r="AT9">
            <v>25</v>
          </cell>
          <cell r="AU9">
            <v>2778</v>
          </cell>
          <cell r="AV9">
            <v>22</v>
          </cell>
          <cell r="AW9">
            <v>2220</v>
          </cell>
          <cell r="AX9">
            <v>27</v>
          </cell>
          <cell r="AY9">
            <v>3056</v>
          </cell>
          <cell r="AZ9">
            <v>0</v>
          </cell>
          <cell r="BA9">
            <v>0</v>
          </cell>
        </row>
        <row r="10">
          <cell r="B10" t="str">
            <v>ANAHEIM CBD</v>
          </cell>
          <cell r="C10">
            <v>0</v>
          </cell>
          <cell r="D10">
            <v>0</v>
          </cell>
          <cell r="E10">
            <v>7</v>
          </cell>
          <cell r="F10">
            <v>1817</v>
          </cell>
          <cell r="G10">
            <v>10</v>
          </cell>
          <cell r="H10">
            <v>2179</v>
          </cell>
          <cell r="I10">
            <v>5</v>
          </cell>
          <cell r="J10">
            <v>916</v>
          </cell>
          <cell r="K10">
            <v>1</v>
          </cell>
          <cell r="L10">
            <v>128</v>
          </cell>
          <cell r="M10">
            <v>2</v>
          </cell>
          <cell r="N10">
            <v>394</v>
          </cell>
          <cell r="O10">
            <v>3</v>
          </cell>
          <cell r="P10">
            <v>522</v>
          </cell>
          <cell r="Q10">
            <v>3</v>
          </cell>
          <cell r="R10">
            <v>1325</v>
          </cell>
          <cell r="S10">
            <v>1</v>
          </cell>
          <cell r="T10">
            <v>117</v>
          </cell>
          <cell r="U10">
            <v>1</v>
          </cell>
          <cell r="V10">
            <v>128</v>
          </cell>
          <cell r="W10">
            <v>0</v>
          </cell>
          <cell r="X10">
            <v>0</v>
          </cell>
          <cell r="Y10">
            <v>5</v>
          </cell>
          <cell r="Z10">
            <v>1719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5</v>
          </cell>
          <cell r="AJ10">
            <v>1719</v>
          </cell>
          <cell r="AK10">
            <v>0</v>
          </cell>
          <cell r="AL10">
            <v>0</v>
          </cell>
          <cell r="AM10">
            <v>1</v>
          </cell>
          <cell r="AN10">
            <v>128</v>
          </cell>
          <cell r="AO10">
            <v>0</v>
          </cell>
          <cell r="AP10">
            <v>0</v>
          </cell>
          <cell r="AQ10" t="str">
            <v>ANAHEIM CBD</v>
          </cell>
          <cell r="AR10">
            <v>124</v>
          </cell>
          <cell r="AS10">
            <v>20910</v>
          </cell>
          <cell r="AT10">
            <v>117</v>
          </cell>
          <cell r="AU10">
            <v>19093</v>
          </cell>
          <cell r="AV10">
            <v>117</v>
          </cell>
          <cell r="AW10">
            <v>19093</v>
          </cell>
          <cell r="AX10">
            <v>114</v>
          </cell>
          <cell r="AY10">
            <v>17728</v>
          </cell>
          <cell r="AZ10">
            <v>2</v>
          </cell>
          <cell r="BA10">
            <v>394</v>
          </cell>
        </row>
        <row r="11">
          <cell r="B11" t="str">
            <v>ARLINGTON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176</v>
          </cell>
          <cell r="I11">
            <v>0</v>
          </cell>
          <cell r="J11">
            <v>0</v>
          </cell>
          <cell r="K11">
            <v>3</v>
          </cell>
          <cell r="L11">
            <v>686</v>
          </cell>
          <cell r="M11">
            <v>1</v>
          </cell>
          <cell r="N11">
            <v>220</v>
          </cell>
          <cell r="O11">
            <v>4</v>
          </cell>
          <cell r="P11">
            <v>906</v>
          </cell>
          <cell r="Q11">
            <v>1</v>
          </cell>
          <cell r="R11">
            <v>227</v>
          </cell>
          <cell r="S11">
            <v>0</v>
          </cell>
          <cell r="T11">
            <v>0</v>
          </cell>
          <cell r="U11">
            <v>2</v>
          </cell>
          <cell r="V11">
            <v>350</v>
          </cell>
          <cell r="W11">
            <v>1</v>
          </cell>
          <cell r="X11">
            <v>336</v>
          </cell>
          <cell r="Y11">
            <v>2</v>
          </cell>
          <cell r="Z11">
            <v>447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2</v>
          </cell>
          <cell r="AJ11">
            <v>447</v>
          </cell>
          <cell r="AK11">
            <v>0</v>
          </cell>
          <cell r="AL11">
            <v>0</v>
          </cell>
          <cell r="AM11">
            <v>2</v>
          </cell>
          <cell r="AN11">
            <v>350</v>
          </cell>
          <cell r="AO11">
            <v>1</v>
          </cell>
          <cell r="AP11">
            <v>336</v>
          </cell>
          <cell r="AQ11" t="str">
            <v>ARLINGTON</v>
          </cell>
          <cell r="AR11">
            <v>37</v>
          </cell>
          <cell r="AS11">
            <v>9842</v>
          </cell>
          <cell r="AT11">
            <v>37</v>
          </cell>
          <cell r="AU11">
            <v>9842</v>
          </cell>
          <cell r="AV11">
            <v>37</v>
          </cell>
          <cell r="AW11">
            <v>9842</v>
          </cell>
          <cell r="AX11">
            <v>37</v>
          </cell>
          <cell r="AY11">
            <v>9478</v>
          </cell>
          <cell r="AZ11">
            <v>1</v>
          </cell>
          <cell r="BA11">
            <v>220</v>
          </cell>
        </row>
        <row r="12">
          <cell r="B12" t="str">
            <v>ATLANTA AIRPORT</v>
          </cell>
          <cell r="C12">
            <v>2</v>
          </cell>
          <cell r="D12">
            <v>269</v>
          </cell>
          <cell r="E12">
            <v>3</v>
          </cell>
          <cell r="F12">
            <v>263</v>
          </cell>
          <cell r="G12">
            <v>13</v>
          </cell>
          <cell r="H12">
            <v>1512</v>
          </cell>
          <cell r="I12">
            <v>3</v>
          </cell>
          <cell r="J12">
            <v>263</v>
          </cell>
          <cell r="K12">
            <v>1</v>
          </cell>
          <cell r="L12">
            <v>153</v>
          </cell>
          <cell r="M12">
            <v>3</v>
          </cell>
          <cell r="N12">
            <v>431</v>
          </cell>
          <cell r="O12">
            <v>4</v>
          </cell>
          <cell r="P12">
            <v>584</v>
          </cell>
          <cell r="Q12">
            <v>1</v>
          </cell>
          <cell r="R12">
            <v>100</v>
          </cell>
          <cell r="S12">
            <v>0</v>
          </cell>
          <cell r="T12">
            <v>0</v>
          </cell>
          <cell r="U12">
            <v>1</v>
          </cell>
          <cell r="V12">
            <v>153</v>
          </cell>
          <cell r="W12">
            <v>3</v>
          </cell>
          <cell r="X12">
            <v>431</v>
          </cell>
          <cell r="Y12">
            <v>1</v>
          </cell>
          <cell r="Z12">
            <v>100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1</v>
          </cell>
          <cell r="AJ12">
            <v>100</v>
          </cell>
          <cell r="AK12">
            <v>0</v>
          </cell>
          <cell r="AL12">
            <v>0</v>
          </cell>
          <cell r="AM12">
            <v>1</v>
          </cell>
          <cell r="AN12">
            <v>153</v>
          </cell>
          <cell r="AO12">
            <v>3</v>
          </cell>
          <cell r="AP12">
            <v>431</v>
          </cell>
          <cell r="AQ12" t="str">
            <v>ATLANTA AIRPORT</v>
          </cell>
          <cell r="AR12">
            <v>57</v>
          </cell>
          <cell r="AS12">
            <v>9796</v>
          </cell>
          <cell r="AT12">
            <v>54</v>
          </cell>
          <cell r="AU12">
            <v>9533</v>
          </cell>
          <cell r="AV12">
            <v>52</v>
          </cell>
          <cell r="AW12">
            <v>9264</v>
          </cell>
          <cell r="AX12">
            <v>57</v>
          </cell>
          <cell r="AY12">
            <v>9452</v>
          </cell>
          <cell r="AZ12">
            <v>0</v>
          </cell>
          <cell r="BA12">
            <v>0</v>
          </cell>
        </row>
        <row r="13">
          <cell r="B13" t="str">
            <v>ATLANTA DOWNTOWN</v>
          </cell>
          <cell r="C13">
            <v>0</v>
          </cell>
          <cell r="D13">
            <v>0</v>
          </cell>
          <cell r="E13">
            <v>3</v>
          </cell>
          <cell r="F13">
            <v>788</v>
          </cell>
          <cell r="G13">
            <v>8</v>
          </cell>
          <cell r="H13">
            <v>1737</v>
          </cell>
          <cell r="I13">
            <v>2</v>
          </cell>
          <cell r="J13">
            <v>372</v>
          </cell>
          <cell r="K13">
            <v>2</v>
          </cell>
          <cell r="L13">
            <v>843</v>
          </cell>
          <cell r="M13">
            <v>0</v>
          </cell>
          <cell r="N13">
            <v>0</v>
          </cell>
          <cell r="O13">
            <v>2</v>
          </cell>
          <cell r="P13">
            <v>843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250</v>
          </cell>
          <cell r="Y13">
            <v>1</v>
          </cell>
          <cell r="Z13">
            <v>593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1</v>
          </cell>
          <cell r="AJ13">
            <v>593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1</v>
          </cell>
          <cell r="AP13">
            <v>250</v>
          </cell>
          <cell r="AQ13" t="str">
            <v>ATLANTA DOWNTOWN</v>
          </cell>
          <cell r="AR13">
            <v>58</v>
          </cell>
          <cell r="AS13">
            <v>15526</v>
          </cell>
          <cell r="AT13">
            <v>55</v>
          </cell>
          <cell r="AU13">
            <v>14738</v>
          </cell>
          <cell r="AV13">
            <v>55</v>
          </cell>
          <cell r="AW13">
            <v>14738</v>
          </cell>
          <cell r="AX13">
            <v>57</v>
          </cell>
          <cell r="AY13">
            <v>15178</v>
          </cell>
          <cell r="AZ13">
            <v>1</v>
          </cell>
          <cell r="BA13">
            <v>593</v>
          </cell>
        </row>
        <row r="14">
          <cell r="B14" t="str">
            <v>ATLANTA EAST</v>
          </cell>
          <cell r="C14">
            <v>1</v>
          </cell>
          <cell r="D14">
            <v>47</v>
          </cell>
          <cell r="E14">
            <v>3</v>
          </cell>
          <cell r="F14">
            <v>208</v>
          </cell>
          <cell r="G14">
            <v>21</v>
          </cell>
          <cell r="H14">
            <v>1541</v>
          </cell>
          <cell r="I14">
            <v>2</v>
          </cell>
          <cell r="J14">
            <v>146</v>
          </cell>
          <cell r="K14">
            <v>3</v>
          </cell>
          <cell r="L14">
            <v>220</v>
          </cell>
          <cell r="M14">
            <v>2</v>
          </cell>
          <cell r="N14">
            <v>156</v>
          </cell>
          <cell r="O14">
            <v>5</v>
          </cell>
          <cell r="P14">
            <v>376</v>
          </cell>
          <cell r="Q14">
            <v>1</v>
          </cell>
          <cell r="R14">
            <v>90</v>
          </cell>
          <cell r="S14">
            <v>0</v>
          </cell>
          <cell r="T14">
            <v>0</v>
          </cell>
          <cell r="U14">
            <v>3</v>
          </cell>
          <cell r="V14">
            <v>220</v>
          </cell>
          <cell r="W14">
            <v>2</v>
          </cell>
          <cell r="X14">
            <v>156</v>
          </cell>
          <cell r="Y14">
            <v>1</v>
          </cell>
          <cell r="Z14">
            <v>90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</v>
          </cell>
          <cell r="AJ14">
            <v>90</v>
          </cell>
          <cell r="AK14">
            <v>0</v>
          </cell>
          <cell r="AL14">
            <v>0</v>
          </cell>
          <cell r="AM14">
            <v>3</v>
          </cell>
          <cell r="AN14">
            <v>220</v>
          </cell>
          <cell r="AO14">
            <v>2</v>
          </cell>
          <cell r="AP14">
            <v>156</v>
          </cell>
          <cell r="AQ14" t="str">
            <v>ATLANTA EAST</v>
          </cell>
          <cell r="AR14">
            <v>89</v>
          </cell>
          <cell r="AS14">
            <v>7805</v>
          </cell>
          <cell r="AT14">
            <v>86</v>
          </cell>
          <cell r="AU14">
            <v>7597</v>
          </cell>
          <cell r="AV14">
            <v>85</v>
          </cell>
          <cell r="AW14">
            <v>7550</v>
          </cell>
          <cell r="AX14">
            <v>79</v>
          </cell>
          <cell r="AY14">
            <v>6869</v>
          </cell>
          <cell r="AZ14">
            <v>0</v>
          </cell>
          <cell r="BA14">
            <v>0</v>
          </cell>
        </row>
        <row r="15">
          <cell r="B15" t="str">
            <v>ATLANTA GALLERIA AREA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13</v>
          </cell>
          <cell r="H15">
            <v>1391</v>
          </cell>
          <cell r="I15">
            <v>1</v>
          </cell>
          <cell r="J15">
            <v>72</v>
          </cell>
          <cell r="K15">
            <v>0</v>
          </cell>
          <cell r="L15">
            <v>0</v>
          </cell>
          <cell r="M15">
            <v>1</v>
          </cell>
          <cell r="N15">
            <v>86</v>
          </cell>
          <cell r="O15">
            <v>1</v>
          </cell>
          <cell r="P15">
            <v>86</v>
          </cell>
          <cell r="Q15">
            <v>0</v>
          </cell>
          <cell r="R15">
            <v>0</v>
          </cell>
          <cell r="S15">
            <v>1</v>
          </cell>
          <cell r="T15">
            <v>72</v>
          </cell>
          <cell r="U15">
            <v>0</v>
          </cell>
          <cell r="V15">
            <v>0</v>
          </cell>
          <cell r="W15">
            <v>1</v>
          </cell>
          <cell r="X15">
            <v>86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1</v>
          </cell>
          <cell r="AP15">
            <v>86</v>
          </cell>
          <cell r="AQ15" t="str">
            <v>ATLANTA GALLERIA AREA</v>
          </cell>
          <cell r="AR15">
            <v>50</v>
          </cell>
          <cell r="AS15">
            <v>7473</v>
          </cell>
          <cell r="AT15">
            <v>50</v>
          </cell>
          <cell r="AU15">
            <v>7473</v>
          </cell>
          <cell r="AV15">
            <v>50</v>
          </cell>
          <cell r="AW15">
            <v>7473</v>
          </cell>
          <cell r="AX15">
            <v>49</v>
          </cell>
          <cell r="AY15">
            <v>7194</v>
          </cell>
          <cell r="AZ15">
            <v>0</v>
          </cell>
          <cell r="BA15">
            <v>0</v>
          </cell>
        </row>
        <row r="16">
          <cell r="B16" t="str">
            <v>ATLANTA NORTH</v>
          </cell>
          <cell r="C16">
            <v>5</v>
          </cell>
          <cell r="D16">
            <v>385</v>
          </cell>
          <cell r="E16">
            <v>3</v>
          </cell>
          <cell r="F16">
            <v>284</v>
          </cell>
          <cell r="G16">
            <v>26</v>
          </cell>
          <cell r="H16">
            <v>2702</v>
          </cell>
          <cell r="I16">
            <v>4</v>
          </cell>
          <cell r="J16">
            <v>355</v>
          </cell>
          <cell r="K16">
            <v>2</v>
          </cell>
          <cell r="L16">
            <v>156</v>
          </cell>
          <cell r="M16">
            <v>3</v>
          </cell>
          <cell r="N16">
            <v>439</v>
          </cell>
          <cell r="O16">
            <v>5</v>
          </cell>
          <cell r="P16">
            <v>595</v>
          </cell>
          <cell r="Q16">
            <v>2</v>
          </cell>
          <cell r="R16">
            <v>170</v>
          </cell>
          <cell r="S16">
            <v>1</v>
          </cell>
          <cell r="T16">
            <v>71</v>
          </cell>
          <cell r="U16">
            <v>2</v>
          </cell>
          <cell r="V16">
            <v>156</v>
          </cell>
          <cell r="W16">
            <v>1</v>
          </cell>
          <cell r="X16">
            <v>70</v>
          </cell>
          <cell r="Y16">
            <v>4</v>
          </cell>
          <cell r="Z16">
            <v>539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4</v>
          </cell>
          <cell r="AJ16">
            <v>539</v>
          </cell>
          <cell r="AK16">
            <v>0</v>
          </cell>
          <cell r="AL16">
            <v>0</v>
          </cell>
          <cell r="AM16">
            <v>2</v>
          </cell>
          <cell r="AN16">
            <v>156</v>
          </cell>
          <cell r="AO16">
            <v>1</v>
          </cell>
          <cell r="AP16">
            <v>70</v>
          </cell>
          <cell r="AQ16" t="str">
            <v>ATLANTA NORTH</v>
          </cell>
          <cell r="AR16">
            <v>59</v>
          </cell>
          <cell r="AS16">
            <v>8853</v>
          </cell>
          <cell r="AT16">
            <v>56</v>
          </cell>
          <cell r="AU16">
            <v>8569</v>
          </cell>
          <cell r="AV16">
            <v>51</v>
          </cell>
          <cell r="AW16">
            <v>8184</v>
          </cell>
          <cell r="AX16">
            <v>57</v>
          </cell>
          <cell r="AY16">
            <v>8261</v>
          </cell>
          <cell r="AZ16">
            <v>2</v>
          </cell>
          <cell r="BA16">
            <v>369</v>
          </cell>
        </row>
        <row r="17">
          <cell r="B17" t="str">
            <v>ATLANTA NORTH CENTRAL</v>
          </cell>
          <cell r="C17">
            <v>2</v>
          </cell>
          <cell r="D17">
            <v>186</v>
          </cell>
          <cell r="E17">
            <v>0</v>
          </cell>
          <cell r="F17">
            <v>0</v>
          </cell>
          <cell r="G17">
            <v>13</v>
          </cell>
          <cell r="H17">
            <v>1447</v>
          </cell>
          <cell r="I17">
            <v>1</v>
          </cell>
          <cell r="J17">
            <v>80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2</v>
          </cell>
          <cell r="R17">
            <v>645</v>
          </cell>
          <cell r="S17">
            <v>1</v>
          </cell>
          <cell r="T17">
            <v>80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220</v>
          </cell>
          <cell r="AA17">
            <v>1</v>
          </cell>
          <cell r="AB17">
            <v>425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2</v>
          </cell>
          <cell r="AJ17">
            <v>645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 t="str">
            <v>ATLANTA NORTH CENTRAL</v>
          </cell>
          <cell r="AR17">
            <v>40</v>
          </cell>
          <cell r="AS17">
            <v>7148</v>
          </cell>
          <cell r="AT17">
            <v>40</v>
          </cell>
          <cell r="AU17">
            <v>7148</v>
          </cell>
          <cell r="AV17">
            <v>38</v>
          </cell>
          <cell r="AW17">
            <v>6962</v>
          </cell>
          <cell r="AX17">
            <v>41</v>
          </cell>
          <cell r="AY17">
            <v>7455</v>
          </cell>
          <cell r="AZ17">
            <v>0</v>
          </cell>
          <cell r="BA17">
            <v>0</v>
          </cell>
        </row>
        <row r="18">
          <cell r="B18" t="str">
            <v>ATLANTA NORTHEAST</v>
          </cell>
          <cell r="C18">
            <v>1</v>
          </cell>
          <cell r="D18">
            <v>43</v>
          </cell>
          <cell r="E18">
            <v>2</v>
          </cell>
          <cell r="F18">
            <v>168</v>
          </cell>
          <cell r="G18">
            <v>23</v>
          </cell>
          <cell r="H18">
            <v>2337</v>
          </cell>
          <cell r="I18">
            <v>2</v>
          </cell>
          <cell r="J18">
            <v>168</v>
          </cell>
          <cell r="K18">
            <v>2</v>
          </cell>
          <cell r="L18">
            <v>112</v>
          </cell>
          <cell r="M18">
            <v>2</v>
          </cell>
          <cell r="N18">
            <v>225</v>
          </cell>
          <cell r="O18">
            <v>4</v>
          </cell>
          <cell r="P18">
            <v>337</v>
          </cell>
          <cell r="Q18">
            <v>2</v>
          </cell>
          <cell r="R18">
            <v>183</v>
          </cell>
          <cell r="S18">
            <v>0</v>
          </cell>
          <cell r="T18">
            <v>0</v>
          </cell>
          <cell r="U18">
            <v>2</v>
          </cell>
          <cell r="V18">
            <v>112</v>
          </cell>
          <cell r="W18">
            <v>1</v>
          </cell>
          <cell r="X18">
            <v>125</v>
          </cell>
          <cell r="Y18">
            <v>3</v>
          </cell>
          <cell r="Z18">
            <v>283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3</v>
          </cell>
          <cell r="AJ18">
            <v>283</v>
          </cell>
          <cell r="AK18">
            <v>0</v>
          </cell>
          <cell r="AL18">
            <v>0</v>
          </cell>
          <cell r="AM18">
            <v>2</v>
          </cell>
          <cell r="AN18">
            <v>112</v>
          </cell>
          <cell r="AO18">
            <v>1</v>
          </cell>
          <cell r="AP18">
            <v>125</v>
          </cell>
          <cell r="AQ18" t="str">
            <v>ATLANTA NORTHEAST</v>
          </cell>
          <cell r="AR18">
            <v>77</v>
          </cell>
          <cell r="AS18">
            <v>9675</v>
          </cell>
          <cell r="AT18">
            <v>75</v>
          </cell>
          <cell r="AU18">
            <v>9507</v>
          </cell>
          <cell r="AV18">
            <v>74</v>
          </cell>
          <cell r="AW18">
            <v>9464</v>
          </cell>
          <cell r="AX18">
            <v>81</v>
          </cell>
          <cell r="AY18">
            <v>9968</v>
          </cell>
          <cell r="AZ18">
            <v>1</v>
          </cell>
          <cell r="BA18">
            <v>100</v>
          </cell>
        </row>
        <row r="19">
          <cell r="B19" t="str">
            <v>ATLANTA NORTHWEST</v>
          </cell>
          <cell r="C19">
            <v>11</v>
          </cell>
          <cell r="D19">
            <v>1005</v>
          </cell>
          <cell r="E19">
            <v>2</v>
          </cell>
          <cell r="F19">
            <v>83</v>
          </cell>
          <cell r="G19">
            <v>28</v>
          </cell>
          <cell r="H19">
            <v>2382</v>
          </cell>
          <cell r="I19">
            <v>1</v>
          </cell>
          <cell r="J19">
            <v>39</v>
          </cell>
          <cell r="K19">
            <v>1</v>
          </cell>
          <cell r="L19">
            <v>60</v>
          </cell>
          <cell r="M19">
            <v>1</v>
          </cell>
          <cell r="N19">
            <v>114</v>
          </cell>
          <cell r="O19">
            <v>2</v>
          </cell>
          <cell r="P19">
            <v>174</v>
          </cell>
          <cell r="Q19">
            <v>2</v>
          </cell>
          <cell r="R19">
            <v>251</v>
          </cell>
          <cell r="S19">
            <v>0</v>
          </cell>
          <cell r="T19">
            <v>0</v>
          </cell>
          <cell r="U19">
            <v>1</v>
          </cell>
          <cell r="V19">
            <v>60</v>
          </cell>
          <cell r="W19">
            <v>1</v>
          </cell>
          <cell r="X19">
            <v>114</v>
          </cell>
          <cell r="Y19">
            <v>2</v>
          </cell>
          <cell r="Z19">
            <v>251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2</v>
          </cell>
          <cell r="AJ19">
            <v>251</v>
          </cell>
          <cell r="AK19">
            <v>0</v>
          </cell>
          <cell r="AL19">
            <v>0</v>
          </cell>
          <cell r="AM19">
            <v>1</v>
          </cell>
          <cell r="AN19">
            <v>60</v>
          </cell>
          <cell r="AO19">
            <v>1</v>
          </cell>
          <cell r="AP19">
            <v>114</v>
          </cell>
          <cell r="AQ19" t="str">
            <v>ATLANTA NORTHWEST</v>
          </cell>
          <cell r="AR19">
            <v>98</v>
          </cell>
          <cell r="AS19">
            <v>9271</v>
          </cell>
          <cell r="AT19">
            <v>96</v>
          </cell>
          <cell r="AU19">
            <v>9188</v>
          </cell>
          <cell r="AV19">
            <v>85</v>
          </cell>
          <cell r="AW19">
            <v>8183</v>
          </cell>
          <cell r="AX19">
            <v>89</v>
          </cell>
          <cell r="AY19">
            <v>8355</v>
          </cell>
          <cell r="AZ19">
            <v>0</v>
          </cell>
          <cell r="BA19">
            <v>0</v>
          </cell>
        </row>
        <row r="20">
          <cell r="B20" t="str">
            <v>ATLANTA SOUTH</v>
          </cell>
          <cell r="C20">
            <v>5</v>
          </cell>
          <cell r="D20">
            <v>316</v>
          </cell>
          <cell r="E20">
            <v>8</v>
          </cell>
          <cell r="F20">
            <v>474</v>
          </cell>
          <cell r="G20">
            <v>25</v>
          </cell>
          <cell r="H20">
            <v>1750</v>
          </cell>
          <cell r="I20">
            <v>8</v>
          </cell>
          <cell r="J20">
            <v>474</v>
          </cell>
          <cell r="K20">
            <v>3</v>
          </cell>
          <cell r="L20">
            <v>183</v>
          </cell>
          <cell r="M20">
            <v>1</v>
          </cell>
          <cell r="N20">
            <v>225</v>
          </cell>
          <cell r="O20">
            <v>4</v>
          </cell>
          <cell r="P20">
            <v>408</v>
          </cell>
          <cell r="Q20">
            <v>4</v>
          </cell>
          <cell r="R20">
            <v>551</v>
          </cell>
          <cell r="S20">
            <v>0</v>
          </cell>
          <cell r="T20">
            <v>0</v>
          </cell>
          <cell r="U20">
            <v>3</v>
          </cell>
          <cell r="V20">
            <v>183</v>
          </cell>
          <cell r="W20">
            <v>0</v>
          </cell>
          <cell r="X20">
            <v>0</v>
          </cell>
          <cell r="Y20">
            <v>5</v>
          </cell>
          <cell r="Z20">
            <v>776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5</v>
          </cell>
          <cell r="AJ20">
            <v>776</v>
          </cell>
          <cell r="AK20">
            <v>0</v>
          </cell>
          <cell r="AL20">
            <v>0</v>
          </cell>
          <cell r="AM20">
            <v>3</v>
          </cell>
          <cell r="AN20">
            <v>183</v>
          </cell>
          <cell r="AO20">
            <v>0</v>
          </cell>
          <cell r="AP20">
            <v>0</v>
          </cell>
          <cell r="AQ20" t="str">
            <v>ATLANTA SOUTH</v>
          </cell>
          <cell r="AR20">
            <v>105</v>
          </cell>
          <cell r="AS20">
            <v>8440</v>
          </cell>
          <cell r="AT20">
            <v>97</v>
          </cell>
          <cell r="AU20">
            <v>7966</v>
          </cell>
          <cell r="AV20">
            <v>92</v>
          </cell>
          <cell r="AW20">
            <v>7650</v>
          </cell>
          <cell r="AX20">
            <v>107</v>
          </cell>
          <cell r="AY20">
            <v>8552</v>
          </cell>
          <cell r="AZ20">
            <v>1</v>
          </cell>
          <cell r="BA20">
            <v>225</v>
          </cell>
        </row>
        <row r="21">
          <cell r="B21" t="str">
            <v>ATLANTA-OTHER</v>
          </cell>
          <cell r="C21">
            <v>11</v>
          </cell>
          <cell r="D21">
            <v>1107</v>
          </cell>
          <cell r="E21">
            <v>13</v>
          </cell>
          <cell r="F21">
            <v>957</v>
          </cell>
          <cell r="G21">
            <v>91</v>
          </cell>
          <cell r="H21">
            <v>8478</v>
          </cell>
          <cell r="I21">
            <v>13</v>
          </cell>
          <cell r="J21">
            <v>922</v>
          </cell>
          <cell r="K21">
            <v>6</v>
          </cell>
          <cell r="L21">
            <v>403</v>
          </cell>
          <cell r="M21">
            <v>4</v>
          </cell>
          <cell r="N21">
            <v>467</v>
          </cell>
          <cell r="O21">
            <v>10</v>
          </cell>
          <cell r="P21">
            <v>870</v>
          </cell>
          <cell r="Q21">
            <v>7</v>
          </cell>
          <cell r="R21">
            <v>1286</v>
          </cell>
          <cell r="S21">
            <v>2</v>
          </cell>
          <cell r="T21">
            <v>152</v>
          </cell>
          <cell r="U21">
            <v>6</v>
          </cell>
          <cell r="V21">
            <v>403</v>
          </cell>
          <cell r="W21">
            <v>3</v>
          </cell>
          <cell r="X21">
            <v>242</v>
          </cell>
          <cell r="Y21">
            <v>7</v>
          </cell>
          <cell r="Z21">
            <v>1086</v>
          </cell>
          <cell r="AA21">
            <v>1</v>
          </cell>
          <cell r="AB21">
            <v>425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8</v>
          </cell>
          <cell r="AJ21">
            <v>1511</v>
          </cell>
          <cell r="AK21">
            <v>0</v>
          </cell>
          <cell r="AL21">
            <v>0</v>
          </cell>
          <cell r="AM21">
            <v>6</v>
          </cell>
          <cell r="AN21">
            <v>403</v>
          </cell>
          <cell r="AO21">
            <v>3</v>
          </cell>
          <cell r="AP21">
            <v>242</v>
          </cell>
          <cell r="AQ21" t="str">
            <v>ATLANTA-OTHER</v>
          </cell>
          <cell r="AR21">
            <v>311</v>
          </cell>
          <cell r="AS21">
            <v>33919</v>
          </cell>
          <cell r="AT21">
            <v>298</v>
          </cell>
          <cell r="AU21">
            <v>32962</v>
          </cell>
          <cell r="AV21">
            <v>287</v>
          </cell>
          <cell r="AW21">
            <v>31855</v>
          </cell>
          <cell r="AX21">
            <v>303</v>
          </cell>
          <cell r="AY21">
            <v>33126</v>
          </cell>
          <cell r="AZ21">
            <v>1</v>
          </cell>
          <cell r="BA21">
            <v>225</v>
          </cell>
        </row>
        <row r="22">
          <cell r="B22" t="str">
            <v>BETHESDA-SILVER SPRING</v>
          </cell>
          <cell r="C22">
            <v>1</v>
          </cell>
          <cell r="D22">
            <v>78</v>
          </cell>
          <cell r="E22">
            <v>0</v>
          </cell>
          <cell r="F22">
            <v>0</v>
          </cell>
          <cell r="G22">
            <v>1</v>
          </cell>
          <cell r="H22">
            <v>78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250</v>
          </cell>
          <cell r="O22">
            <v>1</v>
          </cell>
          <cell r="P22">
            <v>250</v>
          </cell>
          <cell r="Q22">
            <v>1</v>
          </cell>
          <cell r="R22">
            <v>175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2</v>
          </cell>
          <cell r="Z22">
            <v>425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2</v>
          </cell>
          <cell r="AJ22">
            <v>425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 t="str">
            <v>BETHESDA-SILVER SPRING</v>
          </cell>
          <cell r="AR22">
            <v>35</v>
          </cell>
          <cell r="AS22">
            <v>5177</v>
          </cell>
          <cell r="AT22">
            <v>35</v>
          </cell>
          <cell r="AU22">
            <v>5177</v>
          </cell>
          <cell r="AV22">
            <v>34</v>
          </cell>
          <cell r="AW22">
            <v>5099</v>
          </cell>
          <cell r="AX22">
            <v>36</v>
          </cell>
          <cell r="AY22">
            <v>5183</v>
          </cell>
          <cell r="AZ22">
            <v>1</v>
          </cell>
          <cell r="BA22">
            <v>250</v>
          </cell>
        </row>
        <row r="23">
          <cell r="B23" t="str">
            <v>BLOOMINGTON</v>
          </cell>
          <cell r="C23">
            <v>1</v>
          </cell>
          <cell r="D23">
            <v>200</v>
          </cell>
          <cell r="E23">
            <v>1</v>
          </cell>
          <cell r="F23">
            <v>127</v>
          </cell>
          <cell r="G23">
            <v>12</v>
          </cell>
          <cell r="H23">
            <v>1627</v>
          </cell>
          <cell r="I23">
            <v>1</v>
          </cell>
          <cell r="J23">
            <v>127</v>
          </cell>
          <cell r="K23">
            <v>1</v>
          </cell>
          <cell r="L23">
            <v>104</v>
          </cell>
          <cell r="M23">
            <v>2</v>
          </cell>
          <cell r="N23">
            <v>525</v>
          </cell>
          <cell r="O23">
            <v>3</v>
          </cell>
          <cell r="P23">
            <v>629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</v>
          </cell>
          <cell r="V23">
            <v>104</v>
          </cell>
          <cell r="W23">
            <v>0</v>
          </cell>
          <cell r="X23">
            <v>0</v>
          </cell>
          <cell r="Y23">
            <v>2</v>
          </cell>
          <cell r="Z23">
            <v>525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2</v>
          </cell>
          <cell r="AJ23">
            <v>525</v>
          </cell>
          <cell r="AK23">
            <v>0</v>
          </cell>
          <cell r="AL23">
            <v>0</v>
          </cell>
          <cell r="AM23">
            <v>1</v>
          </cell>
          <cell r="AN23">
            <v>104</v>
          </cell>
          <cell r="AO23">
            <v>0</v>
          </cell>
          <cell r="AP23">
            <v>0</v>
          </cell>
          <cell r="AQ23" t="str">
            <v>BLOOMINGTON</v>
          </cell>
          <cell r="AR23">
            <v>37</v>
          </cell>
          <cell r="AS23">
            <v>7059</v>
          </cell>
          <cell r="AT23">
            <v>36</v>
          </cell>
          <cell r="AU23">
            <v>6932</v>
          </cell>
          <cell r="AV23">
            <v>35</v>
          </cell>
          <cell r="AW23">
            <v>6732</v>
          </cell>
          <cell r="AX23">
            <v>40</v>
          </cell>
          <cell r="AY23">
            <v>8375</v>
          </cell>
          <cell r="AZ23">
            <v>2</v>
          </cell>
          <cell r="BA23">
            <v>525</v>
          </cell>
        </row>
        <row r="24">
          <cell r="B24" t="str">
            <v>BOSTON CBD</v>
          </cell>
          <cell r="C24">
            <v>4</v>
          </cell>
          <cell r="D24">
            <v>693</v>
          </cell>
          <cell r="E24">
            <v>5</v>
          </cell>
          <cell r="F24">
            <v>860</v>
          </cell>
          <cell r="G24">
            <v>16</v>
          </cell>
          <cell r="H24">
            <v>3371</v>
          </cell>
          <cell r="I24">
            <v>3</v>
          </cell>
          <cell r="J24">
            <v>394</v>
          </cell>
          <cell r="K24">
            <v>5</v>
          </cell>
          <cell r="L24">
            <v>968</v>
          </cell>
          <cell r="M24">
            <v>10</v>
          </cell>
          <cell r="N24">
            <v>2892</v>
          </cell>
          <cell r="O24">
            <v>15</v>
          </cell>
          <cell r="P24">
            <v>3860</v>
          </cell>
          <cell r="Q24">
            <v>5</v>
          </cell>
          <cell r="R24">
            <v>1275</v>
          </cell>
          <cell r="S24">
            <v>1</v>
          </cell>
          <cell r="T24">
            <v>33</v>
          </cell>
          <cell r="U24">
            <v>2</v>
          </cell>
          <cell r="V24">
            <v>340</v>
          </cell>
          <cell r="W24">
            <v>5</v>
          </cell>
          <cell r="X24">
            <v>902</v>
          </cell>
          <cell r="Y24">
            <v>10</v>
          </cell>
          <cell r="Z24">
            <v>2793</v>
          </cell>
          <cell r="AA24">
            <v>2</v>
          </cell>
          <cell r="AB24">
            <v>450</v>
          </cell>
          <cell r="AC24">
            <v>1</v>
          </cell>
          <cell r="AD24">
            <v>650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13</v>
          </cell>
          <cell r="AJ24">
            <v>3893</v>
          </cell>
          <cell r="AK24">
            <v>0</v>
          </cell>
          <cell r="AL24">
            <v>0</v>
          </cell>
          <cell r="AM24">
            <v>2</v>
          </cell>
          <cell r="AN24">
            <v>340</v>
          </cell>
          <cell r="AO24">
            <v>5</v>
          </cell>
          <cell r="AP24">
            <v>902</v>
          </cell>
          <cell r="AQ24" t="str">
            <v>BOSTON CBD</v>
          </cell>
          <cell r="AR24">
            <v>63</v>
          </cell>
          <cell r="AS24">
            <v>15527</v>
          </cell>
          <cell r="AT24">
            <v>58</v>
          </cell>
          <cell r="AU24">
            <v>14667</v>
          </cell>
          <cell r="AV24">
            <v>54</v>
          </cell>
          <cell r="AW24">
            <v>13974</v>
          </cell>
          <cell r="AX24">
            <v>57</v>
          </cell>
          <cell r="AY24">
            <v>14783</v>
          </cell>
          <cell r="AZ24">
            <v>8</v>
          </cell>
          <cell r="BA24">
            <v>2618</v>
          </cell>
        </row>
        <row r="25">
          <cell r="B25" t="str">
            <v>BOSTON NORTH</v>
          </cell>
          <cell r="C25">
            <v>2</v>
          </cell>
          <cell r="D25">
            <v>290</v>
          </cell>
          <cell r="E25">
            <v>3</v>
          </cell>
          <cell r="F25">
            <v>265</v>
          </cell>
          <cell r="G25">
            <v>17</v>
          </cell>
          <cell r="H25">
            <v>2212</v>
          </cell>
          <cell r="I25">
            <v>2</v>
          </cell>
          <cell r="J25">
            <v>157</v>
          </cell>
          <cell r="K25">
            <v>5</v>
          </cell>
          <cell r="L25">
            <v>615</v>
          </cell>
          <cell r="M25">
            <v>1</v>
          </cell>
          <cell r="N25">
            <v>150</v>
          </cell>
          <cell r="O25">
            <v>6</v>
          </cell>
          <cell r="P25">
            <v>765</v>
          </cell>
          <cell r="Q25">
            <v>1</v>
          </cell>
          <cell r="R25">
            <v>85</v>
          </cell>
          <cell r="S25">
            <v>0</v>
          </cell>
          <cell r="T25">
            <v>0</v>
          </cell>
          <cell r="U25">
            <v>5</v>
          </cell>
          <cell r="V25">
            <v>615</v>
          </cell>
          <cell r="W25">
            <v>1</v>
          </cell>
          <cell r="X25">
            <v>150</v>
          </cell>
          <cell r="Y25">
            <v>1</v>
          </cell>
          <cell r="Z25">
            <v>85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1</v>
          </cell>
          <cell r="AJ25">
            <v>85</v>
          </cell>
          <cell r="AK25">
            <v>0</v>
          </cell>
          <cell r="AL25">
            <v>0</v>
          </cell>
          <cell r="AM25">
            <v>5</v>
          </cell>
          <cell r="AN25">
            <v>615</v>
          </cell>
          <cell r="AO25">
            <v>1</v>
          </cell>
          <cell r="AP25">
            <v>150</v>
          </cell>
          <cell r="AQ25" t="str">
            <v>BOSTON NORTH</v>
          </cell>
          <cell r="AR25">
            <v>58</v>
          </cell>
          <cell r="AS25">
            <v>8264</v>
          </cell>
          <cell r="AT25">
            <v>55</v>
          </cell>
          <cell r="AU25">
            <v>7999</v>
          </cell>
          <cell r="AV25">
            <v>53</v>
          </cell>
          <cell r="AW25">
            <v>7709</v>
          </cell>
          <cell r="AX25">
            <v>52</v>
          </cell>
          <cell r="AY25">
            <v>7705</v>
          </cell>
          <cell r="AZ25">
            <v>0</v>
          </cell>
          <cell r="BA25">
            <v>0</v>
          </cell>
        </row>
        <row r="26">
          <cell r="B26" t="str">
            <v>BOSTON SOUTH/SOUTHWEST</v>
          </cell>
          <cell r="C26">
            <v>1</v>
          </cell>
          <cell r="D26">
            <v>125</v>
          </cell>
          <cell r="E26">
            <v>1</v>
          </cell>
          <cell r="F26">
            <v>181</v>
          </cell>
          <cell r="G26">
            <v>3</v>
          </cell>
          <cell r="H26">
            <v>387</v>
          </cell>
          <cell r="I26">
            <v>1</v>
          </cell>
          <cell r="J26">
            <v>181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</v>
          </cell>
          <cell r="R26">
            <v>253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2</v>
          </cell>
          <cell r="Z26">
            <v>253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2</v>
          </cell>
          <cell r="AJ26">
            <v>253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 t="str">
            <v>BOSTON SOUTH/SOUTHWEST</v>
          </cell>
          <cell r="AR26">
            <v>17</v>
          </cell>
          <cell r="AS26">
            <v>2488</v>
          </cell>
          <cell r="AT26">
            <v>16</v>
          </cell>
          <cell r="AU26">
            <v>2307</v>
          </cell>
          <cell r="AV26">
            <v>15</v>
          </cell>
          <cell r="AW26">
            <v>2182</v>
          </cell>
          <cell r="AX26">
            <v>27</v>
          </cell>
          <cell r="AY26">
            <v>4328</v>
          </cell>
          <cell r="AZ26">
            <v>0</v>
          </cell>
          <cell r="BA26">
            <v>0</v>
          </cell>
        </row>
        <row r="27">
          <cell r="B27" t="str">
            <v>BOSTON SOUTHSHORE</v>
          </cell>
          <cell r="C27">
            <v>2</v>
          </cell>
          <cell r="D27">
            <v>128</v>
          </cell>
          <cell r="E27">
            <v>5</v>
          </cell>
          <cell r="F27">
            <v>813</v>
          </cell>
          <cell r="G27">
            <v>12</v>
          </cell>
          <cell r="H27">
            <v>1443</v>
          </cell>
          <cell r="I27">
            <v>5</v>
          </cell>
          <cell r="J27">
            <v>813</v>
          </cell>
          <cell r="K27">
            <v>3</v>
          </cell>
          <cell r="L27">
            <v>388</v>
          </cell>
          <cell r="M27">
            <v>0</v>
          </cell>
          <cell r="N27">
            <v>0</v>
          </cell>
          <cell r="O27">
            <v>3</v>
          </cell>
          <cell r="P27">
            <v>388</v>
          </cell>
          <cell r="Q27">
            <v>1</v>
          </cell>
          <cell r="R27">
            <v>100</v>
          </cell>
          <cell r="S27">
            <v>1</v>
          </cell>
          <cell r="T27">
            <v>103</v>
          </cell>
          <cell r="U27">
            <v>2</v>
          </cell>
          <cell r="V27">
            <v>138</v>
          </cell>
          <cell r="W27">
            <v>0</v>
          </cell>
          <cell r="X27">
            <v>0</v>
          </cell>
          <cell r="Y27">
            <v>2</v>
          </cell>
          <cell r="Z27">
            <v>350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2</v>
          </cell>
          <cell r="AJ27">
            <v>350</v>
          </cell>
          <cell r="AK27">
            <v>0</v>
          </cell>
          <cell r="AL27">
            <v>0</v>
          </cell>
          <cell r="AM27">
            <v>2</v>
          </cell>
          <cell r="AN27">
            <v>138</v>
          </cell>
          <cell r="AO27">
            <v>0</v>
          </cell>
          <cell r="AP27">
            <v>0</v>
          </cell>
          <cell r="AQ27" t="str">
            <v>BOSTON SOUTHSHORE</v>
          </cell>
          <cell r="AR27">
            <v>60</v>
          </cell>
          <cell r="AS27">
            <v>7430</v>
          </cell>
          <cell r="AT27">
            <v>55</v>
          </cell>
          <cell r="AU27">
            <v>6617</v>
          </cell>
          <cell r="AV27">
            <v>53</v>
          </cell>
          <cell r="AW27">
            <v>6489</v>
          </cell>
          <cell r="AX27">
            <v>47</v>
          </cell>
          <cell r="AY27">
            <v>4818</v>
          </cell>
          <cell r="AZ27">
            <v>1</v>
          </cell>
          <cell r="BA27">
            <v>250</v>
          </cell>
        </row>
        <row r="28">
          <cell r="B28" t="str">
            <v>CAMBRIDGE-LEXINGTON</v>
          </cell>
          <cell r="C28">
            <v>1</v>
          </cell>
          <cell r="D28">
            <v>148</v>
          </cell>
          <cell r="E28">
            <v>0</v>
          </cell>
          <cell r="F28">
            <v>0</v>
          </cell>
          <cell r="G28">
            <v>4</v>
          </cell>
          <cell r="H28">
            <v>679</v>
          </cell>
          <cell r="I28">
            <v>0</v>
          </cell>
          <cell r="J28">
            <v>0</v>
          </cell>
          <cell r="K28">
            <v>2</v>
          </cell>
          <cell r="L28">
            <v>350</v>
          </cell>
          <cell r="M28">
            <v>2</v>
          </cell>
          <cell r="N28">
            <v>301</v>
          </cell>
          <cell r="O28">
            <v>4</v>
          </cell>
          <cell r="P28">
            <v>651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</v>
          </cell>
          <cell r="V28">
            <v>114</v>
          </cell>
          <cell r="W28">
            <v>2</v>
          </cell>
          <cell r="X28">
            <v>316</v>
          </cell>
          <cell r="Y28">
            <v>1</v>
          </cell>
          <cell r="Z28">
            <v>221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</v>
          </cell>
          <cell r="AJ28">
            <v>221</v>
          </cell>
          <cell r="AK28">
            <v>0</v>
          </cell>
          <cell r="AL28">
            <v>0</v>
          </cell>
          <cell r="AM28">
            <v>1</v>
          </cell>
          <cell r="AN28">
            <v>114</v>
          </cell>
          <cell r="AO28">
            <v>2</v>
          </cell>
          <cell r="AP28">
            <v>316</v>
          </cell>
          <cell r="AQ28" t="str">
            <v>CAMBRIDGE-LEXINGTON</v>
          </cell>
          <cell r="AR28">
            <v>23</v>
          </cell>
          <cell r="AS28">
            <v>4571</v>
          </cell>
          <cell r="AT28">
            <v>23</v>
          </cell>
          <cell r="AU28">
            <v>4571</v>
          </cell>
          <cell r="AV28">
            <v>22</v>
          </cell>
          <cell r="AW28">
            <v>4423</v>
          </cell>
          <cell r="AX28">
            <v>34</v>
          </cell>
          <cell r="AY28">
            <v>5529</v>
          </cell>
          <cell r="AZ28">
            <v>1</v>
          </cell>
          <cell r="BA28">
            <v>221</v>
          </cell>
        </row>
        <row r="29">
          <cell r="B29" t="str">
            <v>CARLSBAD-OCEANSIDE</v>
          </cell>
          <cell r="C29">
            <v>3</v>
          </cell>
          <cell r="D29">
            <v>371</v>
          </cell>
          <cell r="E29">
            <v>1</v>
          </cell>
          <cell r="F29">
            <v>150</v>
          </cell>
          <cell r="G29">
            <v>8</v>
          </cell>
          <cell r="H29">
            <v>1407</v>
          </cell>
          <cell r="I29">
            <v>1</v>
          </cell>
          <cell r="J29">
            <v>150</v>
          </cell>
          <cell r="K29">
            <v>1</v>
          </cell>
          <cell r="L29">
            <v>108</v>
          </cell>
          <cell r="M29">
            <v>1</v>
          </cell>
          <cell r="N29">
            <v>250</v>
          </cell>
          <cell r="O29">
            <v>2</v>
          </cell>
          <cell r="P29">
            <v>358</v>
          </cell>
          <cell r="Q29">
            <v>4</v>
          </cell>
          <cell r="R29">
            <v>307</v>
          </cell>
          <cell r="S29">
            <v>0</v>
          </cell>
          <cell r="T29">
            <v>0</v>
          </cell>
          <cell r="U29">
            <v>1</v>
          </cell>
          <cell r="V29">
            <v>108</v>
          </cell>
          <cell r="W29">
            <v>0</v>
          </cell>
          <cell r="X29">
            <v>0</v>
          </cell>
          <cell r="Y29">
            <v>5</v>
          </cell>
          <cell r="Z29">
            <v>557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5</v>
          </cell>
          <cell r="AJ29">
            <v>557</v>
          </cell>
          <cell r="AK29">
            <v>0</v>
          </cell>
          <cell r="AL29">
            <v>0</v>
          </cell>
          <cell r="AM29">
            <v>1</v>
          </cell>
          <cell r="AN29">
            <v>108</v>
          </cell>
          <cell r="AO29">
            <v>0</v>
          </cell>
          <cell r="AP29">
            <v>0</v>
          </cell>
          <cell r="AQ29" t="str">
            <v>CARLSBAD-OCEANSIDE</v>
          </cell>
          <cell r="AR29">
            <v>42</v>
          </cell>
          <cell r="AS29">
            <v>5158</v>
          </cell>
          <cell r="AT29">
            <v>41</v>
          </cell>
          <cell r="AU29">
            <v>5008</v>
          </cell>
          <cell r="AV29">
            <v>38</v>
          </cell>
          <cell r="AW29">
            <v>4637</v>
          </cell>
          <cell r="AX29">
            <v>37</v>
          </cell>
          <cell r="AY29">
            <v>3741</v>
          </cell>
          <cell r="AZ29">
            <v>1</v>
          </cell>
          <cell r="BA29">
            <v>250</v>
          </cell>
        </row>
        <row r="30">
          <cell r="B30" t="str">
            <v>CHESAPEAKE/PORTSMOUTH</v>
          </cell>
          <cell r="C30">
            <v>1</v>
          </cell>
          <cell r="D30">
            <v>135</v>
          </cell>
          <cell r="E30">
            <v>2</v>
          </cell>
          <cell r="F30">
            <v>341</v>
          </cell>
          <cell r="G30">
            <v>8</v>
          </cell>
          <cell r="H30">
            <v>970</v>
          </cell>
          <cell r="I30">
            <v>1</v>
          </cell>
          <cell r="J30">
            <v>91</v>
          </cell>
          <cell r="K30">
            <v>0</v>
          </cell>
          <cell r="L30">
            <v>0</v>
          </cell>
          <cell r="M30">
            <v>2</v>
          </cell>
          <cell r="N30">
            <v>178</v>
          </cell>
          <cell r="O30">
            <v>2</v>
          </cell>
          <cell r="P30">
            <v>178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2</v>
          </cell>
          <cell r="X30">
            <v>178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2</v>
          </cell>
          <cell r="AP30">
            <v>178</v>
          </cell>
          <cell r="AQ30" t="str">
            <v>CHESAPEAKE/PORTSMOUTH</v>
          </cell>
          <cell r="AR30">
            <v>42</v>
          </cell>
          <cell r="AS30">
            <v>3744</v>
          </cell>
          <cell r="AT30">
            <v>40</v>
          </cell>
          <cell r="AU30">
            <v>3403</v>
          </cell>
          <cell r="AV30">
            <v>39</v>
          </cell>
          <cell r="AW30">
            <v>3268</v>
          </cell>
          <cell r="AX30">
            <v>36</v>
          </cell>
          <cell r="AY30">
            <v>3450</v>
          </cell>
          <cell r="AZ30">
            <v>0</v>
          </cell>
          <cell r="BA30">
            <v>0</v>
          </cell>
        </row>
        <row r="31">
          <cell r="B31" t="str">
            <v>CHICAGO AIRPORT</v>
          </cell>
          <cell r="C31">
            <v>2</v>
          </cell>
          <cell r="D31">
            <v>425</v>
          </cell>
          <cell r="E31">
            <v>3</v>
          </cell>
          <cell r="F31">
            <v>455</v>
          </cell>
          <cell r="G31">
            <v>11</v>
          </cell>
          <cell r="H31">
            <v>1947</v>
          </cell>
          <cell r="I31">
            <v>2</v>
          </cell>
          <cell r="J31">
            <v>405</v>
          </cell>
          <cell r="K31">
            <v>1</v>
          </cell>
          <cell r="L31">
            <v>362</v>
          </cell>
          <cell r="M31">
            <v>2</v>
          </cell>
          <cell r="N31">
            <v>313</v>
          </cell>
          <cell r="O31">
            <v>3</v>
          </cell>
          <cell r="P31">
            <v>675</v>
          </cell>
          <cell r="Q31">
            <v>2</v>
          </cell>
          <cell r="R31">
            <v>1229</v>
          </cell>
          <cell r="S31">
            <v>0</v>
          </cell>
          <cell r="T31">
            <v>0</v>
          </cell>
          <cell r="U31">
            <v>1</v>
          </cell>
          <cell r="V31">
            <v>362</v>
          </cell>
          <cell r="W31">
            <v>1</v>
          </cell>
          <cell r="X31">
            <v>61</v>
          </cell>
          <cell r="Y31">
            <v>3</v>
          </cell>
          <cell r="Z31">
            <v>1481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3</v>
          </cell>
          <cell r="AJ31">
            <v>1481</v>
          </cell>
          <cell r="AK31">
            <v>0</v>
          </cell>
          <cell r="AL31">
            <v>0</v>
          </cell>
          <cell r="AM31">
            <v>1</v>
          </cell>
          <cell r="AN31">
            <v>362</v>
          </cell>
          <cell r="AO31">
            <v>1</v>
          </cell>
          <cell r="AP31">
            <v>61</v>
          </cell>
          <cell r="AQ31" t="str">
            <v>CHICAGO AIRPORT</v>
          </cell>
          <cell r="AR31">
            <v>49</v>
          </cell>
          <cell r="AS31">
            <v>10518</v>
          </cell>
          <cell r="AT31">
            <v>46</v>
          </cell>
          <cell r="AU31">
            <v>10063</v>
          </cell>
          <cell r="AV31">
            <v>44</v>
          </cell>
          <cell r="AW31">
            <v>9638</v>
          </cell>
          <cell r="AX31">
            <v>47</v>
          </cell>
          <cell r="AY31">
            <v>10841</v>
          </cell>
          <cell r="AZ31">
            <v>1</v>
          </cell>
          <cell r="BA31">
            <v>252</v>
          </cell>
        </row>
        <row r="32">
          <cell r="B32" t="str">
            <v>CHICAGO CBD</v>
          </cell>
          <cell r="C32">
            <v>1</v>
          </cell>
          <cell r="D32">
            <v>203</v>
          </cell>
          <cell r="E32">
            <v>4</v>
          </cell>
          <cell r="F32">
            <v>1291</v>
          </cell>
          <cell r="G32">
            <v>16</v>
          </cell>
          <cell r="H32">
            <v>4493</v>
          </cell>
          <cell r="I32">
            <v>4</v>
          </cell>
          <cell r="J32">
            <v>1291</v>
          </cell>
          <cell r="K32">
            <v>1</v>
          </cell>
          <cell r="L32">
            <v>412</v>
          </cell>
          <cell r="M32">
            <v>3</v>
          </cell>
          <cell r="N32">
            <v>920</v>
          </cell>
          <cell r="O32">
            <v>4</v>
          </cell>
          <cell r="P32">
            <v>1332</v>
          </cell>
          <cell r="Q32">
            <v>4</v>
          </cell>
          <cell r="R32">
            <v>887</v>
          </cell>
          <cell r="S32">
            <v>0</v>
          </cell>
          <cell r="T32">
            <v>0</v>
          </cell>
          <cell r="U32">
            <v>1</v>
          </cell>
          <cell r="V32">
            <v>412</v>
          </cell>
          <cell r="W32">
            <v>0</v>
          </cell>
          <cell r="X32">
            <v>0</v>
          </cell>
          <cell r="Y32">
            <v>6</v>
          </cell>
          <cell r="Z32">
            <v>1557</v>
          </cell>
          <cell r="AA32">
            <v>1</v>
          </cell>
          <cell r="AB32">
            <v>250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7</v>
          </cell>
          <cell r="AJ32">
            <v>1807</v>
          </cell>
          <cell r="AK32">
            <v>0</v>
          </cell>
          <cell r="AL32">
            <v>0</v>
          </cell>
          <cell r="AM32">
            <v>1</v>
          </cell>
          <cell r="AN32">
            <v>412</v>
          </cell>
          <cell r="AO32">
            <v>0</v>
          </cell>
          <cell r="AP32">
            <v>0</v>
          </cell>
          <cell r="AQ32" t="str">
            <v>CHICAGO CBD</v>
          </cell>
          <cell r="AR32">
            <v>116</v>
          </cell>
          <cell r="AS32">
            <v>32496</v>
          </cell>
          <cell r="AT32">
            <v>112</v>
          </cell>
          <cell r="AU32">
            <v>31205</v>
          </cell>
          <cell r="AV32">
            <v>111</v>
          </cell>
          <cell r="AW32">
            <v>31002</v>
          </cell>
          <cell r="AX32">
            <v>103</v>
          </cell>
          <cell r="AY32">
            <v>31083</v>
          </cell>
          <cell r="AZ32">
            <v>3</v>
          </cell>
          <cell r="BA32">
            <v>920</v>
          </cell>
        </row>
        <row r="33">
          <cell r="B33" t="str">
            <v>CHICAGO DUPAGE CO.</v>
          </cell>
          <cell r="C33">
            <v>6</v>
          </cell>
          <cell r="D33">
            <v>616</v>
          </cell>
          <cell r="E33">
            <v>1</v>
          </cell>
          <cell r="F33">
            <v>127</v>
          </cell>
          <cell r="G33">
            <v>27</v>
          </cell>
          <cell r="H33">
            <v>3136</v>
          </cell>
          <cell r="I33">
            <v>2</v>
          </cell>
          <cell r="J33">
            <v>239</v>
          </cell>
          <cell r="K33">
            <v>4</v>
          </cell>
          <cell r="L33">
            <v>413</v>
          </cell>
          <cell r="M33">
            <v>5</v>
          </cell>
          <cell r="N33">
            <v>568</v>
          </cell>
          <cell r="O33">
            <v>9</v>
          </cell>
          <cell r="P33">
            <v>981</v>
          </cell>
          <cell r="Q33">
            <v>0</v>
          </cell>
          <cell r="R33">
            <v>0</v>
          </cell>
          <cell r="S33">
            <v>1</v>
          </cell>
          <cell r="T33">
            <v>112</v>
          </cell>
          <cell r="U33">
            <v>3</v>
          </cell>
          <cell r="V33">
            <v>257</v>
          </cell>
          <cell r="W33">
            <v>4</v>
          </cell>
          <cell r="X33">
            <v>454</v>
          </cell>
          <cell r="Y33">
            <v>2</v>
          </cell>
          <cell r="Z33">
            <v>270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2</v>
          </cell>
          <cell r="AJ33">
            <v>270</v>
          </cell>
          <cell r="AK33">
            <v>0</v>
          </cell>
          <cell r="AL33">
            <v>0</v>
          </cell>
          <cell r="AM33">
            <v>3</v>
          </cell>
          <cell r="AN33">
            <v>257</v>
          </cell>
          <cell r="AO33">
            <v>4</v>
          </cell>
          <cell r="AP33">
            <v>454</v>
          </cell>
          <cell r="AQ33" t="str">
            <v>CHICAGO DUPAGE CO.</v>
          </cell>
          <cell r="AR33">
            <v>98</v>
          </cell>
          <cell r="AS33">
            <v>14953</v>
          </cell>
          <cell r="AT33">
            <v>97</v>
          </cell>
          <cell r="AU33">
            <v>14826</v>
          </cell>
          <cell r="AV33">
            <v>91</v>
          </cell>
          <cell r="AW33">
            <v>14210</v>
          </cell>
          <cell r="AX33">
            <v>94</v>
          </cell>
          <cell r="AY33">
            <v>13975</v>
          </cell>
          <cell r="AZ33">
            <v>2</v>
          </cell>
          <cell r="BA33">
            <v>270</v>
          </cell>
        </row>
        <row r="34">
          <cell r="B34" t="str">
            <v>CHICAGO NORTH</v>
          </cell>
          <cell r="C34">
            <v>3</v>
          </cell>
          <cell r="D34">
            <v>508</v>
          </cell>
          <cell r="E34">
            <v>1</v>
          </cell>
          <cell r="F34">
            <v>178</v>
          </cell>
          <cell r="G34">
            <v>4</v>
          </cell>
          <cell r="H34">
            <v>686</v>
          </cell>
          <cell r="I34">
            <v>1</v>
          </cell>
          <cell r="J34">
            <v>178</v>
          </cell>
          <cell r="K34">
            <v>1</v>
          </cell>
          <cell r="L34">
            <v>110</v>
          </cell>
          <cell r="M34">
            <v>0</v>
          </cell>
          <cell r="N34">
            <v>0</v>
          </cell>
          <cell r="O34">
            <v>1</v>
          </cell>
          <cell r="P34">
            <v>110</v>
          </cell>
          <cell r="Q34">
            <v>1</v>
          </cell>
          <cell r="R34">
            <v>89</v>
          </cell>
          <cell r="S34">
            <v>0</v>
          </cell>
          <cell r="T34">
            <v>0</v>
          </cell>
          <cell r="U34">
            <v>1</v>
          </cell>
          <cell r="V34">
            <v>110</v>
          </cell>
          <cell r="W34">
            <v>0</v>
          </cell>
          <cell r="X34">
            <v>0</v>
          </cell>
          <cell r="Y34">
            <v>1</v>
          </cell>
          <cell r="Z34">
            <v>89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1</v>
          </cell>
          <cell r="AJ34">
            <v>89</v>
          </cell>
          <cell r="AK34">
            <v>0</v>
          </cell>
          <cell r="AL34">
            <v>0</v>
          </cell>
          <cell r="AM34">
            <v>1</v>
          </cell>
          <cell r="AN34">
            <v>110</v>
          </cell>
          <cell r="AO34">
            <v>0</v>
          </cell>
          <cell r="AP34">
            <v>0</v>
          </cell>
          <cell r="AQ34" t="str">
            <v>CHICAGO NORTH</v>
          </cell>
          <cell r="AR34">
            <v>33</v>
          </cell>
          <cell r="AS34">
            <v>5123</v>
          </cell>
          <cell r="AT34">
            <v>32</v>
          </cell>
          <cell r="AU34">
            <v>4945</v>
          </cell>
          <cell r="AV34">
            <v>29</v>
          </cell>
          <cell r="AW34">
            <v>4437</v>
          </cell>
          <cell r="AX34">
            <v>34</v>
          </cell>
          <cell r="AY34">
            <v>5299</v>
          </cell>
          <cell r="AZ34">
            <v>0</v>
          </cell>
          <cell r="BA34">
            <v>0</v>
          </cell>
        </row>
        <row r="35">
          <cell r="B35" t="str">
            <v>CHICAGO NORTHWEST</v>
          </cell>
          <cell r="C35">
            <v>3</v>
          </cell>
          <cell r="D35">
            <v>365</v>
          </cell>
          <cell r="E35">
            <v>5</v>
          </cell>
          <cell r="F35">
            <v>450</v>
          </cell>
          <cell r="G35">
            <v>25</v>
          </cell>
          <cell r="H35">
            <v>2588</v>
          </cell>
          <cell r="I35">
            <v>5</v>
          </cell>
          <cell r="J35">
            <v>492</v>
          </cell>
          <cell r="K35">
            <v>3</v>
          </cell>
          <cell r="L35">
            <v>456</v>
          </cell>
          <cell r="M35">
            <v>5</v>
          </cell>
          <cell r="N35">
            <v>560</v>
          </cell>
          <cell r="O35">
            <v>8</v>
          </cell>
          <cell r="P35">
            <v>1016</v>
          </cell>
          <cell r="Q35">
            <v>1</v>
          </cell>
          <cell r="R35">
            <v>80</v>
          </cell>
          <cell r="S35">
            <v>1</v>
          </cell>
          <cell r="T35">
            <v>128</v>
          </cell>
          <cell r="U35">
            <v>3</v>
          </cell>
          <cell r="V35">
            <v>456</v>
          </cell>
          <cell r="W35">
            <v>4</v>
          </cell>
          <cell r="X35">
            <v>398</v>
          </cell>
          <cell r="Y35">
            <v>2</v>
          </cell>
          <cell r="Z35">
            <v>242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</v>
          </cell>
          <cell r="AJ35">
            <v>242</v>
          </cell>
          <cell r="AK35">
            <v>0</v>
          </cell>
          <cell r="AL35">
            <v>0</v>
          </cell>
          <cell r="AM35">
            <v>3</v>
          </cell>
          <cell r="AN35">
            <v>456</v>
          </cell>
          <cell r="AO35">
            <v>4</v>
          </cell>
          <cell r="AP35">
            <v>398</v>
          </cell>
          <cell r="AQ35" t="str">
            <v>CHICAGO NORTHWEST</v>
          </cell>
          <cell r="AR35">
            <v>85</v>
          </cell>
          <cell r="AS35">
            <v>11121</v>
          </cell>
          <cell r="AT35">
            <v>80</v>
          </cell>
          <cell r="AU35">
            <v>10671</v>
          </cell>
          <cell r="AV35">
            <v>77</v>
          </cell>
          <cell r="AW35">
            <v>10306</v>
          </cell>
          <cell r="AX35">
            <v>75</v>
          </cell>
          <cell r="AY35">
            <v>10063</v>
          </cell>
          <cell r="AZ35">
            <v>1</v>
          </cell>
          <cell r="BA35">
            <v>162</v>
          </cell>
        </row>
        <row r="36">
          <cell r="B36" t="str">
            <v>CHICAGO SOUTH</v>
          </cell>
          <cell r="C36">
            <v>3</v>
          </cell>
          <cell r="D36">
            <v>342</v>
          </cell>
          <cell r="E36">
            <v>3</v>
          </cell>
          <cell r="F36">
            <v>226</v>
          </cell>
          <cell r="G36">
            <v>14</v>
          </cell>
          <cell r="H36">
            <v>1216</v>
          </cell>
          <cell r="I36">
            <v>2</v>
          </cell>
          <cell r="J36">
            <v>167</v>
          </cell>
          <cell r="K36">
            <v>0</v>
          </cell>
          <cell r="L36">
            <v>0</v>
          </cell>
          <cell r="M36">
            <v>4</v>
          </cell>
          <cell r="N36">
            <v>295</v>
          </cell>
          <cell r="O36">
            <v>4</v>
          </cell>
          <cell r="P36">
            <v>295</v>
          </cell>
          <cell r="Q36">
            <v>2</v>
          </cell>
          <cell r="R36">
            <v>122</v>
          </cell>
          <cell r="S36">
            <v>1</v>
          </cell>
          <cell r="T36">
            <v>85</v>
          </cell>
          <cell r="U36">
            <v>1</v>
          </cell>
          <cell r="V36">
            <v>60</v>
          </cell>
          <cell r="W36">
            <v>2</v>
          </cell>
          <cell r="X36">
            <v>141</v>
          </cell>
          <cell r="Y36">
            <v>3</v>
          </cell>
          <cell r="Z36">
            <v>216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3</v>
          </cell>
          <cell r="AJ36">
            <v>216</v>
          </cell>
          <cell r="AK36">
            <v>0</v>
          </cell>
          <cell r="AL36">
            <v>0</v>
          </cell>
          <cell r="AM36">
            <v>1</v>
          </cell>
          <cell r="AN36">
            <v>60</v>
          </cell>
          <cell r="AO36">
            <v>2</v>
          </cell>
          <cell r="AP36">
            <v>141</v>
          </cell>
          <cell r="AQ36" t="str">
            <v>CHICAGO SOUTH</v>
          </cell>
          <cell r="AR36">
            <v>66</v>
          </cell>
          <cell r="AS36">
            <v>5878</v>
          </cell>
          <cell r="AT36">
            <v>63</v>
          </cell>
          <cell r="AU36">
            <v>5652</v>
          </cell>
          <cell r="AV36">
            <v>60</v>
          </cell>
          <cell r="AW36">
            <v>5310</v>
          </cell>
          <cell r="AX36">
            <v>62</v>
          </cell>
          <cell r="AY36">
            <v>5474</v>
          </cell>
          <cell r="AZ36">
            <v>1</v>
          </cell>
          <cell r="BA36">
            <v>94</v>
          </cell>
        </row>
        <row r="37">
          <cell r="B37" t="str">
            <v>CHICAGO-MIDWAY</v>
          </cell>
          <cell r="C37">
            <v>1</v>
          </cell>
          <cell r="D37">
            <v>86</v>
          </cell>
          <cell r="E37">
            <v>0</v>
          </cell>
          <cell r="F37">
            <v>0</v>
          </cell>
          <cell r="G37">
            <v>4</v>
          </cell>
          <cell r="H37">
            <v>478</v>
          </cell>
          <cell r="I37">
            <v>0</v>
          </cell>
          <cell r="J37">
            <v>0</v>
          </cell>
          <cell r="K37">
            <v>1</v>
          </cell>
          <cell r="L37">
            <v>202</v>
          </cell>
          <cell r="M37">
            <v>2</v>
          </cell>
          <cell r="N37">
            <v>295</v>
          </cell>
          <cell r="O37">
            <v>3</v>
          </cell>
          <cell r="P37">
            <v>497</v>
          </cell>
          <cell r="Q37">
            <v>2</v>
          </cell>
          <cell r="R37">
            <v>330</v>
          </cell>
          <cell r="S37">
            <v>0</v>
          </cell>
          <cell r="T37">
            <v>0</v>
          </cell>
          <cell r="U37">
            <v>1</v>
          </cell>
          <cell r="V37">
            <v>202</v>
          </cell>
          <cell r="W37">
            <v>1</v>
          </cell>
          <cell r="X37">
            <v>150</v>
          </cell>
          <cell r="Y37">
            <v>3</v>
          </cell>
          <cell r="Z37">
            <v>475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3</v>
          </cell>
          <cell r="AJ37">
            <v>475</v>
          </cell>
          <cell r="AK37">
            <v>0</v>
          </cell>
          <cell r="AL37">
            <v>0</v>
          </cell>
          <cell r="AM37">
            <v>1</v>
          </cell>
          <cell r="AN37">
            <v>202</v>
          </cell>
          <cell r="AO37">
            <v>1</v>
          </cell>
          <cell r="AP37">
            <v>150</v>
          </cell>
          <cell r="AQ37" t="str">
            <v>CHICAGO-MIDWAY</v>
          </cell>
          <cell r="AR37">
            <v>45</v>
          </cell>
          <cell r="AS37">
            <v>4291</v>
          </cell>
          <cell r="AT37">
            <v>45</v>
          </cell>
          <cell r="AU37">
            <v>4291</v>
          </cell>
          <cell r="AV37">
            <v>44</v>
          </cell>
          <cell r="AW37">
            <v>4205</v>
          </cell>
          <cell r="AX37">
            <v>40</v>
          </cell>
          <cell r="AY37">
            <v>3340</v>
          </cell>
          <cell r="AZ37">
            <v>1</v>
          </cell>
          <cell r="BA37">
            <v>145</v>
          </cell>
        </row>
        <row r="38">
          <cell r="B38" t="str">
            <v>CHICAGO-OTHER</v>
          </cell>
          <cell r="C38">
            <v>4</v>
          </cell>
          <cell r="D38">
            <v>594</v>
          </cell>
          <cell r="E38">
            <v>1</v>
          </cell>
          <cell r="F38">
            <v>178</v>
          </cell>
          <cell r="G38">
            <v>8</v>
          </cell>
          <cell r="H38">
            <v>1164</v>
          </cell>
          <cell r="I38">
            <v>1</v>
          </cell>
          <cell r="J38">
            <v>178</v>
          </cell>
          <cell r="K38">
            <v>2</v>
          </cell>
          <cell r="L38">
            <v>312</v>
          </cell>
          <cell r="M38">
            <v>2</v>
          </cell>
          <cell r="N38">
            <v>295</v>
          </cell>
          <cell r="O38">
            <v>4</v>
          </cell>
          <cell r="P38">
            <v>607</v>
          </cell>
          <cell r="Q38">
            <v>3</v>
          </cell>
          <cell r="R38">
            <v>419</v>
          </cell>
          <cell r="S38">
            <v>0</v>
          </cell>
          <cell r="T38">
            <v>0</v>
          </cell>
          <cell r="U38">
            <v>2</v>
          </cell>
          <cell r="V38">
            <v>312</v>
          </cell>
          <cell r="W38">
            <v>1</v>
          </cell>
          <cell r="X38">
            <v>150</v>
          </cell>
          <cell r="Y38">
            <v>4</v>
          </cell>
          <cell r="Z38">
            <v>564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4</v>
          </cell>
          <cell r="AJ38">
            <v>564</v>
          </cell>
          <cell r="AK38">
            <v>0</v>
          </cell>
          <cell r="AL38">
            <v>0</v>
          </cell>
          <cell r="AM38">
            <v>2</v>
          </cell>
          <cell r="AN38">
            <v>312</v>
          </cell>
          <cell r="AO38">
            <v>1</v>
          </cell>
          <cell r="AP38">
            <v>150</v>
          </cell>
          <cell r="AQ38" t="str">
            <v>CHICAGO-OTHER</v>
          </cell>
          <cell r="AR38">
            <v>78</v>
          </cell>
          <cell r="AS38">
            <v>9414</v>
          </cell>
          <cell r="AT38">
            <v>77</v>
          </cell>
          <cell r="AU38">
            <v>9236</v>
          </cell>
          <cell r="AV38">
            <v>73</v>
          </cell>
          <cell r="AW38">
            <v>8642</v>
          </cell>
          <cell r="AX38">
            <v>74</v>
          </cell>
          <cell r="AY38">
            <v>8639</v>
          </cell>
          <cell r="AZ38">
            <v>1</v>
          </cell>
          <cell r="BA38">
            <v>145</v>
          </cell>
        </row>
        <row r="39">
          <cell r="B39" t="str">
            <v>CLEARWATER</v>
          </cell>
          <cell r="C39">
            <v>0</v>
          </cell>
          <cell r="D39">
            <v>0</v>
          </cell>
          <cell r="E39">
            <v>3</v>
          </cell>
          <cell r="F39">
            <v>324</v>
          </cell>
          <cell r="G39">
            <v>10</v>
          </cell>
          <cell r="H39">
            <v>987</v>
          </cell>
          <cell r="I39">
            <v>3</v>
          </cell>
          <cell r="J39">
            <v>324</v>
          </cell>
          <cell r="K39">
            <v>1</v>
          </cell>
          <cell r="L39">
            <v>50</v>
          </cell>
          <cell r="M39">
            <v>0</v>
          </cell>
          <cell r="N39">
            <v>0</v>
          </cell>
          <cell r="O39">
            <v>1</v>
          </cell>
          <cell r="P39">
            <v>50</v>
          </cell>
          <cell r="Q39">
            <v>3</v>
          </cell>
          <cell r="R39">
            <v>289</v>
          </cell>
          <cell r="S39">
            <v>0</v>
          </cell>
          <cell r="T39">
            <v>0</v>
          </cell>
          <cell r="U39">
            <v>1</v>
          </cell>
          <cell r="V39">
            <v>50</v>
          </cell>
          <cell r="W39">
            <v>0</v>
          </cell>
          <cell r="X39">
            <v>0</v>
          </cell>
          <cell r="Y39">
            <v>3</v>
          </cell>
          <cell r="Z39">
            <v>289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3</v>
          </cell>
          <cell r="AJ39">
            <v>289</v>
          </cell>
          <cell r="AK39">
            <v>0</v>
          </cell>
          <cell r="AL39">
            <v>0</v>
          </cell>
          <cell r="AM39">
            <v>1</v>
          </cell>
          <cell r="AN39">
            <v>50</v>
          </cell>
          <cell r="AO39">
            <v>0</v>
          </cell>
          <cell r="AP39">
            <v>0</v>
          </cell>
          <cell r="AQ39" t="str">
            <v>CLEARWATER</v>
          </cell>
          <cell r="AR39">
            <v>90</v>
          </cell>
          <cell r="AS39">
            <v>8506</v>
          </cell>
          <cell r="AT39">
            <v>87</v>
          </cell>
          <cell r="AU39">
            <v>8182</v>
          </cell>
          <cell r="AV39">
            <v>87</v>
          </cell>
          <cell r="AW39">
            <v>8182</v>
          </cell>
          <cell r="AX39">
            <v>87</v>
          </cell>
          <cell r="AY39">
            <v>7541</v>
          </cell>
          <cell r="AZ39">
            <v>0</v>
          </cell>
          <cell r="BA39">
            <v>0</v>
          </cell>
        </row>
        <row r="40">
          <cell r="B40" t="str">
            <v>DALLAS NORTH</v>
          </cell>
          <cell r="C40">
            <v>4</v>
          </cell>
          <cell r="D40">
            <v>777</v>
          </cell>
          <cell r="E40">
            <v>2</v>
          </cell>
          <cell r="F40">
            <v>371</v>
          </cell>
          <cell r="G40">
            <v>25</v>
          </cell>
          <cell r="H40">
            <v>3420</v>
          </cell>
          <cell r="I40">
            <v>2</v>
          </cell>
          <cell r="J40">
            <v>266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1</v>
          </cell>
          <cell r="T40">
            <v>139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 t="str">
            <v>DALLAS NORTH</v>
          </cell>
          <cell r="AR40">
            <v>62</v>
          </cell>
          <cell r="AS40">
            <v>10360</v>
          </cell>
          <cell r="AT40">
            <v>60</v>
          </cell>
          <cell r="AU40">
            <v>9989</v>
          </cell>
          <cell r="AV40">
            <v>56</v>
          </cell>
          <cell r="AW40">
            <v>9212</v>
          </cell>
          <cell r="AX40">
            <v>64</v>
          </cell>
          <cell r="AY40">
            <v>11582</v>
          </cell>
          <cell r="AZ40">
            <v>0</v>
          </cell>
          <cell r="BA40">
            <v>0</v>
          </cell>
        </row>
        <row r="41">
          <cell r="B41" t="str">
            <v>DALLAS NORTH AREA</v>
          </cell>
          <cell r="C41">
            <v>5</v>
          </cell>
          <cell r="D41">
            <v>711</v>
          </cell>
          <cell r="E41">
            <v>6</v>
          </cell>
          <cell r="F41">
            <v>536</v>
          </cell>
          <cell r="G41">
            <v>24</v>
          </cell>
          <cell r="H41">
            <v>2742</v>
          </cell>
          <cell r="I41">
            <v>5</v>
          </cell>
          <cell r="J41">
            <v>420</v>
          </cell>
          <cell r="K41">
            <v>1</v>
          </cell>
          <cell r="L41">
            <v>150</v>
          </cell>
          <cell r="M41">
            <v>1</v>
          </cell>
          <cell r="N41">
            <v>86</v>
          </cell>
          <cell r="O41">
            <v>2</v>
          </cell>
          <cell r="P41">
            <v>236</v>
          </cell>
          <cell r="Q41">
            <v>1</v>
          </cell>
          <cell r="R41">
            <v>300</v>
          </cell>
          <cell r="S41">
            <v>1</v>
          </cell>
          <cell r="T41">
            <v>63</v>
          </cell>
          <cell r="U41">
            <v>1</v>
          </cell>
          <cell r="V41">
            <v>150</v>
          </cell>
          <cell r="W41">
            <v>1</v>
          </cell>
          <cell r="X41">
            <v>86</v>
          </cell>
          <cell r="Y41">
            <v>1</v>
          </cell>
          <cell r="Z41">
            <v>300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1</v>
          </cell>
          <cell r="AJ41">
            <v>300</v>
          </cell>
          <cell r="AK41">
            <v>0</v>
          </cell>
          <cell r="AL41">
            <v>0</v>
          </cell>
          <cell r="AM41">
            <v>1</v>
          </cell>
          <cell r="AN41">
            <v>150</v>
          </cell>
          <cell r="AO41">
            <v>1</v>
          </cell>
          <cell r="AP41">
            <v>86</v>
          </cell>
          <cell r="AQ41" t="str">
            <v>DALLAS NORTH AREA</v>
          </cell>
          <cell r="AR41">
            <v>51</v>
          </cell>
          <cell r="AS41">
            <v>5101</v>
          </cell>
          <cell r="AT41">
            <v>45</v>
          </cell>
          <cell r="AU41">
            <v>4565</v>
          </cell>
          <cell r="AV41">
            <v>40</v>
          </cell>
          <cell r="AW41">
            <v>3854</v>
          </cell>
          <cell r="AX41">
            <v>54</v>
          </cell>
          <cell r="AY41">
            <v>5113</v>
          </cell>
          <cell r="AZ41">
            <v>0</v>
          </cell>
          <cell r="BA41">
            <v>0</v>
          </cell>
        </row>
        <row r="42">
          <cell r="B42" t="str">
            <v>DALLAS NORTHWEST</v>
          </cell>
          <cell r="C42">
            <v>2</v>
          </cell>
          <cell r="D42">
            <v>231</v>
          </cell>
          <cell r="E42">
            <v>0</v>
          </cell>
          <cell r="F42">
            <v>0</v>
          </cell>
          <cell r="G42">
            <v>12</v>
          </cell>
          <cell r="H42">
            <v>1386</v>
          </cell>
          <cell r="I42">
            <v>0</v>
          </cell>
          <cell r="J42">
            <v>0</v>
          </cell>
          <cell r="K42">
            <v>1</v>
          </cell>
          <cell r="L42">
            <v>258</v>
          </cell>
          <cell r="M42">
            <v>0</v>
          </cell>
          <cell r="N42">
            <v>0</v>
          </cell>
          <cell r="O42">
            <v>1</v>
          </cell>
          <cell r="P42">
            <v>258</v>
          </cell>
          <cell r="Q42">
            <v>1</v>
          </cell>
          <cell r="R42">
            <v>300</v>
          </cell>
          <cell r="S42">
            <v>0</v>
          </cell>
          <cell r="T42">
            <v>0</v>
          </cell>
          <cell r="U42">
            <v>1</v>
          </cell>
          <cell r="V42">
            <v>258</v>
          </cell>
          <cell r="W42">
            <v>0</v>
          </cell>
          <cell r="X42">
            <v>0</v>
          </cell>
          <cell r="Y42">
            <v>1</v>
          </cell>
          <cell r="Z42">
            <v>300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1</v>
          </cell>
          <cell r="AJ42">
            <v>300</v>
          </cell>
          <cell r="AK42">
            <v>0</v>
          </cell>
          <cell r="AL42">
            <v>0</v>
          </cell>
          <cell r="AM42">
            <v>1</v>
          </cell>
          <cell r="AN42">
            <v>258</v>
          </cell>
          <cell r="AO42">
            <v>0</v>
          </cell>
          <cell r="AP42">
            <v>0</v>
          </cell>
          <cell r="AQ42" t="str">
            <v>DALLAS NORTHWEST</v>
          </cell>
          <cell r="AR42">
            <v>47</v>
          </cell>
          <cell r="AS42">
            <v>6933</v>
          </cell>
          <cell r="AT42">
            <v>47</v>
          </cell>
          <cell r="AU42">
            <v>6933</v>
          </cell>
          <cell r="AV42">
            <v>45</v>
          </cell>
          <cell r="AW42">
            <v>6702</v>
          </cell>
          <cell r="AX42">
            <v>43</v>
          </cell>
          <cell r="AY42">
            <v>5996</v>
          </cell>
          <cell r="AZ42">
            <v>0</v>
          </cell>
          <cell r="BA42">
            <v>0</v>
          </cell>
        </row>
        <row r="43">
          <cell r="B43" t="str">
            <v>DALLAS SOUTH-EAST</v>
          </cell>
          <cell r="C43">
            <v>6</v>
          </cell>
          <cell r="D43">
            <v>292</v>
          </cell>
          <cell r="E43">
            <v>3</v>
          </cell>
          <cell r="F43">
            <v>190</v>
          </cell>
          <cell r="G43">
            <v>24</v>
          </cell>
          <cell r="H43">
            <v>1514</v>
          </cell>
          <cell r="I43">
            <v>3</v>
          </cell>
          <cell r="J43">
            <v>199</v>
          </cell>
          <cell r="K43">
            <v>0</v>
          </cell>
          <cell r="L43">
            <v>0</v>
          </cell>
          <cell r="M43">
            <v>3</v>
          </cell>
          <cell r="N43">
            <v>210</v>
          </cell>
          <cell r="O43">
            <v>3</v>
          </cell>
          <cell r="P43">
            <v>210</v>
          </cell>
          <cell r="Q43">
            <v>2</v>
          </cell>
          <cell r="R43">
            <v>160</v>
          </cell>
          <cell r="S43">
            <v>1</v>
          </cell>
          <cell r="T43">
            <v>74</v>
          </cell>
          <cell r="U43">
            <v>1</v>
          </cell>
          <cell r="V43">
            <v>75</v>
          </cell>
          <cell r="W43">
            <v>2</v>
          </cell>
          <cell r="X43">
            <v>135</v>
          </cell>
          <cell r="Y43">
            <v>2</v>
          </cell>
          <cell r="Z43">
            <v>160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2</v>
          </cell>
          <cell r="AJ43">
            <v>160</v>
          </cell>
          <cell r="AK43">
            <v>0</v>
          </cell>
          <cell r="AL43">
            <v>0</v>
          </cell>
          <cell r="AM43">
            <v>1</v>
          </cell>
          <cell r="AN43">
            <v>75</v>
          </cell>
          <cell r="AO43">
            <v>2</v>
          </cell>
          <cell r="AP43">
            <v>135</v>
          </cell>
          <cell r="AQ43" t="str">
            <v>DALLAS SOUTH-EAST</v>
          </cell>
          <cell r="AR43">
            <v>78</v>
          </cell>
          <cell r="AS43">
            <v>4996</v>
          </cell>
          <cell r="AT43">
            <v>75</v>
          </cell>
          <cell r="AU43">
            <v>4806</v>
          </cell>
          <cell r="AV43">
            <v>69</v>
          </cell>
          <cell r="AW43">
            <v>4514</v>
          </cell>
          <cell r="AX43">
            <v>77</v>
          </cell>
          <cell r="AY43">
            <v>6235</v>
          </cell>
          <cell r="AZ43">
            <v>0</v>
          </cell>
          <cell r="BA43">
            <v>0</v>
          </cell>
        </row>
        <row r="44">
          <cell r="B44" t="str">
            <v>DALLAS-OTHER</v>
          </cell>
          <cell r="C44">
            <v>12</v>
          </cell>
          <cell r="D44">
            <v>1053</v>
          </cell>
          <cell r="E44">
            <v>9</v>
          </cell>
          <cell r="F44">
            <v>726</v>
          </cell>
          <cell r="G44">
            <v>56</v>
          </cell>
          <cell r="H44">
            <v>5128</v>
          </cell>
          <cell r="I44">
            <v>8</v>
          </cell>
          <cell r="J44">
            <v>619</v>
          </cell>
          <cell r="K44">
            <v>2</v>
          </cell>
          <cell r="L44">
            <v>450</v>
          </cell>
          <cell r="M44">
            <v>5</v>
          </cell>
          <cell r="N44">
            <v>366</v>
          </cell>
          <cell r="O44">
            <v>7</v>
          </cell>
          <cell r="P44">
            <v>816</v>
          </cell>
          <cell r="Q44">
            <v>3</v>
          </cell>
          <cell r="R44">
            <v>460</v>
          </cell>
          <cell r="S44">
            <v>2</v>
          </cell>
          <cell r="T44">
            <v>137</v>
          </cell>
          <cell r="U44">
            <v>2</v>
          </cell>
          <cell r="V44">
            <v>225</v>
          </cell>
          <cell r="W44">
            <v>4</v>
          </cell>
          <cell r="X44">
            <v>291</v>
          </cell>
          <cell r="Y44">
            <v>3</v>
          </cell>
          <cell r="Z44">
            <v>460</v>
          </cell>
          <cell r="AA44">
            <v>1</v>
          </cell>
          <cell r="AB44">
            <v>300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4</v>
          </cell>
          <cell r="AJ44">
            <v>760</v>
          </cell>
          <cell r="AK44">
            <v>0</v>
          </cell>
          <cell r="AL44">
            <v>0</v>
          </cell>
          <cell r="AM44">
            <v>2</v>
          </cell>
          <cell r="AN44">
            <v>225</v>
          </cell>
          <cell r="AO44">
            <v>4</v>
          </cell>
          <cell r="AP44">
            <v>291</v>
          </cell>
          <cell r="AQ44" t="str">
            <v>DALLAS-OTHER</v>
          </cell>
          <cell r="AR44">
            <v>158</v>
          </cell>
          <cell r="AS44">
            <v>12986</v>
          </cell>
          <cell r="AT44">
            <v>149</v>
          </cell>
          <cell r="AU44">
            <v>12260</v>
          </cell>
          <cell r="AV44">
            <v>137</v>
          </cell>
          <cell r="AW44">
            <v>11207</v>
          </cell>
          <cell r="AX44">
            <v>179</v>
          </cell>
          <cell r="AY44">
            <v>16994</v>
          </cell>
          <cell r="AZ44">
            <v>1</v>
          </cell>
          <cell r="BA44">
            <v>300</v>
          </cell>
        </row>
        <row r="45">
          <cell r="B45" t="str">
            <v>DALLAS/MARKET CENTER</v>
          </cell>
          <cell r="C45">
            <v>4</v>
          </cell>
          <cell r="D45">
            <v>714</v>
          </cell>
          <cell r="E45">
            <v>1</v>
          </cell>
          <cell r="F45">
            <v>81</v>
          </cell>
          <cell r="G45">
            <v>16</v>
          </cell>
          <cell r="H45">
            <v>4450</v>
          </cell>
          <cell r="I45">
            <v>0</v>
          </cell>
          <cell r="J45">
            <v>0</v>
          </cell>
          <cell r="K45">
            <v>2</v>
          </cell>
          <cell r="L45">
            <v>253</v>
          </cell>
          <cell r="M45">
            <v>2</v>
          </cell>
          <cell r="N45">
            <v>650</v>
          </cell>
          <cell r="O45">
            <v>4</v>
          </cell>
          <cell r="P45">
            <v>903</v>
          </cell>
          <cell r="Q45">
            <v>1</v>
          </cell>
          <cell r="R45">
            <v>100</v>
          </cell>
          <cell r="S45">
            <v>0</v>
          </cell>
          <cell r="T45">
            <v>0</v>
          </cell>
          <cell r="U45">
            <v>1</v>
          </cell>
          <cell r="V45">
            <v>148</v>
          </cell>
          <cell r="W45">
            <v>1</v>
          </cell>
          <cell r="X45">
            <v>105</v>
          </cell>
          <cell r="Y45">
            <v>3</v>
          </cell>
          <cell r="Z45">
            <v>750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3</v>
          </cell>
          <cell r="AJ45">
            <v>750</v>
          </cell>
          <cell r="AK45">
            <v>0</v>
          </cell>
          <cell r="AL45">
            <v>0</v>
          </cell>
          <cell r="AM45">
            <v>1</v>
          </cell>
          <cell r="AN45">
            <v>148</v>
          </cell>
          <cell r="AO45">
            <v>1</v>
          </cell>
          <cell r="AP45">
            <v>105</v>
          </cell>
          <cell r="AQ45" t="str">
            <v>DALLAS/MARKET CENTER</v>
          </cell>
          <cell r="AR45">
            <v>60</v>
          </cell>
          <cell r="AS45">
            <v>15507</v>
          </cell>
          <cell r="AT45">
            <v>59</v>
          </cell>
          <cell r="AU45">
            <v>15426</v>
          </cell>
          <cell r="AV45">
            <v>55</v>
          </cell>
          <cell r="AW45">
            <v>14712</v>
          </cell>
          <cell r="AX45">
            <v>54</v>
          </cell>
          <cell r="AY45">
            <v>15650</v>
          </cell>
          <cell r="AZ45">
            <v>2</v>
          </cell>
          <cell r="BA45">
            <v>650</v>
          </cell>
        </row>
        <row r="46">
          <cell r="B46" t="str">
            <v>DENVER AIRPORT/EAST</v>
          </cell>
          <cell r="C46">
            <v>0</v>
          </cell>
          <cell r="D46">
            <v>0</v>
          </cell>
          <cell r="E46">
            <v>1</v>
          </cell>
          <cell r="F46">
            <v>68</v>
          </cell>
          <cell r="G46">
            <v>18</v>
          </cell>
          <cell r="H46">
            <v>2300</v>
          </cell>
          <cell r="I46">
            <v>1</v>
          </cell>
          <cell r="J46">
            <v>68</v>
          </cell>
          <cell r="K46">
            <v>1</v>
          </cell>
          <cell r="L46">
            <v>174</v>
          </cell>
          <cell r="M46">
            <v>1</v>
          </cell>
          <cell r="N46">
            <v>525</v>
          </cell>
          <cell r="O46">
            <v>2</v>
          </cell>
          <cell r="P46">
            <v>699</v>
          </cell>
          <cell r="Q46">
            <v>1</v>
          </cell>
          <cell r="R46">
            <v>92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1</v>
          </cell>
          <cell r="X46">
            <v>174</v>
          </cell>
          <cell r="Y46">
            <v>2</v>
          </cell>
          <cell r="Z46">
            <v>617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2</v>
          </cell>
          <cell r="AJ46">
            <v>617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1</v>
          </cell>
          <cell r="AP46">
            <v>174</v>
          </cell>
          <cell r="AQ46" t="str">
            <v>DENVER AIRPORT/EAST</v>
          </cell>
          <cell r="AR46">
            <v>63</v>
          </cell>
          <cell r="AS46">
            <v>9825</v>
          </cell>
          <cell r="AT46">
            <v>62</v>
          </cell>
          <cell r="AU46">
            <v>9757</v>
          </cell>
          <cell r="AV46">
            <v>62</v>
          </cell>
          <cell r="AW46">
            <v>9757</v>
          </cell>
          <cell r="AX46">
            <v>63</v>
          </cell>
          <cell r="AY46">
            <v>9667</v>
          </cell>
          <cell r="AZ46">
            <v>1</v>
          </cell>
          <cell r="BA46">
            <v>525</v>
          </cell>
        </row>
        <row r="47">
          <cell r="B47" t="str">
            <v>DENVER CBD</v>
          </cell>
          <cell r="C47">
            <v>1</v>
          </cell>
          <cell r="D47">
            <v>122</v>
          </cell>
          <cell r="E47">
            <v>0</v>
          </cell>
          <cell r="F47">
            <v>0</v>
          </cell>
          <cell r="G47">
            <v>5</v>
          </cell>
          <cell r="H47">
            <v>691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2</v>
          </cell>
          <cell r="N47">
            <v>1280</v>
          </cell>
          <cell r="O47">
            <v>2</v>
          </cell>
          <cell r="P47">
            <v>1280</v>
          </cell>
          <cell r="Q47">
            <v>1</v>
          </cell>
          <cell r="R47">
            <v>100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2</v>
          </cell>
          <cell r="Z47">
            <v>280</v>
          </cell>
          <cell r="AA47">
            <v>0</v>
          </cell>
          <cell r="AB47">
            <v>0</v>
          </cell>
          <cell r="AC47">
            <v>1</v>
          </cell>
          <cell r="AD47">
            <v>1100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3</v>
          </cell>
          <cell r="AJ47">
            <v>1380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 t="str">
            <v>DENVER CBD</v>
          </cell>
          <cell r="AR47">
            <v>34</v>
          </cell>
          <cell r="AS47">
            <v>6790</v>
          </cell>
          <cell r="AT47">
            <v>34</v>
          </cell>
          <cell r="AU47">
            <v>6790</v>
          </cell>
          <cell r="AV47">
            <v>33</v>
          </cell>
          <cell r="AW47">
            <v>6668</v>
          </cell>
          <cell r="AX47">
            <v>30</v>
          </cell>
          <cell r="AY47">
            <v>6742</v>
          </cell>
          <cell r="AZ47">
            <v>2</v>
          </cell>
          <cell r="BA47">
            <v>1280</v>
          </cell>
        </row>
        <row r="48">
          <cell r="B48" t="str">
            <v>DENVER NORTH</v>
          </cell>
          <cell r="C48">
            <v>4</v>
          </cell>
          <cell r="D48">
            <v>727</v>
          </cell>
          <cell r="E48">
            <v>0</v>
          </cell>
          <cell r="F48">
            <v>0</v>
          </cell>
          <cell r="G48">
            <v>13</v>
          </cell>
          <cell r="H48">
            <v>1789</v>
          </cell>
          <cell r="I48">
            <v>0</v>
          </cell>
          <cell r="J48">
            <v>0</v>
          </cell>
          <cell r="K48">
            <v>2</v>
          </cell>
          <cell r="L48">
            <v>396</v>
          </cell>
          <cell r="M48">
            <v>5</v>
          </cell>
          <cell r="N48">
            <v>727</v>
          </cell>
          <cell r="O48">
            <v>7</v>
          </cell>
          <cell r="P48">
            <v>1123</v>
          </cell>
          <cell r="Q48">
            <v>1</v>
          </cell>
          <cell r="R48">
            <v>121</v>
          </cell>
          <cell r="S48">
            <v>0</v>
          </cell>
          <cell r="T48">
            <v>0</v>
          </cell>
          <cell r="U48">
            <v>2</v>
          </cell>
          <cell r="V48">
            <v>396</v>
          </cell>
          <cell r="W48">
            <v>4</v>
          </cell>
          <cell r="X48">
            <v>427</v>
          </cell>
          <cell r="Y48">
            <v>1</v>
          </cell>
          <cell r="Z48">
            <v>300</v>
          </cell>
          <cell r="AA48">
            <v>1</v>
          </cell>
          <cell r="AB48">
            <v>121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2</v>
          </cell>
          <cell r="AJ48">
            <v>421</v>
          </cell>
          <cell r="AK48">
            <v>0</v>
          </cell>
          <cell r="AL48">
            <v>0</v>
          </cell>
          <cell r="AM48">
            <v>2</v>
          </cell>
          <cell r="AN48">
            <v>396</v>
          </cell>
          <cell r="AO48">
            <v>4</v>
          </cell>
          <cell r="AP48">
            <v>427</v>
          </cell>
          <cell r="AQ48" t="str">
            <v>DENVER NORTH</v>
          </cell>
          <cell r="AR48">
            <v>30</v>
          </cell>
          <cell r="AS48">
            <v>3665</v>
          </cell>
          <cell r="AT48">
            <v>30</v>
          </cell>
          <cell r="AU48">
            <v>3665</v>
          </cell>
          <cell r="AV48">
            <v>26</v>
          </cell>
          <cell r="AW48">
            <v>2938</v>
          </cell>
          <cell r="AX48">
            <v>31</v>
          </cell>
          <cell r="AY48">
            <v>3705</v>
          </cell>
          <cell r="AZ48">
            <v>1</v>
          </cell>
          <cell r="BA48">
            <v>300</v>
          </cell>
        </row>
        <row r="49">
          <cell r="B49" t="str">
            <v>DENVER SOUTH</v>
          </cell>
          <cell r="C49">
            <v>4</v>
          </cell>
          <cell r="D49">
            <v>360</v>
          </cell>
          <cell r="E49">
            <v>3</v>
          </cell>
          <cell r="F49">
            <v>260</v>
          </cell>
          <cell r="G49">
            <v>20</v>
          </cell>
          <cell r="H49">
            <v>1914</v>
          </cell>
          <cell r="I49">
            <v>2</v>
          </cell>
          <cell r="J49">
            <v>192</v>
          </cell>
          <cell r="K49">
            <v>2</v>
          </cell>
          <cell r="L49">
            <v>353</v>
          </cell>
          <cell r="M49">
            <v>3</v>
          </cell>
          <cell r="N49">
            <v>341</v>
          </cell>
          <cell r="O49">
            <v>5</v>
          </cell>
          <cell r="P49">
            <v>694</v>
          </cell>
          <cell r="Q49">
            <v>4</v>
          </cell>
          <cell r="R49">
            <v>442</v>
          </cell>
          <cell r="S49">
            <v>0</v>
          </cell>
          <cell r="T49">
            <v>0</v>
          </cell>
          <cell r="U49">
            <v>1</v>
          </cell>
          <cell r="V49">
            <v>74</v>
          </cell>
          <cell r="W49">
            <v>4</v>
          </cell>
          <cell r="X49">
            <v>620</v>
          </cell>
          <cell r="Y49">
            <v>4</v>
          </cell>
          <cell r="Z49">
            <v>442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4</v>
          </cell>
          <cell r="AJ49">
            <v>442</v>
          </cell>
          <cell r="AK49">
            <v>0</v>
          </cell>
          <cell r="AL49">
            <v>0</v>
          </cell>
          <cell r="AM49">
            <v>1</v>
          </cell>
          <cell r="AN49">
            <v>74</v>
          </cell>
          <cell r="AO49">
            <v>4</v>
          </cell>
          <cell r="AP49">
            <v>620</v>
          </cell>
          <cell r="AQ49" t="str">
            <v>DENVER SOUTH</v>
          </cell>
          <cell r="AR49">
            <v>40</v>
          </cell>
          <cell r="AS49">
            <v>6197</v>
          </cell>
          <cell r="AT49">
            <v>37</v>
          </cell>
          <cell r="AU49">
            <v>5937</v>
          </cell>
          <cell r="AV49">
            <v>33</v>
          </cell>
          <cell r="AW49">
            <v>5577</v>
          </cell>
          <cell r="AX49">
            <v>44</v>
          </cell>
          <cell r="AY49">
            <v>6128</v>
          </cell>
          <cell r="AZ49">
            <v>0</v>
          </cell>
          <cell r="BA49">
            <v>0</v>
          </cell>
        </row>
        <row r="50">
          <cell r="B50" t="str">
            <v>DENVER WEST</v>
          </cell>
          <cell r="C50">
            <v>2</v>
          </cell>
          <cell r="D50">
            <v>198</v>
          </cell>
          <cell r="E50">
            <v>1</v>
          </cell>
          <cell r="F50">
            <v>65</v>
          </cell>
          <cell r="G50">
            <v>12</v>
          </cell>
          <cell r="H50">
            <v>1219</v>
          </cell>
          <cell r="I50">
            <v>1</v>
          </cell>
          <cell r="J50">
            <v>65</v>
          </cell>
          <cell r="K50">
            <v>0</v>
          </cell>
          <cell r="L50">
            <v>0</v>
          </cell>
          <cell r="M50">
            <v>1</v>
          </cell>
          <cell r="N50">
            <v>123</v>
          </cell>
          <cell r="O50">
            <v>1</v>
          </cell>
          <cell r="P50">
            <v>123</v>
          </cell>
          <cell r="Q50">
            <v>1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2</v>
          </cell>
          <cell r="X50">
            <v>223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1</v>
          </cell>
          <cell r="AP50">
            <v>123</v>
          </cell>
          <cell r="AQ50" t="str">
            <v>DENVER WEST</v>
          </cell>
          <cell r="AR50">
            <v>36</v>
          </cell>
          <cell r="AS50">
            <v>4185</v>
          </cell>
          <cell r="AT50">
            <v>35</v>
          </cell>
          <cell r="AU50">
            <v>4120</v>
          </cell>
          <cell r="AV50">
            <v>33</v>
          </cell>
          <cell r="AW50">
            <v>3922</v>
          </cell>
          <cell r="AX50">
            <v>40</v>
          </cell>
          <cell r="AY50">
            <v>4399</v>
          </cell>
          <cell r="AZ50">
            <v>0</v>
          </cell>
          <cell r="BA50">
            <v>0</v>
          </cell>
        </row>
        <row r="51">
          <cell r="B51" t="str">
            <v>DETROIT NORTH</v>
          </cell>
          <cell r="C51">
            <v>6</v>
          </cell>
          <cell r="D51">
            <v>789</v>
          </cell>
          <cell r="E51">
            <v>0</v>
          </cell>
          <cell r="F51">
            <v>0</v>
          </cell>
          <cell r="G51">
            <v>20</v>
          </cell>
          <cell r="H51">
            <v>2362</v>
          </cell>
          <cell r="I51">
            <v>1</v>
          </cell>
          <cell r="J51">
            <v>100</v>
          </cell>
          <cell r="K51">
            <v>2</v>
          </cell>
          <cell r="L51">
            <v>233</v>
          </cell>
          <cell r="M51">
            <v>5</v>
          </cell>
          <cell r="N51">
            <v>459</v>
          </cell>
          <cell r="O51">
            <v>7</v>
          </cell>
          <cell r="P51">
            <v>692</v>
          </cell>
          <cell r="Q51">
            <v>3</v>
          </cell>
          <cell r="R51">
            <v>416</v>
          </cell>
          <cell r="S51">
            <v>1</v>
          </cell>
          <cell r="T51">
            <v>100</v>
          </cell>
          <cell r="U51">
            <v>2</v>
          </cell>
          <cell r="V51">
            <v>233</v>
          </cell>
          <cell r="W51">
            <v>1</v>
          </cell>
          <cell r="X51">
            <v>63</v>
          </cell>
          <cell r="Y51">
            <v>7</v>
          </cell>
          <cell r="Z51">
            <v>812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7</v>
          </cell>
          <cell r="AJ51">
            <v>812</v>
          </cell>
          <cell r="AK51">
            <v>0</v>
          </cell>
          <cell r="AL51">
            <v>0</v>
          </cell>
          <cell r="AM51">
            <v>2</v>
          </cell>
          <cell r="AN51">
            <v>233</v>
          </cell>
          <cell r="AO51">
            <v>1</v>
          </cell>
          <cell r="AP51">
            <v>63</v>
          </cell>
          <cell r="AQ51" t="str">
            <v>DETROIT NORTH</v>
          </cell>
          <cell r="AR51">
            <v>61</v>
          </cell>
          <cell r="AS51">
            <v>7734</v>
          </cell>
          <cell r="AT51">
            <v>61</v>
          </cell>
          <cell r="AU51">
            <v>7734</v>
          </cell>
          <cell r="AV51">
            <v>55</v>
          </cell>
          <cell r="AW51">
            <v>6945</v>
          </cell>
          <cell r="AX51">
            <v>64</v>
          </cell>
          <cell r="AY51">
            <v>8094</v>
          </cell>
          <cell r="AZ51">
            <v>4</v>
          </cell>
          <cell r="BA51">
            <v>396</v>
          </cell>
        </row>
        <row r="52">
          <cell r="B52" t="str">
            <v>DETROIT NORTHEAST</v>
          </cell>
          <cell r="C52">
            <v>4</v>
          </cell>
          <cell r="D52">
            <v>316</v>
          </cell>
          <cell r="E52">
            <v>5</v>
          </cell>
          <cell r="F52">
            <v>510</v>
          </cell>
          <cell r="G52">
            <v>18</v>
          </cell>
          <cell r="H52">
            <v>1703</v>
          </cell>
          <cell r="I52">
            <v>5</v>
          </cell>
          <cell r="J52">
            <v>510</v>
          </cell>
          <cell r="K52">
            <v>2</v>
          </cell>
          <cell r="L52">
            <v>159</v>
          </cell>
          <cell r="M52">
            <v>1</v>
          </cell>
          <cell r="N52">
            <v>100</v>
          </cell>
          <cell r="O52">
            <v>3</v>
          </cell>
          <cell r="P52">
            <v>259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</v>
          </cell>
          <cell r="V52">
            <v>79</v>
          </cell>
          <cell r="W52">
            <v>2</v>
          </cell>
          <cell r="X52">
            <v>180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</v>
          </cell>
          <cell r="AN52">
            <v>79</v>
          </cell>
          <cell r="AO52">
            <v>2</v>
          </cell>
          <cell r="AP52">
            <v>180</v>
          </cell>
          <cell r="AQ52" t="str">
            <v>DETROIT NORTHEAST</v>
          </cell>
          <cell r="AR52">
            <v>58</v>
          </cell>
          <cell r="AS52">
            <v>5793</v>
          </cell>
          <cell r="AT52">
            <v>53</v>
          </cell>
          <cell r="AU52">
            <v>5283</v>
          </cell>
          <cell r="AV52">
            <v>49</v>
          </cell>
          <cell r="AW52">
            <v>4967</v>
          </cell>
          <cell r="AX52">
            <v>60</v>
          </cell>
          <cell r="AY52">
            <v>5870</v>
          </cell>
          <cell r="AZ52">
            <v>0</v>
          </cell>
          <cell r="BA52">
            <v>0</v>
          </cell>
        </row>
        <row r="53">
          <cell r="B53" t="str">
            <v>DETROIT NORTHWEST</v>
          </cell>
          <cell r="C53">
            <v>2</v>
          </cell>
          <cell r="D53">
            <v>273</v>
          </cell>
          <cell r="E53">
            <v>1</v>
          </cell>
          <cell r="F53">
            <v>109</v>
          </cell>
          <cell r="G53">
            <v>10</v>
          </cell>
          <cell r="H53">
            <v>1116</v>
          </cell>
          <cell r="I53">
            <v>2</v>
          </cell>
          <cell r="J53">
            <v>184</v>
          </cell>
          <cell r="K53">
            <v>3</v>
          </cell>
          <cell r="L53">
            <v>260</v>
          </cell>
          <cell r="M53">
            <v>3</v>
          </cell>
          <cell r="N53">
            <v>260</v>
          </cell>
          <cell r="O53">
            <v>6</v>
          </cell>
          <cell r="P53">
            <v>520</v>
          </cell>
          <cell r="Q53">
            <v>0</v>
          </cell>
          <cell r="R53">
            <v>0</v>
          </cell>
          <cell r="S53">
            <v>1</v>
          </cell>
          <cell r="T53">
            <v>75</v>
          </cell>
          <cell r="U53">
            <v>2</v>
          </cell>
          <cell r="V53">
            <v>172</v>
          </cell>
          <cell r="W53">
            <v>3</v>
          </cell>
          <cell r="X53">
            <v>288</v>
          </cell>
          <cell r="Y53">
            <v>1</v>
          </cell>
          <cell r="Z53">
            <v>60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1</v>
          </cell>
          <cell r="AJ53">
            <v>60</v>
          </cell>
          <cell r="AK53">
            <v>0</v>
          </cell>
          <cell r="AL53">
            <v>0</v>
          </cell>
          <cell r="AM53">
            <v>2</v>
          </cell>
          <cell r="AN53">
            <v>172</v>
          </cell>
          <cell r="AO53">
            <v>3</v>
          </cell>
          <cell r="AP53">
            <v>288</v>
          </cell>
          <cell r="AQ53" t="str">
            <v>DETROIT NORTHWEST</v>
          </cell>
          <cell r="AR53">
            <v>39</v>
          </cell>
          <cell r="AS53">
            <v>5445</v>
          </cell>
          <cell r="AT53">
            <v>38</v>
          </cell>
          <cell r="AU53">
            <v>5336</v>
          </cell>
          <cell r="AV53">
            <v>36</v>
          </cell>
          <cell r="AW53">
            <v>5063</v>
          </cell>
          <cell r="AX53">
            <v>42</v>
          </cell>
          <cell r="AY53">
            <v>5639</v>
          </cell>
          <cell r="AZ53">
            <v>1</v>
          </cell>
          <cell r="BA53">
            <v>60</v>
          </cell>
        </row>
        <row r="54">
          <cell r="B54" t="str">
            <v>DETROIT SOUTHWEST-AIRPORT</v>
          </cell>
          <cell r="C54">
            <v>5</v>
          </cell>
          <cell r="D54">
            <v>532</v>
          </cell>
          <cell r="E54">
            <v>7</v>
          </cell>
          <cell r="F54">
            <v>524</v>
          </cell>
          <cell r="G54">
            <v>25</v>
          </cell>
          <cell r="H54">
            <v>2404</v>
          </cell>
          <cell r="I54">
            <v>8</v>
          </cell>
          <cell r="J54">
            <v>640</v>
          </cell>
          <cell r="K54">
            <v>2</v>
          </cell>
          <cell r="L54">
            <v>412</v>
          </cell>
          <cell r="M54">
            <v>5</v>
          </cell>
          <cell r="N54">
            <v>419</v>
          </cell>
          <cell r="O54">
            <v>7</v>
          </cell>
          <cell r="P54">
            <v>831</v>
          </cell>
          <cell r="Q54">
            <v>2</v>
          </cell>
          <cell r="R54">
            <v>186</v>
          </cell>
          <cell r="S54">
            <v>2</v>
          </cell>
          <cell r="T54">
            <v>186</v>
          </cell>
          <cell r="U54">
            <v>1</v>
          </cell>
          <cell r="V54">
            <v>8</v>
          </cell>
          <cell r="W54">
            <v>5</v>
          </cell>
          <cell r="X54">
            <v>723</v>
          </cell>
          <cell r="Y54">
            <v>3</v>
          </cell>
          <cell r="Z54">
            <v>286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3</v>
          </cell>
          <cell r="AJ54">
            <v>286</v>
          </cell>
          <cell r="AK54">
            <v>0</v>
          </cell>
          <cell r="AL54">
            <v>0</v>
          </cell>
          <cell r="AM54">
            <v>1</v>
          </cell>
          <cell r="AN54">
            <v>8</v>
          </cell>
          <cell r="AO54">
            <v>5</v>
          </cell>
          <cell r="AP54">
            <v>723</v>
          </cell>
          <cell r="AQ54" t="str">
            <v>DETROIT SOUTHWEST-AIRPORT</v>
          </cell>
          <cell r="AR54">
            <v>99</v>
          </cell>
          <cell r="AS54">
            <v>11200</v>
          </cell>
          <cell r="AT54">
            <v>92</v>
          </cell>
          <cell r="AU54">
            <v>10676</v>
          </cell>
          <cell r="AV54">
            <v>87</v>
          </cell>
          <cell r="AW54">
            <v>10144</v>
          </cell>
          <cell r="AX54">
            <v>90</v>
          </cell>
          <cell r="AY54">
            <v>10605</v>
          </cell>
          <cell r="AZ54">
            <v>1</v>
          </cell>
          <cell r="BA54">
            <v>100</v>
          </cell>
        </row>
        <row r="55">
          <cell r="B55" t="str">
            <v>DETROIT/DEARBORN</v>
          </cell>
          <cell r="C55">
            <v>0</v>
          </cell>
          <cell r="D55">
            <v>0</v>
          </cell>
          <cell r="E55">
            <v>1</v>
          </cell>
          <cell r="F55">
            <v>148</v>
          </cell>
          <cell r="G55">
            <v>3</v>
          </cell>
          <cell r="H55">
            <v>314</v>
          </cell>
          <cell r="I55">
            <v>1</v>
          </cell>
          <cell r="J55">
            <v>93</v>
          </cell>
          <cell r="K55">
            <v>0</v>
          </cell>
          <cell r="L55">
            <v>0</v>
          </cell>
          <cell r="M55">
            <v>1</v>
          </cell>
          <cell r="N55">
            <v>198</v>
          </cell>
          <cell r="O55">
            <v>1</v>
          </cell>
          <cell r="P55">
            <v>198</v>
          </cell>
          <cell r="Q55">
            <v>1</v>
          </cell>
          <cell r="R55">
            <v>100</v>
          </cell>
          <cell r="S55">
            <v>1</v>
          </cell>
          <cell r="T55">
            <v>93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2</v>
          </cell>
          <cell r="Z55">
            <v>298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2</v>
          </cell>
          <cell r="AJ55">
            <v>298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 t="str">
            <v>DETROIT/DEARBORN</v>
          </cell>
          <cell r="AR55">
            <v>52</v>
          </cell>
          <cell r="AS55">
            <v>7372</v>
          </cell>
          <cell r="AT55">
            <v>51</v>
          </cell>
          <cell r="AU55">
            <v>7224</v>
          </cell>
          <cell r="AV55">
            <v>51</v>
          </cell>
          <cell r="AW55">
            <v>7224</v>
          </cell>
          <cell r="AX55">
            <v>49</v>
          </cell>
          <cell r="AY55">
            <v>7221</v>
          </cell>
          <cell r="AZ55">
            <v>1</v>
          </cell>
          <cell r="BA55">
            <v>198</v>
          </cell>
        </row>
        <row r="56">
          <cell r="B56" t="str">
            <v>ENGLEWOOD</v>
          </cell>
          <cell r="C56">
            <v>5</v>
          </cell>
          <cell r="D56">
            <v>591</v>
          </cell>
          <cell r="E56">
            <v>0</v>
          </cell>
          <cell r="F56">
            <v>0</v>
          </cell>
          <cell r="G56">
            <v>21</v>
          </cell>
          <cell r="H56">
            <v>2536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 t="str">
            <v>ENGLEWOOD</v>
          </cell>
          <cell r="AR56">
            <v>32</v>
          </cell>
          <cell r="AS56">
            <v>4664</v>
          </cell>
          <cell r="AT56">
            <v>32</v>
          </cell>
          <cell r="AU56">
            <v>4664</v>
          </cell>
          <cell r="AV56">
            <v>27</v>
          </cell>
          <cell r="AW56">
            <v>4073</v>
          </cell>
          <cell r="AX56">
            <v>34</v>
          </cell>
          <cell r="AY56">
            <v>4645</v>
          </cell>
          <cell r="AZ56">
            <v>0</v>
          </cell>
          <cell r="BA56">
            <v>0</v>
          </cell>
        </row>
        <row r="57">
          <cell r="B57" t="str">
            <v>ESSEX COUNTY</v>
          </cell>
          <cell r="C57">
            <v>2</v>
          </cell>
          <cell r="D57">
            <v>217</v>
          </cell>
          <cell r="E57">
            <v>2</v>
          </cell>
          <cell r="F57">
            <v>256</v>
          </cell>
          <cell r="G57">
            <v>10</v>
          </cell>
          <cell r="H57">
            <v>1162</v>
          </cell>
          <cell r="I57">
            <v>2</v>
          </cell>
          <cell r="J57">
            <v>256</v>
          </cell>
          <cell r="K57">
            <v>3</v>
          </cell>
          <cell r="L57">
            <v>307</v>
          </cell>
          <cell r="M57">
            <v>0</v>
          </cell>
          <cell r="N57">
            <v>0</v>
          </cell>
          <cell r="O57">
            <v>3</v>
          </cell>
          <cell r="P57">
            <v>307</v>
          </cell>
          <cell r="Q57">
            <v>1</v>
          </cell>
          <cell r="R57">
            <v>65</v>
          </cell>
          <cell r="S57">
            <v>0</v>
          </cell>
          <cell r="T57">
            <v>0</v>
          </cell>
          <cell r="U57">
            <v>3</v>
          </cell>
          <cell r="V57">
            <v>307</v>
          </cell>
          <cell r="W57">
            <v>0</v>
          </cell>
          <cell r="X57">
            <v>0</v>
          </cell>
          <cell r="Y57">
            <v>1</v>
          </cell>
          <cell r="Z57">
            <v>65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1</v>
          </cell>
          <cell r="AJ57">
            <v>65</v>
          </cell>
          <cell r="AK57">
            <v>0</v>
          </cell>
          <cell r="AL57">
            <v>0</v>
          </cell>
          <cell r="AM57">
            <v>3</v>
          </cell>
          <cell r="AN57">
            <v>307</v>
          </cell>
          <cell r="AO57">
            <v>0</v>
          </cell>
          <cell r="AP57">
            <v>0</v>
          </cell>
          <cell r="AQ57" t="str">
            <v>ESSEX COUNTY</v>
          </cell>
          <cell r="AR57">
            <v>65</v>
          </cell>
          <cell r="AS57">
            <v>6221</v>
          </cell>
          <cell r="AT57">
            <v>63</v>
          </cell>
          <cell r="AU57">
            <v>5965</v>
          </cell>
          <cell r="AV57">
            <v>61</v>
          </cell>
          <cell r="AW57">
            <v>5748</v>
          </cell>
          <cell r="AX57">
            <v>65</v>
          </cell>
          <cell r="AY57">
            <v>5504</v>
          </cell>
          <cell r="AZ57">
            <v>0</v>
          </cell>
          <cell r="BA57">
            <v>0</v>
          </cell>
        </row>
        <row r="58">
          <cell r="B58" t="str">
            <v>FAIRFAX</v>
          </cell>
          <cell r="C58">
            <v>7</v>
          </cell>
          <cell r="D58">
            <v>999</v>
          </cell>
          <cell r="E58">
            <v>5</v>
          </cell>
          <cell r="F58">
            <v>630</v>
          </cell>
          <cell r="G58">
            <v>28</v>
          </cell>
          <cell r="H58">
            <v>3569</v>
          </cell>
          <cell r="I58">
            <v>5</v>
          </cell>
          <cell r="J58">
            <v>696</v>
          </cell>
          <cell r="K58">
            <v>1</v>
          </cell>
          <cell r="L58">
            <v>233</v>
          </cell>
          <cell r="M58">
            <v>4</v>
          </cell>
          <cell r="N58">
            <v>551</v>
          </cell>
          <cell r="O58">
            <v>5</v>
          </cell>
          <cell r="P58">
            <v>784</v>
          </cell>
          <cell r="Q58">
            <v>3</v>
          </cell>
          <cell r="R58">
            <v>844</v>
          </cell>
          <cell r="S58">
            <v>2</v>
          </cell>
          <cell r="T58">
            <v>273</v>
          </cell>
          <cell r="U58">
            <v>1</v>
          </cell>
          <cell r="V58">
            <v>233</v>
          </cell>
          <cell r="W58">
            <v>2</v>
          </cell>
          <cell r="X58">
            <v>253</v>
          </cell>
          <cell r="Y58">
            <v>4</v>
          </cell>
          <cell r="Z58">
            <v>630</v>
          </cell>
          <cell r="AA58">
            <v>1</v>
          </cell>
          <cell r="AB58">
            <v>512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5</v>
          </cell>
          <cell r="AJ58">
            <v>1142</v>
          </cell>
          <cell r="AK58">
            <v>0</v>
          </cell>
          <cell r="AL58">
            <v>0</v>
          </cell>
          <cell r="AM58">
            <v>1</v>
          </cell>
          <cell r="AN58">
            <v>233</v>
          </cell>
          <cell r="AO58">
            <v>2</v>
          </cell>
          <cell r="AP58">
            <v>253</v>
          </cell>
          <cell r="AQ58" t="str">
            <v>FAIRFAX</v>
          </cell>
          <cell r="AR58">
            <v>78</v>
          </cell>
          <cell r="AS58">
            <v>13582</v>
          </cell>
          <cell r="AT58">
            <v>73</v>
          </cell>
          <cell r="AU58">
            <v>12952</v>
          </cell>
          <cell r="AV58">
            <v>66</v>
          </cell>
          <cell r="AW58">
            <v>11953</v>
          </cell>
          <cell r="AX58">
            <v>77</v>
          </cell>
          <cell r="AY58">
            <v>13648</v>
          </cell>
          <cell r="AZ58">
            <v>2</v>
          </cell>
          <cell r="BA58">
            <v>298</v>
          </cell>
        </row>
        <row r="59">
          <cell r="B59" t="str">
            <v>FREDERICK-ROCKVILLE</v>
          </cell>
          <cell r="C59">
            <v>3</v>
          </cell>
          <cell r="D59">
            <v>318</v>
          </cell>
          <cell r="E59">
            <v>1</v>
          </cell>
          <cell r="F59">
            <v>80</v>
          </cell>
          <cell r="G59">
            <v>15</v>
          </cell>
          <cell r="H59">
            <v>1658</v>
          </cell>
          <cell r="I59">
            <v>1</v>
          </cell>
          <cell r="J59">
            <v>80</v>
          </cell>
          <cell r="K59">
            <v>1</v>
          </cell>
          <cell r="L59">
            <v>90</v>
          </cell>
          <cell r="M59">
            <v>1</v>
          </cell>
          <cell r="N59">
            <v>70</v>
          </cell>
          <cell r="O59">
            <v>2</v>
          </cell>
          <cell r="P59">
            <v>160</v>
          </cell>
          <cell r="Q59">
            <v>2</v>
          </cell>
          <cell r="R59">
            <v>310</v>
          </cell>
          <cell r="S59">
            <v>0</v>
          </cell>
          <cell r="T59">
            <v>0</v>
          </cell>
          <cell r="U59">
            <v>1</v>
          </cell>
          <cell r="V59">
            <v>90</v>
          </cell>
          <cell r="W59">
            <v>1</v>
          </cell>
          <cell r="X59">
            <v>70</v>
          </cell>
          <cell r="Y59">
            <v>2</v>
          </cell>
          <cell r="Z59">
            <v>310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2</v>
          </cell>
          <cell r="AJ59">
            <v>310</v>
          </cell>
          <cell r="AK59">
            <v>0</v>
          </cell>
          <cell r="AL59">
            <v>0</v>
          </cell>
          <cell r="AM59">
            <v>1</v>
          </cell>
          <cell r="AN59">
            <v>90</v>
          </cell>
          <cell r="AO59">
            <v>1</v>
          </cell>
          <cell r="AP59">
            <v>70</v>
          </cell>
          <cell r="AQ59" t="str">
            <v>FREDERICK-ROCKVILLE</v>
          </cell>
          <cell r="AR59">
            <v>48</v>
          </cell>
          <cell r="AS59">
            <v>6688</v>
          </cell>
          <cell r="AT59">
            <v>47</v>
          </cell>
          <cell r="AU59">
            <v>6608</v>
          </cell>
          <cell r="AV59">
            <v>44</v>
          </cell>
          <cell r="AW59">
            <v>6290</v>
          </cell>
          <cell r="AX59">
            <v>50</v>
          </cell>
          <cell r="AY59">
            <v>6824</v>
          </cell>
          <cell r="AZ59">
            <v>0</v>
          </cell>
          <cell r="BA59">
            <v>0</v>
          </cell>
        </row>
        <row r="60">
          <cell r="B60" t="str">
            <v>HOLLYWOOD-BEVERLY HILLS</v>
          </cell>
          <cell r="C60">
            <v>1</v>
          </cell>
          <cell r="D60">
            <v>50</v>
          </cell>
          <cell r="E60">
            <v>2</v>
          </cell>
          <cell r="F60">
            <v>287</v>
          </cell>
          <cell r="G60">
            <v>8</v>
          </cell>
          <cell r="H60">
            <v>750</v>
          </cell>
          <cell r="I60">
            <v>2</v>
          </cell>
          <cell r="J60">
            <v>287</v>
          </cell>
          <cell r="K60">
            <v>0</v>
          </cell>
          <cell r="L60">
            <v>0</v>
          </cell>
          <cell r="M60">
            <v>2</v>
          </cell>
          <cell r="N60">
            <v>503</v>
          </cell>
          <cell r="O60">
            <v>2</v>
          </cell>
          <cell r="P60">
            <v>503</v>
          </cell>
          <cell r="Q60">
            <v>1</v>
          </cell>
          <cell r="R60">
            <v>192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3</v>
          </cell>
          <cell r="Z60">
            <v>695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3</v>
          </cell>
          <cell r="AJ60">
            <v>695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 t="str">
            <v>HOLLYWOOD-BEVERLY HILLS</v>
          </cell>
          <cell r="AR60">
            <v>98</v>
          </cell>
          <cell r="AS60">
            <v>11844</v>
          </cell>
          <cell r="AT60">
            <v>96</v>
          </cell>
          <cell r="AU60">
            <v>11557</v>
          </cell>
          <cell r="AV60">
            <v>95</v>
          </cell>
          <cell r="AW60">
            <v>11507</v>
          </cell>
          <cell r="AX60">
            <v>104</v>
          </cell>
          <cell r="AY60">
            <v>11632</v>
          </cell>
          <cell r="AZ60">
            <v>2</v>
          </cell>
          <cell r="BA60">
            <v>503</v>
          </cell>
        </row>
        <row r="61">
          <cell r="B61" t="str">
            <v>HOUSTON EAST/BAYTOWN</v>
          </cell>
          <cell r="C61">
            <v>6</v>
          </cell>
          <cell r="D61">
            <v>355</v>
          </cell>
          <cell r="E61">
            <v>2</v>
          </cell>
          <cell r="F61">
            <v>114</v>
          </cell>
          <cell r="G61">
            <v>26</v>
          </cell>
          <cell r="H61">
            <v>1816</v>
          </cell>
          <cell r="I61">
            <v>3</v>
          </cell>
          <cell r="J61">
            <v>186</v>
          </cell>
          <cell r="K61">
            <v>1</v>
          </cell>
          <cell r="L61">
            <v>36</v>
          </cell>
          <cell r="M61">
            <v>3</v>
          </cell>
          <cell r="N61">
            <v>242</v>
          </cell>
          <cell r="O61">
            <v>4</v>
          </cell>
          <cell r="P61">
            <v>278</v>
          </cell>
          <cell r="Q61">
            <v>3</v>
          </cell>
          <cell r="R61">
            <v>265</v>
          </cell>
          <cell r="S61">
            <v>1</v>
          </cell>
          <cell r="T61">
            <v>72</v>
          </cell>
          <cell r="U61">
            <v>2</v>
          </cell>
          <cell r="V61">
            <v>96</v>
          </cell>
          <cell r="W61">
            <v>1</v>
          </cell>
          <cell r="X61">
            <v>60</v>
          </cell>
          <cell r="Y61">
            <v>4</v>
          </cell>
          <cell r="Z61">
            <v>387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4</v>
          </cell>
          <cell r="AJ61">
            <v>387</v>
          </cell>
          <cell r="AK61">
            <v>0</v>
          </cell>
          <cell r="AL61">
            <v>0</v>
          </cell>
          <cell r="AM61">
            <v>2</v>
          </cell>
          <cell r="AN61">
            <v>96</v>
          </cell>
          <cell r="AO61">
            <v>1</v>
          </cell>
          <cell r="AP61">
            <v>60</v>
          </cell>
          <cell r="AQ61" t="str">
            <v>HOUSTON EAST/NASA/BAYTOWN</v>
          </cell>
          <cell r="AR61">
            <v>86</v>
          </cell>
          <cell r="AS61">
            <v>8631</v>
          </cell>
          <cell r="AT61">
            <v>84</v>
          </cell>
          <cell r="AU61">
            <v>8517</v>
          </cell>
          <cell r="AV61">
            <v>78</v>
          </cell>
          <cell r="AW61">
            <v>8162</v>
          </cell>
          <cell r="AX61">
            <v>81</v>
          </cell>
          <cell r="AY61">
            <v>8164</v>
          </cell>
          <cell r="AZ61">
            <v>1</v>
          </cell>
          <cell r="BA61">
            <v>122</v>
          </cell>
        </row>
        <row r="62">
          <cell r="B62" t="str">
            <v>HOUSTON EAST/NASA/BAYTOWN</v>
          </cell>
          <cell r="C62">
            <v>6</v>
          </cell>
          <cell r="D62">
            <v>355</v>
          </cell>
          <cell r="E62">
            <v>2</v>
          </cell>
          <cell r="F62">
            <v>114</v>
          </cell>
          <cell r="G62">
            <v>26</v>
          </cell>
          <cell r="H62">
            <v>1816</v>
          </cell>
          <cell r="I62">
            <v>3</v>
          </cell>
          <cell r="J62">
            <v>186</v>
          </cell>
          <cell r="K62">
            <v>1</v>
          </cell>
          <cell r="L62">
            <v>36</v>
          </cell>
          <cell r="M62">
            <v>3</v>
          </cell>
          <cell r="N62">
            <v>242</v>
          </cell>
          <cell r="O62">
            <v>4</v>
          </cell>
          <cell r="P62">
            <v>278</v>
          </cell>
          <cell r="Q62">
            <v>3</v>
          </cell>
          <cell r="R62">
            <v>265</v>
          </cell>
          <cell r="S62">
            <v>1</v>
          </cell>
          <cell r="T62">
            <v>72</v>
          </cell>
          <cell r="U62">
            <v>2</v>
          </cell>
          <cell r="V62">
            <v>96</v>
          </cell>
          <cell r="W62">
            <v>1</v>
          </cell>
          <cell r="X62">
            <v>60</v>
          </cell>
          <cell r="Y62">
            <v>4</v>
          </cell>
          <cell r="Z62">
            <v>387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4</v>
          </cell>
          <cell r="AJ62">
            <v>387</v>
          </cell>
          <cell r="AK62">
            <v>0</v>
          </cell>
          <cell r="AL62">
            <v>0</v>
          </cell>
          <cell r="AM62">
            <v>2</v>
          </cell>
          <cell r="AN62">
            <v>96</v>
          </cell>
          <cell r="AO62">
            <v>1</v>
          </cell>
          <cell r="AP62">
            <v>60</v>
          </cell>
          <cell r="AQ62" t="str">
            <v>HOUSTON EAST/NASA/BAYTOWN</v>
          </cell>
          <cell r="AR62">
            <v>86</v>
          </cell>
          <cell r="AS62">
            <v>8631</v>
          </cell>
          <cell r="AT62">
            <v>84</v>
          </cell>
          <cell r="AU62">
            <v>8517</v>
          </cell>
          <cell r="AV62">
            <v>78</v>
          </cell>
          <cell r="AW62">
            <v>8162</v>
          </cell>
          <cell r="AX62">
            <v>81</v>
          </cell>
          <cell r="AY62">
            <v>8164</v>
          </cell>
          <cell r="AZ62">
            <v>1</v>
          </cell>
          <cell r="BA62">
            <v>122</v>
          </cell>
        </row>
        <row r="63">
          <cell r="B63" t="str">
            <v>HOUSTON NORTH</v>
          </cell>
          <cell r="C63">
            <v>14</v>
          </cell>
          <cell r="D63">
            <v>1222</v>
          </cell>
          <cell r="E63">
            <v>13</v>
          </cell>
          <cell r="F63">
            <v>903</v>
          </cell>
          <cell r="G63">
            <v>54</v>
          </cell>
          <cell r="H63">
            <v>4503</v>
          </cell>
          <cell r="I63">
            <v>11</v>
          </cell>
          <cell r="J63">
            <v>865</v>
          </cell>
          <cell r="K63">
            <v>5</v>
          </cell>
          <cell r="L63">
            <v>701</v>
          </cell>
          <cell r="M63">
            <v>3</v>
          </cell>
          <cell r="N63">
            <v>162</v>
          </cell>
          <cell r="O63">
            <v>8</v>
          </cell>
          <cell r="P63">
            <v>863</v>
          </cell>
          <cell r="Q63">
            <v>2</v>
          </cell>
          <cell r="R63">
            <v>225</v>
          </cell>
          <cell r="S63">
            <v>3</v>
          </cell>
          <cell r="T63">
            <v>292</v>
          </cell>
          <cell r="U63">
            <v>6</v>
          </cell>
          <cell r="V63">
            <v>466</v>
          </cell>
          <cell r="W63">
            <v>2</v>
          </cell>
          <cell r="X63">
            <v>397</v>
          </cell>
          <cell r="Y63">
            <v>1</v>
          </cell>
          <cell r="Z63">
            <v>65</v>
          </cell>
          <cell r="AA63">
            <v>1</v>
          </cell>
          <cell r="AB63">
            <v>160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2</v>
          </cell>
          <cell r="AJ63">
            <v>225</v>
          </cell>
          <cell r="AK63">
            <v>0</v>
          </cell>
          <cell r="AL63">
            <v>0</v>
          </cell>
          <cell r="AM63">
            <v>6</v>
          </cell>
          <cell r="AN63">
            <v>466</v>
          </cell>
          <cell r="AO63">
            <v>2</v>
          </cell>
          <cell r="AP63">
            <v>397</v>
          </cell>
          <cell r="AQ63" t="str">
            <v>HOUSTON NORTH</v>
          </cell>
          <cell r="AR63">
            <v>107</v>
          </cell>
          <cell r="AS63">
            <v>12984</v>
          </cell>
          <cell r="AT63">
            <v>94</v>
          </cell>
          <cell r="AU63">
            <v>12081</v>
          </cell>
          <cell r="AV63">
            <v>80</v>
          </cell>
          <cell r="AW63">
            <v>10859</v>
          </cell>
          <cell r="AX63">
            <v>105</v>
          </cell>
          <cell r="AY63">
            <v>12446</v>
          </cell>
          <cell r="AZ63">
            <v>0</v>
          </cell>
          <cell r="BA63">
            <v>0</v>
          </cell>
        </row>
        <row r="64">
          <cell r="B64" t="str">
            <v>HOUSTON NORTHWEST</v>
          </cell>
          <cell r="C64">
            <v>2</v>
          </cell>
          <cell r="D64">
            <v>191</v>
          </cell>
          <cell r="E64">
            <v>6</v>
          </cell>
          <cell r="F64">
            <v>444</v>
          </cell>
          <cell r="G64">
            <v>30</v>
          </cell>
          <cell r="H64">
            <v>2785</v>
          </cell>
          <cell r="I64">
            <v>4</v>
          </cell>
          <cell r="J64">
            <v>236</v>
          </cell>
          <cell r="K64">
            <v>2</v>
          </cell>
          <cell r="L64">
            <v>253</v>
          </cell>
          <cell r="M64">
            <v>1</v>
          </cell>
          <cell r="N64">
            <v>60</v>
          </cell>
          <cell r="O64">
            <v>3</v>
          </cell>
          <cell r="P64">
            <v>313</v>
          </cell>
          <cell r="Q64">
            <v>1</v>
          </cell>
          <cell r="R64">
            <v>52</v>
          </cell>
          <cell r="S64">
            <v>0</v>
          </cell>
          <cell r="T64">
            <v>0</v>
          </cell>
          <cell r="U64">
            <v>2</v>
          </cell>
          <cell r="V64">
            <v>253</v>
          </cell>
          <cell r="W64">
            <v>1</v>
          </cell>
          <cell r="X64">
            <v>60</v>
          </cell>
          <cell r="Y64">
            <v>1</v>
          </cell>
          <cell r="Z64">
            <v>52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1</v>
          </cell>
          <cell r="AJ64">
            <v>52</v>
          </cell>
          <cell r="AK64">
            <v>0</v>
          </cell>
          <cell r="AL64">
            <v>0</v>
          </cell>
          <cell r="AM64">
            <v>2</v>
          </cell>
          <cell r="AN64">
            <v>253</v>
          </cell>
          <cell r="AO64">
            <v>1</v>
          </cell>
          <cell r="AP64">
            <v>60</v>
          </cell>
          <cell r="AQ64" t="str">
            <v>HOUSTON NORTHWEST</v>
          </cell>
          <cell r="AR64">
            <v>72</v>
          </cell>
          <cell r="AS64">
            <v>8887</v>
          </cell>
          <cell r="AT64">
            <v>66</v>
          </cell>
          <cell r="AU64">
            <v>8443</v>
          </cell>
          <cell r="AV64">
            <v>64</v>
          </cell>
          <cell r="AW64">
            <v>8252</v>
          </cell>
          <cell r="AX64">
            <v>69</v>
          </cell>
          <cell r="AY64">
            <v>8415</v>
          </cell>
          <cell r="AZ64">
            <v>0</v>
          </cell>
          <cell r="BA64">
            <v>0</v>
          </cell>
        </row>
        <row r="65">
          <cell r="B65" t="str">
            <v>HOUSTON SOUTHWEST</v>
          </cell>
          <cell r="C65">
            <v>2</v>
          </cell>
          <cell r="D65">
            <v>145</v>
          </cell>
          <cell r="E65">
            <v>0</v>
          </cell>
          <cell r="F65">
            <v>0</v>
          </cell>
          <cell r="G65">
            <v>15</v>
          </cell>
          <cell r="H65">
            <v>1269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2</v>
          </cell>
          <cell r="N65">
            <v>391</v>
          </cell>
          <cell r="O65">
            <v>2</v>
          </cell>
          <cell r="P65">
            <v>391</v>
          </cell>
          <cell r="Q65">
            <v>1</v>
          </cell>
          <cell r="R65">
            <v>150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1</v>
          </cell>
          <cell r="X65">
            <v>90</v>
          </cell>
          <cell r="Y65">
            <v>1</v>
          </cell>
          <cell r="Z65">
            <v>301</v>
          </cell>
          <cell r="AA65">
            <v>1</v>
          </cell>
          <cell r="AB65">
            <v>150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2</v>
          </cell>
          <cell r="AJ65">
            <v>451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1</v>
          </cell>
          <cell r="AP65">
            <v>90</v>
          </cell>
          <cell r="AQ65" t="str">
            <v>HOUSTON SOUTHWEST</v>
          </cell>
          <cell r="AR65">
            <v>42</v>
          </cell>
          <cell r="AS65">
            <v>4587</v>
          </cell>
          <cell r="AT65">
            <v>42</v>
          </cell>
          <cell r="AU65">
            <v>4587</v>
          </cell>
          <cell r="AV65">
            <v>40</v>
          </cell>
          <cell r="AW65">
            <v>4442</v>
          </cell>
          <cell r="AX65">
            <v>41</v>
          </cell>
          <cell r="AY65">
            <v>4451</v>
          </cell>
          <cell r="AZ65">
            <v>1</v>
          </cell>
          <cell r="BA65">
            <v>301</v>
          </cell>
        </row>
        <row r="66">
          <cell r="B66" t="str">
            <v>HOUSTON WEST</v>
          </cell>
          <cell r="C66">
            <v>2</v>
          </cell>
          <cell r="D66">
            <v>436</v>
          </cell>
          <cell r="E66">
            <v>1</v>
          </cell>
          <cell r="F66">
            <v>76</v>
          </cell>
          <cell r="G66">
            <v>22</v>
          </cell>
          <cell r="H66">
            <v>2925</v>
          </cell>
          <cell r="I66">
            <v>1</v>
          </cell>
          <cell r="J66">
            <v>76</v>
          </cell>
          <cell r="K66">
            <v>1</v>
          </cell>
          <cell r="L66">
            <v>69</v>
          </cell>
          <cell r="M66">
            <v>1</v>
          </cell>
          <cell r="N66">
            <v>38</v>
          </cell>
          <cell r="O66">
            <v>2</v>
          </cell>
          <cell r="P66">
            <v>107</v>
          </cell>
          <cell r="Q66">
            <v>1</v>
          </cell>
          <cell r="R66">
            <v>100</v>
          </cell>
          <cell r="S66">
            <v>0</v>
          </cell>
          <cell r="T66">
            <v>0</v>
          </cell>
          <cell r="U66">
            <v>1</v>
          </cell>
          <cell r="V66">
            <v>69</v>
          </cell>
          <cell r="W66">
            <v>1</v>
          </cell>
          <cell r="X66">
            <v>38</v>
          </cell>
          <cell r="Y66">
            <v>1</v>
          </cell>
          <cell r="Z66">
            <v>100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1</v>
          </cell>
          <cell r="AJ66">
            <v>100</v>
          </cell>
          <cell r="AK66">
            <v>0</v>
          </cell>
          <cell r="AL66">
            <v>0</v>
          </cell>
          <cell r="AM66">
            <v>1</v>
          </cell>
          <cell r="AN66">
            <v>69</v>
          </cell>
          <cell r="AO66">
            <v>1</v>
          </cell>
          <cell r="AP66">
            <v>38</v>
          </cell>
          <cell r="AQ66" t="str">
            <v>HOUSTON WEST</v>
          </cell>
          <cell r="AR66">
            <v>49</v>
          </cell>
          <cell r="AS66">
            <v>9664</v>
          </cell>
          <cell r="AT66">
            <v>48</v>
          </cell>
          <cell r="AU66">
            <v>9588</v>
          </cell>
          <cell r="AV66">
            <v>46</v>
          </cell>
          <cell r="AW66">
            <v>9152</v>
          </cell>
          <cell r="AX66">
            <v>54</v>
          </cell>
          <cell r="AY66">
            <v>10616</v>
          </cell>
          <cell r="AZ66">
            <v>0</v>
          </cell>
          <cell r="BA66">
            <v>0</v>
          </cell>
        </row>
        <row r="67">
          <cell r="B67" t="str">
            <v>HOUSTON/SOUTH</v>
          </cell>
          <cell r="C67">
            <v>3</v>
          </cell>
          <cell r="D67">
            <v>141</v>
          </cell>
          <cell r="E67">
            <v>4</v>
          </cell>
          <cell r="F67">
            <v>455</v>
          </cell>
          <cell r="G67">
            <v>14</v>
          </cell>
          <cell r="H67">
            <v>1121</v>
          </cell>
          <cell r="I67">
            <v>3</v>
          </cell>
          <cell r="J67">
            <v>413</v>
          </cell>
          <cell r="K67">
            <v>7</v>
          </cell>
          <cell r="L67">
            <v>2178</v>
          </cell>
          <cell r="M67">
            <v>4</v>
          </cell>
          <cell r="N67">
            <v>344</v>
          </cell>
          <cell r="O67">
            <v>11</v>
          </cell>
          <cell r="P67">
            <v>2522</v>
          </cell>
          <cell r="Q67">
            <v>4</v>
          </cell>
          <cell r="R67">
            <v>724</v>
          </cell>
          <cell r="S67">
            <v>0</v>
          </cell>
          <cell r="T67">
            <v>0</v>
          </cell>
          <cell r="U67">
            <v>4</v>
          </cell>
          <cell r="V67">
            <v>613</v>
          </cell>
          <cell r="W67">
            <v>6</v>
          </cell>
          <cell r="X67">
            <v>709</v>
          </cell>
          <cell r="Y67">
            <v>5</v>
          </cell>
          <cell r="Z67">
            <v>1924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5</v>
          </cell>
          <cell r="AJ67">
            <v>1924</v>
          </cell>
          <cell r="AK67">
            <v>0</v>
          </cell>
          <cell r="AL67">
            <v>0</v>
          </cell>
          <cell r="AM67">
            <v>4</v>
          </cell>
          <cell r="AN67">
            <v>613</v>
          </cell>
          <cell r="AO67">
            <v>6</v>
          </cell>
          <cell r="AP67">
            <v>709</v>
          </cell>
          <cell r="AQ67" t="str">
            <v>HOUSTON/SOUTH</v>
          </cell>
          <cell r="AR67">
            <v>48</v>
          </cell>
          <cell r="AS67">
            <v>7416</v>
          </cell>
          <cell r="AT67">
            <v>44</v>
          </cell>
          <cell r="AU67">
            <v>6961</v>
          </cell>
          <cell r="AV67">
            <v>41</v>
          </cell>
          <cell r="AW67">
            <v>6820</v>
          </cell>
          <cell r="AX67">
            <v>48</v>
          </cell>
          <cell r="AY67">
            <v>8321</v>
          </cell>
          <cell r="AZ67">
            <v>1</v>
          </cell>
          <cell r="BA67">
            <v>1200</v>
          </cell>
        </row>
        <row r="68">
          <cell r="B68" t="str">
            <v>IRVING NORTH</v>
          </cell>
          <cell r="C68">
            <v>6</v>
          </cell>
          <cell r="D68">
            <v>764</v>
          </cell>
          <cell r="E68">
            <v>3</v>
          </cell>
          <cell r="F68">
            <v>235</v>
          </cell>
          <cell r="G68">
            <v>31</v>
          </cell>
          <cell r="H68">
            <v>3704</v>
          </cell>
          <cell r="I68">
            <v>2</v>
          </cell>
          <cell r="J68">
            <v>135</v>
          </cell>
          <cell r="K68">
            <v>2</v>
          </cell>
          <cell r="L68">
            <v>321</v>
          </cell>
          <cell r="M68">
            <v>2</v>
          </cell>
          <cell r="N68">
            <v>239</v>
          </cell>
          <cell r="O68">
            <v>4</v>
          </cell>
          <cell r="P68">
            <v>560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2</v>
          </cell>
          <cell r="V68">
            <v>321</v>
          </cell>
          <cell r="W68">
            <v>2</v>
          </cell>
          <cell r="X68">
            <v>239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2</v>
          </cell>
          <cell r="AN68">
            <v>321</v>
          </cell>
          <cell r="AO68">
            <v>2</v>
          </cell>
          <cell r="AP68">
            <v>239</v>
          </cell>
          <cell r="AQ68" t="str">
            <v>IRVING NORTH</v>
          </cell>
          <cell r="AR68">
            <v>73</v>
          </cell>
          <cell r="AS68">
            <v>11464</v>
          </cell>
          <cell r="AT68">
            <v>70</v>
          </cell>
          <cell r="AU68">
            <v>11229</v>
          </cell>
          <cell r="AV68">
            <v>64</v>
          </cell>
          <cell r="AW68">
            <v>10465</v>
          </cell>
          <cell r="AX68">
            <v>46</v>
          </cell>
          <cell r="AY68">
            <v>7660</v>
          </cell>
          <cell r="AZ68">
            <v>0</v>
          </cell>
          <cell r="BA68">
            <v>0</v>
          </cell>
        </row>
        <row r="69">
          <cell r="B69" t="str">
            <v>IRVING SOUTH/GRAND PRAIRIE</v>
          </cell>
          <cell r="C69">
            <v>1</v>
          </cell>
          <cell r="D69">
            <v>50</v>
          </cell>
          <cell r="E69">
            <v>0</v>
          </cell>
          <cell r="F69">
            <v>0</v>
          </cell>
          <cell r="G69">
            <v>8</v>
          </cell>
          <cell r="H69">
            <v>872</v>
          </cell>
          <cell r="I69">
            <v>0</v>
          </cell>
          <cell r="J69">
            <v>0</v>
          </cell>
          <cell r="K69">
            <v>1</v>
          </cell>
          <cell r="L69">
            <v>300</v>
          </cell>
          <cell r="M69">
            <v>1</v>
          </cell>
          <cell r="N69">
            <v>70</v>
          </cell>
          <cell r="O69">
            <v>2</v>
          </cell>
          <cell r="P69">
            <v>370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1</v>
          </cell>
          <cell r="X69">
            <v>70</v>
          </cell>
          <cell r="Y69">
            <v>0</v>
          </cell>
          <cell r="Z69">
            <v>0</v>
          </cell>
          <cell r="AA69">
            <v>1</v>
          </cell>
          <cell r="AB69">
            <v>300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1</v>
          </cell>
          <cell r="AJ69">
            <v>300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1</v>
          </cell>
          <cell r="AP69">
            <v>70</v>
          </cell>
          <cell r="AQ69" t="str">
            <v>IRVING SOUTH/GRAND PRAIRIE</v>
          </cell>
          <cell r="AR69">
            <v>29</v>
          </cell>
          <cell r="AS69">
            <v>2889</v>
          </cell>
          <cell r="AT69">
            <v>29</v>
          </cell>
          <cell r="AU69">
            <v>2889</v>
          </cell>
          <cell r="AV69">
            <v>28</v>
          </cell>
          <cell r="AW69">
            <v>2839</v>
          </cell>
          <cell r="AX69">
            <v>48</v>
          </cell>
          <cell r="AY69">
            <v>5646</v>
          </cell>
          <cell r="AZ69">
            <v>1</v>
          </cell>
          <cell r="BA69">
            <v>300</v>
          </cell>
        </row>
        <row r="70">
          <cell r="B70" t="str">
            <v>KISSIMMEE EAST</v>
          </cell>
          <cell r="C70">
            <v>2</v>
          </cell>
          <cell r="D70">
            <v>215</v>
          </cell>
          <cell r="E70">
            <v>1</v>
          </cell>
          <cell r="F70">
            <v>162</v>
          </cell>
          <cell r="G70">
            <v>6</v>
          </cell>
          <cell r="H70">
            <v>2083</v>
          </cell>
          <cell r="I70">
            <v>2</v>
          </cell>
          <cell r="J70">
            <v>1568</v>
          </cell>
          <cell r="K70">
            <v>1</v>
          </cell>
          <cell r="L70">
            <v>2880</v>
          </cell>
          <cell r="M70">
            <v>2</v>
          </cell>
          <cell r="N70">
            <v>1464</v>
          </cell>
          <cell r="O70">
            <v>3</v>
          </cell>
          <cell r="P70">
            <v>4344</v>
          </cell>
          <cell r="Q70">
            <v>0</v>
          </cell>
          <cell r="R70">
            <v>0</v>
          </cell>
          <cell r="S70">
            <v>1</v>
          </cell>
          <cell r="T70">
            <v>1406</v>
          </cell>
          <cell r="U70">
            <v>0</v>
          </cell>
          <cell r="V70">
            <v>0</v>
          </cell>
          <cell r="W70">
            <v>1</v>
          </cell>
          <cell r="X70">
            <v>2880</v>
          </cell>
          <cell r="Y70">
            <v>1</v>
          </cell>
          <cell r="Z70">
            <v>264</v>
          </cell>
          <cell r="AA70">
            <v>1</v>
          </cell>
          <cell r="AB70">
            <v>1200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2</v>
          </cell>
          <cell r="AJ70">
            <v>1464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1</v>
          </cell>
          <cell r="AP70">
            <v>2880</v>
          </cell>
          <cell r="AQ70" t="str">
            <v>KISSIMMEE EAST</v>
          </cell>
          <cell r="AR70">
            <v>101</v>
          </cell>
          <cell r="AS70">
            <v>18773</v>
          </cell>
          <cell r="AT70">
            <v>100</v>
          </cell>
          <cell r="AU70">
            <v>18611</v>
          </cell>
          <cell r="AV70">
            <v>98</v>
          </cell>
          <cell r="AW70">
            <v>18396</v>
          </cell>
          <cell r="AX70">
            <v>104</v>
          </cell>
          <cell r="AY70">
            <v>13730</v>
          </cell>
          <cell r="AZ70">
            <v>2</v>
          </cell>
          <cell r="BA70">
            <v>1464</v>
          </cell>
        </row>
        <row r="71">
          <cell r="B71" t="str">
            <v>KISSIMMEE WEST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3</v>
          </cell>
          <cell r="H71">
            <v>383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 t="str">
            <v>KISSIMMEE WEST</v>
          </cell>
          <cell r="AR71">
            <v>34</v>
          </cell>
          <cell r="AS71">
            <v>10473</v>
          </cell>
          <cell r="AT71">
            <v>34</v>
          </cell>
          <cell r="AU71">
            <v>10473</v>
          </cell>
          <cell r="AV71">
            <v>34</v>
          </cell>
          <cell r="AW71">
            <v>10473</v>
          </cell>
          <cell r="AX71">
            <v>36</v>
          </cell>
          <cell r="AY71">
            <v>11368</v>
          </cell>
          <cell r="AZ71">
            <v>0</v>
          </cell>
          <cell r="BA71">
            <v>0</v>
          </cell>
        </row>
        <row r="72">
          <cell r="B72" t="str">
            <v>LA JOLLA-POINT LOMA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</v>
          </cell>
          <cell r="L72">
            <v>175</v>
          </cell>
          <cell r="M72">
            <v>4</v>
          </cell>
          <cell r="N72">
            <v>438</v>
          </cell>
          <cell r="O72">
            <v>5</v>
          </cell>
          <cell r="P72">
            <v>613</v>
          </cell>
          <cell r="Q72">
            <v>3</v>
          </cell>
          <cell r="R72">
            <v>752</v>
          </cell>
          <cell r="S72">
            <v>0</v>
          </cell>
          <cell r="T72">
            <v>0</v>
          </cell>
          <cell r="U72">
            <v>2</v>
          </cell>
          <cell r="V72">
            <v>203</v>
          </cell>
          <cell r="W72">
            <v>2</v>
          </cell>
          <cell r="X72">
            <v>200</v>
          </cell>
          <cell r="Y72">
            <v>4</v>
          </cell>
          <cell r="Z72">
            <v>962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4</v>
          </cell>
          <cell r="AJ72">
            <v>962</v>
          </cell>
          <cell r="AK72">
            <v>0</v>
          </cell>
          <cell r="AL72">
            <v>0</v>
          </cell>
          <cell r="AM72">
            <v>2</v>
          </cell>
          <cell r="AN72">
            <v>203</v>
          </cell>
          <cell r="AO72">
            <v>2</v>
          </cell>
          <cell r="AP72">
            <v>200</v>
          </cell>
          <cell r="AQ72" t="str">
            <v>LA JOLLA-POINT LOMA</v>
          </cell>
          <cell r="AR72">
            <v>63</v>
          </cell>
          <cell r="AS72">
            <v>8340</v>
          </cell>
          <cell r="AT72">
            <v>63</v>
          </cell>
          <cell r="AU72">
            <v>8340</v>
          </cell>
          <cell r="AV72">
            <v>63</v>
          </cell>
          <cell r="AW72">
            <v>8340</v>
          </cell>
          <cell r="AX72">
            <v>68</v>
          </cell>
          <cell r="AY72">
            <v>8277</v>
          </cell>
          <cell r="AZ72">
            <v>1</v>
          </cell>
          <cell r="BA72">
            <v>210</v>
          </cell>
        </row>
        <row r="73">
          <cell r="B73" t="str">
            <v>LAKE BUENA VISTA</v>
          </cell>
          <cell r="C73">
            <v>2</v>
          </cell>
          <cell r="D73">
            <v>176</v>
          </cell>
          <cell r="E73">
            <v>2</v>
          </cell>
          <cell r="F73">
            <v>1503</v>
          </cell>
          <cell r="G73">
            <v>12</v>
          </cell>
          <cell r="H73">
            <v>7138</v>
          </cell>
          <cell r="I73">
            <v>2</v>
          </cell>
          <cell r="J73">
            <v>1503</v>
          </cell>
          <cell r="K73">
            <v>0</v>
          </cell>
          <cell r="L73">
            <v>0</v>
          </cell>
          <cell r="M73">
            <v>3</v>
          </cell>
          <cell r="N73">
            <v>970</v>
          </cell>
          <cell r="O73">
            <v>3</v>
          </cell>
          <cell r="P73">
            <v>970</v>
          </cell>
          <cell r="Q73">
            <v>3</v>
          </cell>
          <cell r="R73">
            <v>840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5</v>
          </cell>
          <cell r="Z73">
            <v>1540</v>
          </cell>
          <cell r="AA73">
            <v>1</v>
          </cell>
          <cell r="AB73">
            <v>270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6</v>
          </cell>
          <cell r="AJ73">
            <v>1810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 t="str">
            <v>LAKE BUENA VISTA</v>
          </cell>
          <cell r="AR73">
            <v>46</v>
          </cell>
          <cell r="AS73">
            <v>33924</v>
          </cell>
          <cell r="AT73">
            <v>44</v>
          </cell>
          <cell r="AU73">
            <v>32421</v>
          </cell>
          <cell r="AV73">
            <v>42</v>
          </cell>
          <cell r="AW73">
            <v>32245</v>
          </cell>
          <cell r="AX73">
            <v>49</v>
          </cell>
          <cell r="AY73">
            <v>33055</v>
          </cell>
          <cell r="AZ73">
            <v>3</v>
          </cell>
          <cell r="BA73">
            <v>970</v>
          </cell>
        </row>
        <row r="74">
          <cell r="B74" t="str">
            <v>LAS VEGAS STRIP</v>
          </cell>
          <cell r="C74">
            <v>4</v>
          </cell>
          <cell r="D74">
            <v>3514</v>
          </cell>
          <cell r="E74">
            <v>0</v>
          </cell>
          <cell r="F74">
            <v>0</v>
          </cell>
          <cell r="G74">
            <v>16</v>
          </cell>
          <cell r="H74">
            <v>18011</v>
          </cell>
          <cell r="I74">
            <v>1</v>
          </cell>
          <cell r="J74">
            <v>716</v>
          </cell>
          <cell r="K74">
            <v>1</v>
          </cell>
          <cell r="L74">
            <v>303</v>
          </cell>
          <cell r="M74">
            <v>1</v>
          </cell>
          <cell r="N74">
            <v>2455</v>
          </cell>
          <cell r="O74">
            <v>2</v>
          </cell>
          <cell r="P74">
            <v>2758</v>
          </cell>
          <cell r="Q74">
            <v>0</v>
          </cell>
          <cell r="R74">
            <v>0</v>
          </cell>
          <cell r="S74">
            <v>1</v>
          </cell>
          <cell r="T74">
            <v>716</v>
          </cell>
          <cell r="U74">
            <v>1</v>
          </cell>
          <cell r="V74">
            <v>303</v>
          </cell>
          <cell r="W74">
            <v>0</v>
          </cell>
          <cell r="X74">
            <v>0</v>
          </cell>
          <cell r="Y74">
            <v>1</v>
          </cell>
          <cell r="Z74">
            <v>2455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1</v>
          </cell>
          <cell r="AJ74">
            <v>2455</v>
          </cell>
          <cell r="AK74">
            <v>0</v>
          </cell>
          <cell r="AL74">
            <v>0</v>
          </cell>
          <cell r="AM74">
            <v>1</v>
          </cell>
          <cell r="AN74">
            <v>303</v>
          </cell>
          <cell r="AO74">
            <v>0</v>
          </cell>
          <cell r="AP74">
            <v>0</v>
          </cell>
          <cell r="AQ74" t="str">
            <v>LAS VEGAS STRIP</v>
          </cell>
          <cell r="AR74">
            <v>89</v>
          </cell>
          <cell r="AS74">
            <v>79010</v>
          </cell>
          <cell r="AT74">
            <v>89</v>
          </cell>
          <cell r="AU74">
            <v>79010</v>
          </cell>
          <cell r="AV74">
            <v>85</v>
          </cell>
          <cell r="AW74">
            <v>75496</v>
          </cell>
          <cell r="AX74">
            <v>89</v>
          </cell>
          <cell r="AY74">
            <v>79010</v>
          </cell>
          <cell r="AZ74">
            <v>1</v>
          </cell>
          <cell r="BA74">
            <v>2455</v>
          </cell>
        </row>
        <row r="75">
          <cell r="B75" t="str">
            <v>LAS VEGAS-NORTH</v>
          </cell>
          <cell r="C75">
            <v>3</v>
          </cell>
          <cell r="D75">
            <v>350</v>
          </cell>
          <cell r="E75">
            <v>1</v>
          </cell>
          <cell r="F75">
            <v>87</v>
          </cell>
          <cell r="G75">
            <v>4</v>
          </cell>
          <cell r="H75">
            <v>437</v>
          </cell>
          <cell r="I75">
            <v>1</v>
          </cell>
          <cell r="J75">
            <v>87</v>
          </cell>
          <cell r="K75">
            <v>1</v>
          </cell>
          <cell r="L75">
            <v>200</v>
          </cell>
          <cell r="M75">
            <v>1</v>
          </cell>
          <cell r="N75">
            <v>463</v>
          </cell>
          <cell r="O75">
            <v>2</v>
          </cell>
          <cell r="P75">
            <v>663</v>
          </cell>
          <cell r="Q75">
            <v>3</v>
          </cell>
          <cell r="R75">
            <v>550</v>
          </cell>
          <cell r="S75">
            <v>0</v>
          </cell>
          <cell r="T75">
            <v>0</v>
          </cell>
          <cell r="U75">
            <v>1</v>
          </cell>
          <cell r="V75">
            <v>200</v>
          </cell>
          <cell r="W75">
            <v>0</v>
          </cell>
          <cell r="X75">
            <v>0</v>
          </cell>
          <cell r="Y75">
            <v>4</v>
          </cell>
          <cell r="Z75">
            <v>1013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4</v>
          </cell>
          <cell r="AJ75">
            <v>1013</v>
          </cell>
          <cell r="AK75">
            <v>0</v>
          </cell>
          <cell r="AL75">
            <v>0</v>
          </cell>
          <cell r="AM75">
            <v>1</v>
          </cell>
          <cell r="AN75">
            <v>200</v>
          </cell>
          <cell r="AO75">
            <v>0</v>
          </cell>
          <cell r="AP75">
            <v>0</v>
          </cell>
          <cell r="AQ75" t="str">
            <v>LAS VEGAS-NORTH</v>
          </cell>
          <cell r="AR75">
            <v>79</v>
          </cell>
          <cell r="AS75">
            <v>14225</v>
          </cell>
          <cell r="AT75">
            <v>78</v>
          </cell>
          <cell r="AU75">
            <v>14138</v>
          </cell>
          <cell r="AV75">
            <v>75</v>
          </cell>
          <cell r="AW75">
            <v>13788</v>
          </cell>
          <cell r="AX75">
            <v>79</v>
          </cell>
          <cell r="AY75">
            <v>14225</v>
          </cell>
          <cell r="AZ75">
            <v>1</v>
          </cell>
          <cell r="BA75">
            <v>463</v>
          </cell>
        </row>
        <row r="76">
          <cell r="B76" t="str">
            <v>LAS VEGAS-SOUTH</v>
          </cell>
          <cell r="C76">
            <v>1</v>
          </cell>
          <cell r="D76">
            <v>154</v>
          </cell>
          <cell r="E76">
            <v>5</v>
          </cell>
          <cell r="F76">
            <v>1875</v>
          </cell>
          <cell r="G76">
            <v>27</v>
          </cell>
          <cell r="H76">
            <v>10038</v>
          </cell>
          <cell r="I76">
            <v>4</v>
          </cell>
          <cell r="J76">
            <v>1774</v>
          </cell>
          <cell r="K76">
            <v>3</v>
          </cell>
          <cell r="L76">
            <v>628</v>
          </cell>
          <cell r="M76">
            <v>5</v>
          </cell>
          <cell r="N76">
            <v>710</v>
          </cell>
          <cell r="O76">
            <v>8</v>
          </cell>
          <cell r="P76">
            <v>1338</v>
          </cell>
          <cell r="Q76">
            <v>5</v>
          </cell>
          <cell r="R76">
            <v>2492</v>
          </cell>
          <cell r="S76">
            <v>0</v>
          </cell>
          <cell r="T76">
            <v>0</v>
          </cell>
          <cell r="U76">
            <v>3</v>
          </cell>
          <cell r="V76">
            <v>628</v>
          </cell>
          <cell r="W76">
            <v>4</v>
          </cell>
          <cell r="X76">
            <v>550</v>
          </cell>
          <cell r="Y76">
            <v>5</v>
          </cell>
          <cell r="Z76">
            <v>2452</v>
          </cell>
          <cell r="AA76">
            <v>1</v>
          </cell>
          <cell r="AB76">
            <v>200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6</v>
          </cell>
          <cell r="AJ76">
            <v>2652</v>
          </cell>
          <cell r="AK76">
            <v>0</v>
          </cell>
          <cell r="AL76">
            <v>0</v>
          </cell>
          <cell r="AM76">
            <v>3</v>
          </cell>
          <cell r="AN76">
            <v>628</v>
          </cell>
          <cell r="AO76">
            <v>4</v>
          </cell>
          <cell r="AP76">
            <v>550</v>
          </cell>
          <cell r="AQ76" t="str">
            <v>LAS VEGAS-SOUTH</v>
          </cell>
          <cell r="AR76">
            <v>145</v>
          </cell>
          <cell r="AS76">
            <v>36567</v>
          </cell>
          <cell r="AT76">
            <v>140</v>
          </cell>
          <cell r="AU76">
            <v>34692</v>
          </cell>
          <cell r="AV76">
            <v>139</v>
          </cell>
          <cell r="AW76">
            <v>34538</v>
          </cell>
          <cell r="AX76">
            <v>145</v>
          </cell>
          <cell r="AY76">
            <v>36567</v>
          </cell>
          <cell r="AZ76">
            <v>1</v>
          </cell>
          <cell r="BA76">
            <v>160</v>
          </cell>
        </row>
        <row r="77">
          <cell r="B77" t="str">
            <v>LONG BEACH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1</v>
          </cell>
          <cell r="H77">
            <v>134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</v>
          </cell>
          <cell r="N77">
            <v>162</v>
          </cell>
          <cell r="O77">
            <v>1</v>
          </cell>
          <cell r="P77">
            <v>162</v>
          </cell>
          <cell r="Q77">
            <v>3</v>
          </cell>
          <cell r="R77">
            <v>699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1</v>
          </cell>
          <cell r="X77">
            <v>162</v>
          </cell>
          <cell r="Y77">
            <v>3</v>
          </cell>
          <cell r="Z77">
            <v>699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3</v>
          </cell>
          <cell r="AJ77">
            <v>699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1</v>
          </cell>
          <cell r="AP77">
            <v>162</v>
          </cell>
          <cell r="AQ77" t="str">
            <v>LONG BEACH</v>
          </cell>
          <cell r="AR77">
            <v>36</v>
          </cell>
          <cell r="AS77">
            <v>4914</v>
          </cell>
          <cell r="AT77">
            <v>36</v>
          </cell>
          <cell r="AU77">
            <v>4914</v>
          </cell>
          <cell r="AV77">
            <v>36</v>
          </cell>
          <cell r="AW77">
            <v>4914</v>
          </cell>
          <cell r="AX77">
            <v>34</v>
          </cell>
          <cell r="AY77">
            <v>5070</v>
          </cell>
          <cell r="AZ77">
            <v>0</v>
          </cell>
          <cell r="BA77">
            <v>0</v>
          </cell>
        </row>
        <row r="78">
          <cell r="B78" t="str">
            <v>LOS ANGELES AIRPORT</v>
          </cell>
          <cell r="C78">
            <v>1</v>
          </cell>
          <cell r="D78">
            <v>162</v>
          </cell>
          <cell r="E78">
            <v>2</v>
          </cell>
          <cell r="F78">
            <v>180</v>
          </cell>
          <cell r="G78">
            <v>5</v>
          </cell>
          <cell r="H78">
            <v>587</v>
          </cell>
          <cell r="I78">
            <v>1</v>
          </cell>
          <cell r="J78">
            <v>150</v>
          </cell>
          <cell r="K78">
            <v>1</v>
          </cell>
          <cell r="L78">
            <v>53</v>
          </cell>
          <cell r="M78">
            <v>1</v>
          </cell>
          <cell r="N78">
            <v>50</v>
          </cell>
          <cell r="O78">
            <v>2</v>
          </cell>
          <cell r="P78">
            <v>103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1</v>
          </cell>
          <cell r="V78">
            <v>53</v>
          </cell>
          <cell r="W78">
            <v>1</v>
          </cell>
          <cell r="X78">
            <v>50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1</v>
          </cell>
          <cell r="AN78">
            <v>53</v>
          </cell>
          <cell r="AO78">
            <v>1</v>
          </cell>
          <cell r="AP78">
            <v>50</v>
          </cell>
          <cell r="AQ78" t="str">
            <v>LOS ANGELES AIRPORT</v>
          </cell>
          <cell r="AR78">
            <v>74</v>
          </cell>
          <cell r="AS78">
            <v>14426</v>
          </cell>
          <cell r="AT78">
            <v>72</v>
          </cell>
          <cell r="AU78">
            <v>14246</v>
          </cell>
          <cell r="AV78">
            <v>71</v>
          </cell>
          <cell r="AW78">
            <v>14084</v>
          </cell>
          <cell r="AX78">
            <v>79</v>
          </cell>
          <cell r="AY78">
            <v>15696</v>
          </cell>
          <cell r="AZ78">
            <v>0</v>
          </cell>
          <cell r="BA78">
            <v>0</v>
          </cell>
        </row>
        <row r="79">
          <cell r="B79" t="str">
            <v>LOS ANGELES CBD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1</v>
          </cell>
          <cell r="L79">
            <v>207</v>
          </cell>
          <cell r="M79">
            <v>0</v>
          </cell>
          <cell r="N79">
            <v>0</v>
          </cell>
          <cell r="O79">
            <v>1</v>
          </cell>
          <cell r="P79">
            <v>207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1</v>
          </cell>
          <cell r="V79">
            <v>207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1</v>
          </cell>
          <cell r="AN79">
            <v>207</v>
          </cell>
          <cell r="AO79">
            <v>0</v>
          </cell>
          <cell r="AP79">
            <v>0</v>
          </cell>
          <cell r="AQ79" t="str">
            <v>LOS ANGELES CBD</v>
          </cell>
          <cell r="AR79">
            <v>97</v>
          </cell>
          <cell r="AS79">
            <v>14780</v>
          </cell>
          <cell r="AT79">
            <v>97</v>
          </cell>
          <cell r="AU79">
            <v>14780</v>
          </cell>
          <cell r="AV79">
            <v>97</v>
          </cell>
          <cell r="AW79">
            <v>14780</v>
          </cell>
          <cell r="AX79">
            <v>132</v>
          </cell>
          <cell r="AY79">
            <v>16199</v>
          </cell>
          <cell r="AZ79">
            <v>0</v>
          </cell>
          <cell r="BA79">
            <v>0</v>
          </cell>
        </row>
        <row r="80">
          <cell r="B80" t="str">
            <v>LOS ANGELES EAST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6</v>
          </cell>
          <cell r="H80">
            <v>656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</v>
          </cell>
          <cell r="N80">
            <v>180</v>
          </cell>
          <cell r="O80">
            <v>1</v>
          </cell>
          <cell r="P80">
            <v>180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1</v>
          </cell>
          <cell r="Z80">
            <v>180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1</v>
          </cell>
          <cell r="AJ80">
            <v>180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 t="str">
            <v>LOS ANGELES EAST</v>
          </cell>
          <cell r="AR80">
            <v>93</v>
          </cell>
          <cell r="AS80">
            <v>8118</v>
          </cell>
          <cell r="AT80">
            <v>93</v>
          </cell>
          <cell r="AU80">
            <v>8118</v>
          </cell>
          <cell r="AV80">
            <v>93</v>
          </cell>
          <cell r="AW80">
            <v>8118</v>
          </cell>
          <cell r="AX80">
            <v>107</v>
          </cell>
          <cell r="AY80">
            <v>9188</v>
          </cell>
          <cell r="AZ80">
            <v>1</v>
          </cell>
          <cell r="BA80">
            <v>180</v>
          </cell>
        </row>
        <row r="81">
          <cell r="B81" t="str">
            <v>LOS ANGELES NORTH</v>
          </cell>
          <cell r="C81">
            <v>4</v>
          </cell>
          <cell r="D81">
            <v>407</v>
          </cell>
          <cell r="E81">
            <v>1</v>
          </cell>
          <cell r="F81">
            <v>90</v>
          </cell>
          <cell r="G81">
            <v>10</v>
          </cell>
          <cell r="H81">
            <v>1062</v>
          </cell>
          <cell r="I81">
            <v>0</v>
          </cell>
          <cell r="J81">
            <v>0</v>
          </cell>
          <cell r="K81">
            <v>3</v>
          </cell>
          <cell r="L81">
            <v>354</v>
          </cell>
          <cell r="M81">
            <v>1</v>
          </cell>
          <cell r="N81">
            <v>105</v>
          </cell>
          <cell r="O81">
            <v>4</v>
          </cell>
          <cell r="P81">
            <v>459</v>
          </cell>
          <cell r="Q81">
            <v>1</v>
          </cell>
          <cell r="R81">
            <v>250</v>
          </cell>
          <cell r="S81">
            <v>0</v>
          </cell>
          <cell r="T81">
            <v>0</v>
          </cell>
          <cell r="U81">
            <v>3</v>
          </cell>
          <cell r="V81">
            <v>354</v>
          </cell>
          <cell r="W81">
            <v>0</v>
          </cell>
          <cell r="X81">
            <v>0</v>
          </cell>
          <cell r="Y81">
            <v>2</v>
          </cell>
          <cell r="Z81">
            <v>355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2</v>
          </cell>
          <cell r="AJ81">
            <v>355</v>
          </cell>
          <cell r="AK81">
            <v>0</v>
          </cell>
          <cell r="AL81">
            <v>0</v>
          </cell>
          <cell r="AM81">
            <v>3</v>
          </cell>
          <cell r="AN81">
            <v>354</v>
          </cell>
          <cell r="AO81">
            <v>0</v>
          </cell>
          <cell r="AP81">
            <v>0</v>
          </cell>
          <cell r="AQ81" t="str">
            <v>LOS ANGELES NORTH</v>
          </cell>
          <cell r="AR81">
            <v>86</v>
          </cell>
          <cell r="AS81">
            <v>8393</v>
          </cell>
          <cell r="AT81">
            <v>85</v>
          </cell>
          <cell r="AU81">
            <v>8303</v>
          </cell>
          <cell r="AV81">
            <v>81</v>
          </cell>
          <cell r="AW81">
            <v>7896</v>
          </cell>
          <cell r="AX81">
            <v>90</v>
          </cell>
          <cell r="AY81">
            <v>8755</v>
          </cell>
          <cell r="AZ81">
            <v>1</v>
          </cell>
          <cell r="BA81">
            <v>105</v>
          </cell>
        </row>
        <row r="82">
          <cell r="B82" t="str">
            <v>LOS ANGELES SOUTHEAST</v>
          </cell>
          <cell r="C82">
            <v>0</v>
          </cell>
          <cell r="D82">
            <v>0</v>
          </cell>
          <cell r="E82">
            <v>1</v>
          </cell>
          <cell r="F82">
            <v>194</v>
          </cell>
          <cell r="G82">
            <v>3</v>
          </cell>
          <cell r="H82">
            <v>548</v>
          </cell>
          <cell r="I82">
            <v>1</v>
          </cell>
          <cell r="J82">
            <v>194</v>
          </cell>
          <cell r="K82">
            <v>2</v>
          </cell>
          <cell r="L82">
            <v>335</v>
          </cell>
          <cell r="M82">
            <v>0</v>
          </cell>
          <cell r="N82">
            <v>0</v>
          </cell>
          <cell r="O82">
            <v>2</v>
          </cell>
          <cell r="P82">
            <v>335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1</v>
          </cell>
          <cell r="V82">
            <v>121</v>
          </cell>
          <cell r="W82">
            <v>1</v>
          </cell>
          <cell r="X82">
            <v>214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1</v>
          </cell>
          <cell r="AN82">
            <v>121</v>
          </cell>
          <cell r="AO82">
            <v>1</v>
          </cell>
          <cell r="AP82">
            <v>214</v>
          </cell>
          <cell r="AQ82" t="str">
            <v>LOS ANGELES SOUTHEAST</v>
          </cell>
          <cell r="AR82">
            <v>62</v>
          </cell>
          <cell r="AS82">
            <v>5611</v>
          </cell>
          <cell r="AT82">
            <v>61</v>
          </cell>
          <cell r="AU82">
            <v>5417</v>
          </cell>
          <cell r="AV82">
            <v>61</v>
          </cell>
          <cell r="AW82">
            <v>5417</v>
          </cell>
          <cell r="AX82">
            <v>65</v>
          </cell>
          <cell r="AY82">
            <v>5758</v>
          </cell>
          <cell r="AZ82">
            <v>0</v>
          </cell>
          <cell r="BA82">
            <v>0</v>
          </cell>
        </row>
        <row r="83">
          <cell r="B83" t="str">
            <v>LOS ANGELES SOUTHWEST</v>
          </cell>
          <cell r="C83">
            <v>1</v>
          </cell>
          <cell r="D83">
            <v>88</v>
          </cell>
          <cell r="E83">
            <v>4</v>
          </cell>
          <cell r="F83">
            <v>493</v>
          </cell>
          <cell r="G83">
            <v>13</v>
          </cell>
          <cell r="H83">
            <v>1508</v>
          </cell>
          <cell r="I83">
            <v>2</v>
          </cell>
          <cell r="J83">
            <v>308</v>
          </cell>
          <cell r="K83">
            <v>1</v>
          </cell>
          <cell r="L83">
            <v>71</v>
          </cell>
          <cell r="M83">
            <v>2</v>
          </cell>
          <cell r="N83">
            <v>510</v>
          </cell>
          <cell r="O83">
            <v>3</v>
          </cell>
          <cell r="P83">
            <v>581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</v>
          </cell>
          <cell r="V83">
            <v>71</v>
          </cell>
          <cell r="W83">
            <v>1</v>
          </cell>
          <cell r="X83">
            <v>60</v>
          </cell>
          <cell r="Y83">
            <v>0</v>
          </cell>
          <cell r="Z83">
            <v>0</v>
          </cell>
          <cell r="AA83">
            <v>1</v>
          </cell>
          <cell r="AB83">
            <v>450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1</v>
          </cell>
          <cell r="AJ83">
            <v>450</v>
          </cell>
          <cell r="AK83">
            <v>0</v>
          </cell>
          <cell r="AL83">
            <v>0</v>
          </cell>
          <cell r="AM83">
            <v>1</v>
          </cell>
          <cell r="AN83">
            <v>71</v>
          </cell>
          <cell r="AO83">
            <v>1</v>
          </cell>
          <cell r="AP83">
            <v>60</v>
          </cell>
          <cell r="AQ83" t="str">
            <v>LOS ANGELES SOUTHWEST</v>
          </cell>
          <cell r="AR83">
            <v>121</v>
          </cell>
          <cell r="AS83">
            <v>12630</v>
          </cell>
          <cell r="AT83">
            <v>117</v>
          </cell>
          <cell r="AU83">
            <v>12137</v>
          </cell>
          <cell r="AV83">
            <v>116</v>
          </cell>
          <cell r="AW83">
            <v>12049</v>
          </cell>
          <cell r="AX83">
            <v>117</v>
          </cell>
          <cell r="AY83">
            <v>10995</v>
          </cell>
          <cell r="AZ83">
            <v>1</v>
          </cell>
          <cell r="BA83">
            <v>450</v>
          </cell>
        </row>
        <row r="84">
          <cell r="B84" t="str">
            <v>LOS ANGELES-OTHER</v>
          </cell>
          <cell r="C84">
            <v>1</v>
          </cell>
          <cell r="D84">
            <v>310</v>
          </cell>
          <cell r="E84">
            <v>1</v>
          </cell>
          <cell r="F84">
            <v>194</v>
          </cell>
          <cell r="G84">
            <v>13</v>
          </cell>
          <cell r="H84">
            <v>1874</v>
          </cell>
          <cell r="I84">
            <v>2</v>
          </cell>
          <cell r="J84">
            <v>334</v>
          </cell>
          <cell r="K84">
            <v>3</v>
          </cell>
          <cell r="L84">
            <v>525</v>
          </cell>
          <cell r="M84">
            <v>4</v>
          </cell>
          <cell r="N84">
            <v>872</v>
          </cell>
          <cell r="O84">
            <v>7</v>
          </cell>
          <cell r="P84">
            <v>1397</v>
          </cell>
          <cell r="Q84">
            <v>4</v>
          </cell>
          <cell r="R84">
            <v>899</v>
          </cell>
          <cell r="S84">
            <v>1</v>
          </cell>
          <cell r="T84">
            <v>140</v>
          </cell>
          <cell r="U84">
            <v>2</v>
          </cell>
          <cell r="V84">
            <v>311</v>
          </cell>
          <cell r="W84">
            <v>2</v>
          </cell>
          <cell r="X84">
            <v>376</v>
          </cell>
          <cell r="Y84">
            <v>7</v>
          </cell>
          <cell r="Z84">
            <v>1609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7</v>
          </cell>
          <cell r="AJ84">
            <v>1609</v>
          </cell>
          <cell r="AK84">
            <v>0</v>
          </cell>
          <cell r="AL84">
            <v>0</v>
          </cell>
          <cell r="AM84">
            <v>2</v>
          </cell>
          <cell r="AN84">
            <v>311</v>
          </cell>
          <cell r="AO84">
            <v>2</v>
          </cell>
          <cell r="AP84">
            <v>376</v>
          </cell>
          <cell r="AQ84" t="str">
            <v>LOS ANGELES-OTHER</v>
          </cell>
          <cell r="AR84">
            <v>235</v>
          </cell>
          <cell r="AS84">
            <v>23252</v>
          </cell>
          <cell r="AT84">
            <v>234</v>
          </cell>
          <cell r="AU84">
            <v>23058</v>
          </cell>
          <cell r="AV84">
            <v>233</v>
          </cell>
          <cell r="AW84">
            <v>22748</v>
          </cell>
          <cell r="AX84">
            <v>249</v>
          </cell>
          <cell r="AY84">
            <v>25052</v>
          </cell>
          <cell r="AZ84">
            <v>1</v>
          </cell>
          <cell r="BA84">
            <v>180</v>
          </cell>
        </row>
        <row r="85">
          <cell r="B85" t="str">
            <v>MANHATTAN-EAST</v>
          </cell>
          <cell r="C85">
            <v>6</v>
          </cell>
          <cell r="D85">
            <v>891</v>
          </cell>
          <cell r="E85">
            <v>2</v>
          </cell>
          <cell r="F85">
            <v>189</v>
          </cell>
          <cell r="G85">
            <v>17</v>
          </cell>
          <cell r="H85">
            <v>2166</v>
          </cell>
          <cell r="I85">
            <v>2</v>
          </cell>
          <cell r="J85">
            <v>189</v>
          </cell>
          <cell r="K85">
            <v>0</v>
          </cell>
          <cell r="L85">
            <v>0</v>
          </cell>
          <cell r="M85">
            <v>1</v>
          </cell>
          <cell r="N85">
            <v>182</v>
          </cell>
          <cell r="O85">
            <v>1</v>
          </cell>
          <cell r="P85">
            <v>182</v>
          </cell>
          <cell r="Q85">
            <v>2</v>
          </cell>
          <cell r="R85">
            <v>238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1</v>
          </cell>
          <cell r="X85">
            <v>182</v>
          </cell>
          <cell r="Y85">
            <v>2</v>
          </cell>
          <cell r="Z85">
            <v>238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2</v>
          </cell>
          <cell r="AJ85">
            <v>238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1</v>
          </cell>
          <cell r="AP85">
            <v>182</v>
          </cell>
          <cell r="AQ85" t="str">
            <v>MANHATTAN-EAST</v>
          </cell>
          <cell r="AR85">
            <v>98</v>
          </cell>
          <cell r="AS85">
            <v>25394</v>
          </cell>
          <cell r="AT85">
            <v>96</v>
          </cell>
          <cell r="AU85">
            <v>25205</v>
          </cell>
          <cell r="AV85">
            <v>90</v>
          </cell>
          <cell r="AW85">
            <v>24314</v>
          </cell>
          <cell r="AX85">
            <v>92</v>
          </cell>
          <cell r="AY85">
            <v>23351</v>
          </cell>
          <cell r="AZ85">
            <v>0</v>
          </cell>
          <cell r="BA85">
            <v>0</v>
          </cell>
        </row>
        <row r="86">
          <cell r="B86" t="str">
            <v>MANHATTAN-WEST</v>
          </cell>
          <cell r="C86">
            <v>6</v>
          </cell>
          <cell r="D86">
            <v>2136</v>
          </cell>
          <cell r="E86">
            <v>5</v>
          </cell>
          <cell r="F86">
            <v>839</v>
          </cell>
          <cell r="G86">
            <v>17</v>
          </cell>
          <cell r="H86">
            <v>4223</v>
          </cell>
          <cell r="I86">
            <v>4</v>
          </cell>
          <cell r="J86">
            <v>715</v>
          </cell>
          <cell r="K86">
            <v>4</v>
          </cell>
          <cell r="L86">
            <v>1416</v>
          </cell>
          <cell r="M86">
            <v>1</v>
          </cell>
          <cell r="N86">
            <v>158</v>
          </cell>
          <cell r="O86">
            <v>5</v>
          </cell>
          <cell r="P86">
            <v>1574</v>
          </cell>
          <cell r="Q86">
            <v>4</v>
          </cell>
          <cell r="R86">
            <v>793</v>
          </cell>
          <cell r="S86">
            <v>1</v>
          </cell>
          <cell r="T86">
            <v>83</v>
          </cell>
          <cell r="U86">
            <v>1</v>
          </cell>
          <cell r="V86">
            <v>144</v>
          </cell>
          <cell r="W86">
            <v>4</v>
          </cell>
          <cell r="X86">
            <v>1430</v>
          </cell>
          <cell r="Y86">
            <v>4</v>
          </cell>
          <cell r="Z86">
            <v>793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4</v>
          </cell>
          <cell r="AJ86">
            <v>793</v>
          </cell>
          <cell r="AK86">
            <v>0</v>
          </cell>
          <cell r="AL86">
            <v>0</v>
          </cell>
          <cell r="AM86">
            <v>1</v>
          </cell>
          <cell r="AN86">
            <v>144</v>
          </cell>
          <cell r="AO86">
            <v>4</v>
          </cell>
          <cell r="AP86">
            <v>1430</v>
          </cell>
          <cell r="AQ86" t="str">
            <v>MANHATTAN-WEST</v>
          </cell>
          <cell r="AR86">
            <v>98</v>
          </cell>
          <cell r="AS86">
            <v>35556</v>
          </cell>
          <cell r="AT86">
            <v>93</v>
          </cell>
          <cell r="AU86">
            <v>34717</v>
          </cell>
          <cell r="AV86">
            <v>87</v>
          </cell>
          <cell r="AW86">
            <v>32581</v>
          </cell>
          <cell r="AX86">
            <v>101</v>
          </cell>
          <cell r="AY86">
            <v>36549</v>
          </cell>
          <cell r="AZ86">
            <v>0</v>
          </cell>
          <cell r="BA86">
            <v>0</v>
          </cell>
        </row>
        <row r="87">
          <cell r="B87" t="str">
            <v xml:space="preserve">MESA/CHANDLER </v>
          </cell>
          <cell r="C87">
            <v>3</v>
          </cell>
          <cell r="D87">
            <v>356</v>
          </cell>
          <cell r="E87">
            <v>0</v>
          </cell>
          <cell r="F87">
            <v>0</v>
          </cell>
          <cell r="G87">
            <v>15</v>
          </cell>
          <cell r="H87">
            <v>1675</v>
          </cell>
          <cell r="I87">
            <v>0</v>
          </cell>
          <cell r="J87">
            <v>0</v>
          </cell>
          <cell r="K87">
            <v>1</v>
          </cell>
          <cell r="L87">
            <v>500</v>
          </cell>
          <cell r="M87">
            <v>1</v>
          </cell>
          <cell r="N87">
            <v>347</v>
          </cell>
          <cell r="O87">
            <v>2</v>
          </cell>
          <cell r="P87">
            <v>847</v>
          </cell>
          <cell r="Q87">
            <v>1</v>
          </cell>
          <cell r="R87">
            <v>60</v>
          </cell>
          <cell r="S87">
            <v>0</v>
          </cell>
          <cell r="T87">
            <v>0</v>
          </cell>
          <cell r="U87">
            <v>1</v>
          </cell>
          <cell r="V87">
            <v>500</v>
          </cell>
          <cell r="W87">
            <v>0</v>
          </cell>
          <cell r="X87">
            <v>0</v>
          </cell>
          <cell r="Y87">
            <v>2</v>
          </cell>
          <cell r="Z87">
            <v>407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2</v>
          </cell>
          <cell r="AJ87">
            <v>407</v>
          </cell>
          <cell r="AK87">
            <v>0</v>
          </cell>
          <cell r="AL87">
            <v>0</v>
          </cell>
          <cell r="AM87">
            <v>1</v>
          </cell>
          <cell r="AN87">
            <v>500</v>
          </cell>
          <cell r="AO87">
            <v>0</v>
          </cell>
          <cell r="AP87">
            <v>0</v>
          </cell>
          <cell r="AQ87" t="str">
            <v xml:space="preserve">MESA/CHANDLER </v>
          </cell>
          <cell r="AR87">
            <v>55</v>
          </cell>
          <cell r="AS87">
            <v>6122</v>
          </cell>
          <cell r="AT87">
            <v>55</v>
          </cell>
          <cell r="AU87">
            <v>6122</v>
          </cell>
          <cell r="AV87">
            <v>52</v>
          </cell>
          <cell r="AW87">
            <v>5766</v>
          </cell>
          <cell r="AX87">
            <v>55</v>
          </cell>
          <cell r="AY87">
            <v>6310</v>
          </cell>
          <cell r="AZ87">
            <v>1</v>
          </cell>
          <cell r="BA87">
            <v>347</v>
          </cell>
        </row>
        <row r="88">
          <cell r="B88" t="str">
            <v>METARIE-AIRPORT</v>
          </cell>
          <cell r="C88">
            <v>6</v>
          </cell>
          <cell r="D88">
            <v>549</v>
          </cell>
          <cell r="E88">
            <v>7</v>
          </cell>
          <cell r="F88">
            <v>570</v>
          </cell>
          <cell r="G88">
            <v>26</v>
          </cell>
          <cell r="H88">
            <v>2276</v>
          </cell>
          <cell r="I88">
            <v>6</v>
          </cell>
          <cell r="J88">
            <v>436</v>
          </cell>
          <cell r="K88">
            <v>5</v>
          </cell>
          <cell r="L88">
            <v>560</v>
          </cell>
          <cell r="M88">
            <v>3</v>
          </cell>
          <cell r="N88">
            <v>414</v>
          </cell>
          <cell r="O88">
            <v>8</v>
          </cell>
          <cell r="P88">
            <v>974</v>
          </cell>
          <cell r="Q88">
            <v>3</v>
          </cell>
          <cell r="R88">
            <v>315</v>
          </cell>
          <cell r="S88">
            <v>1</v>
          </cell>
          <cell r="T88">
            <v>68</v>
          </cell>
          <cell r="U88">
            <v>4</v>
          </cell>
          <cell r="V88">
            <v>498</v>
          </cell>
          <cell r="W88">
            <v>2</v>
          </cell>
          <cell r="X88">
            <v>142</v>
          </cell>
          <cell r="Y88">
            <v>5</v>
          </cell>
          <cell r="Z88">
            <v>649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5</v>
          </cell>
          <cell r="AJ88">
            <v>649</v>
          </cell>
          <cell r="AK88">
            <v>0</v>
          </cell>
          <cell r="AL88">
            <v>0</v>
          </cell>
          <cell r="AM88">
            <v>4</v>
          </cell>
          <cell r="AN88">
            <v>498</v>
          </cell>
          <cell r="AO88">
            <v>2</v>
          </cell>
          <cell r="AP88">
            <v>142</v>
          </cell>
          <cell r="AQ88" t="str">
            <v>METARIE-AIRPORT</v>
          </cell>
          <cell r="AR88">
            <v>80</v>
          </cell>
          <cell r="AS88">
            <v>9589</v>
          </cell>
          <cell r="AT88">
            <v>73</v>
          </cell>
          <cell r="AU88">
            <v>9019</v>
          </cell>
          <cell r="AV88">
            <v>67</v>
          </cell>
          <cell r="AW88">
            <v>8470</v>
          </cell>
          <cell r="AX88">
            <v>70</v>
          </cell>
          <cell r="AY88">
            <v>9069</v>
          </cell>
          <cell r="AZ88">
            <v>2</v>
          </cell>
          <cell r="BA88">
            <v>334</v>
          </cell>
        </row>
        <row r="89">
          <cell r="B89" t="str">
            <v>MIAMI AIRPORT-CIVIC CENTER</v>
          </cell>
          <cell r="C89">
            <v>4</v>
          </cell>
          <cell r="D89">
            <v>567</v>
          </cell>
          <cell r="E89">
            <v>1</v>
          </cell>
          <cell r="F89">
            <v>109</v>
          </cell>
          <cell r="G89">
            <v>17</v>
          </cell>
          <cell r="H89">
            <v>2113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3</v>
          </cell>
          <cell r="N89">
            <v>380</v>
          </cell>
          <cell r="O89">
            <v>3</v>
          </cell>
          <cell r="P89">
            <v>380</v>
          </cell>
          <cell r="Q89">
            <v>1</v>
          </cell>
          <cell r="R89">
            <v>175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1</v>
          </cell>
          <cell r="X89">
            <v>118</v>
          </cell>
          <cell r="Y89">
            <v>3</v>
          </cell>
          <cell r="Z89">
            <v>437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3</v>
          </cell>
          <cell r="AJ89">
            <v>437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1</v>
          </cell>
          <cell r="AP89">
            <v>118</v>
          </cell>
          <cell r="AQ89" t="str">
            <v>MIAMI AIRPORT-CIVIC CENTER</v>
          </cell>
          <cell r="AR89">
            <v>64</v>
          </cell>
          <cell r="AS89">
            <v>11306</v>
          </cell>
          <cell r="AT89">
            <v>63</v>
          </cell>
          <cell r="AU89">
            <v>11197</v>
          </cell>
          <cell r="AV89">
            <v>59</v>
          </cell>
          <cell r="AW89">
            <v>10630</v>
          </cell>
          <cell r="AX89">
            <v>64</v>
          </cell>
          <cell r="AY89">
            <v>12006</v>
          </cell>
          <cell r="AZ89">
            <v>2</v>
          </cell>
          <cell r="BA89">
            <v>262</v>
          </cell>
        </row>
        <row r="90">
          <cell r="B90" t="str">
            <v>MIAMI BEACH</v>
          </cell>
          <cell r="C90">
            <v>1</v>
          </cell>
          <cell r="D90">
            <v>239</v>
          </cell>
          <cell r="E90">
            <v>2</v>
          </cell>
          <cell r="F90">
            <v>528</v>
          </cell>
          <cell r="G90">
            <v>8</v>
          </cell>
          <cell r="H90">
            <v>1921</v>
          </cell>
          <cell r="I90">
            <v>1</v>
          </cell>
          <cell r="J90">
            <v>324</v>
          </cell>
          <cell r="K90">
            <v>7</v>
          </cell>
          <cell r="L90">
            <v>1448</v>
          </cell>
          <cell r="M90">
            <v>3</v>
          </cell>
          <cell r="N90">
            <v>355</v>
          </cell>
          <cell r="O90">
            <v>10</v>
          </cell>
          <cell r="P90">
            <v>1803</v>
          </cell>
          <cell r="Q90">
            <v>2</v>
          </cell>
          <cell r="R90">
            <v>177</v>
          </cell>
          <cell r="S90">
            <v>0</v>
          </cell>
          <cell r="T90">
            <v>0</v>
          </cell>
          <cell r="U90">
            <v>5</v>
          </cell>
          <cell r="V90">
            <v>1277</v>
          </cell>
          <cell r="W90">
            <v>3</v>
          </cell>
          <cell r="X90">
            <v>287</v>
          </cell>
          <cell r="Y90">
            <v>4</v>
          </cell>
          <cell r="Z90">
            <v>416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4</v>
          </cell>
          <cell r="AJ90">
            <v>416</v>
          </cell>
          <cell r="AK90">
            <v>0</v>
          </cell>
          <cell r="AL90">
            <v>0</v>
          </cell>
          <cell r="AM90">
            <v>5</v>
          </cell>
          <cell r="AN90">
            <v>1277</v>
          </cell>
          <cell r="AO90">
            <v>3</v>
          </cell>
          <cell r="AP90">
            <v>287</v>
          </cell>
          <cell r="AQ90" t="str">
            <v>MIAMI BEACH</v>
          </cell>
          <cell r="AR90">
            <v>147</v>
          </cell>
          <cell r="AS90">
            <v>19424</v>
          </cell>
          <cell r="AT90">
            <v>145</v>
          </cell>
          <cell r="AU90">
            <v>18896</v>
          </cell>
          <cell r="AV90">
            <v>144</v>
          </cell>
          <cell r="AW90">
            <v>18657</v>
          </cell>
          <cell r="AX90">
            <v>144</v>
          </cell>
          <cell r="AY90">
            <v>18700</v>
          </cell>
          <cell r="AZ90">
            <v>2</v>
          </cell>
          <cell r="BA90">
            <v>239</v>
          </cell>
        </row>
        <row r="91">
          <cell r="B91" t="str">
            <v>MIAMI DOWNTOWN-NORTH</v>
          </cell>
          <cell r="C91">
            <v>2</v>
          </cell>
          <cell r="D91">
            <v>629</v>
          </cell>
          <cell r="E91">
            <v>2</v>
          </cell>
          <cell r="F91">
            <v>238</v>
          </cell>
          <cell r="G91">
            <v>6</v>
          </cell>
          <cell r="H91">
            <v>1131</v>
          </cell>
          <cell r="I91">
            <v>3</v>
          </cell>
          <cell r="J91">
            <v>336</v>
          </cell>
          <cell r="K91">
            <v>4</v>
          </cell>
          <cell r="L91">
            <v>767</v>
          </cell>
          <cell r="M91">
            <v>2</v>
          </cell>
          <cell r="N91">
            <v>294</v>
          </cell>
          <cell r="O91">
            <v>6</v>
          </cell>
          <cell r="P91">
            <v>1061</v>
          </cell>
          <cell r="Q91">
            <v>2</v>
          </cell>
          <cell r="R91">
            <v>236</v>
          </cell>
          <cell r="S91">
            <v>1</v>
          </cell>
          <cell r="T91">
            <v>98</v>
          </cell>
          <cell r="U91">
            <v>3</v>
          </cell>
          <cell r="V91">
            <v>564</v>
          </cell>
          <cell r="W91">
            <v>2</v>
          </cell>
          <cell r="X91">
            <v>345</v>
          </cell>
          <cell r="Y91">
            <v>3</v>
          </cell>
          <cell r="Z91">
            <v>388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3</v>
          </cell>
          <cell r="AJ91">
            <v>388</v>
          </cell>
          <cell r="AK91">
            <v>0</v>
          </cell>
          <cell r="AL91">
            <v>0</v>
          </cell>
          <cell r="AM91">
            <v>3</v>
          </cell>
          <cell r="AN91">
            <v>564</v>
          </cell>
          <cell r="AO91">
            <v>2</v>
          </cell>
          <cell r="AP91">
            <v>345</v>
          </cell>
          <cell r="AQ91" t="str">
            <v>MIAMI DOWNTOWN-NORTH</v>
          </cell>
          <cell r="AR91">
            <v>33</v>
          </cell>
          <cell r="AS91">
            <v>7819</v>
          </cell>
          <cell r="AT91">
            <v>31</v>
          </cell>
          <cell r="AU91">
            <v>7581</v>
          </cell>
          <cell r="AV91">
            <v>29</v>
          </cell>
          <cell r="AW91">
            <v>6952</v>
          </cell>
          <cell r="AX91">
            <v>39</v>
          </cell>
          <cell r="AY91">
            <v>8219</v>
          </cell>
          <cell r="AZ91">
            <v>1</v>
          </cell>
          <cell r="BA91">
            <v>152</v>
          </cell>
        </row>
        <row r="92">
          <cell r="B92" t="str">
            <v>MIAMI SOUTH</v>
          </cell>
          <cell r="C92">
            <v>1</v>
          </cell>
          <cell r="D92">
            <v>140</v>
          </cell>
          <cell r="E92">
            <v>2</v>
          </cell>
          <cell r="F92">
            <v>586</v>
          </cell>
          <cell r="G92">
            <v>6</v>
          </cell>
          <cell r="H92">
            <v>1248</v>
          </cell>
          <cell r="I92">
            <v>2</v>
          </cell>
          <cell r="J92">
            <v>586</v>
          </cell>
          <cell r="K92">
            <v>3</v>
          </cell>
          <cell r="L92">
            <v>494</v>
          </cell>
          <cell r="M92">
            <v>3</v>
          </cell>
          <cell r="N92">
            <v>356</v>
          </cell>
          <cell r="O92">
            <v>6</v>
          </cell>
          <cell r="P92">
            <v>850</v>
          </cell>
          <cell r="Q92">
            <v>1</v>
          </cell>
          <cell r="R92">
            <v>200</v>
          </cell>
          <cell r="S92">
            <v>0</v>
          </cell>
          <cell r="T92">
            <v>0</v>
          </cell>
          <cell r="U92">
            <v>3</v>
          </cell>
          <cell r="V92">
            <v>494</v>
          </cell>
          <cell r="W92">
            <v>2</v>
          </cell>
          <cell r="X92">
            <v>256</v>
          </cell>
          <cell r="Y92">
            <v>2</v>
          </cell>
          <cell r="Z92">
            <v>300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2</v>
          </cell>
          <cell r="AJ92">
            <v>300</v>
          </cell>
          <cell r="AK92">
            <v>0</v>
          </cell>
          <cell r="AL92">
            <v>0</v>
          </cell>
          <cell r="AM92">
            <v>3</v>
          </cell>
          <cell r="AN92">
            <v>494</v>
          </cell>
          <cell r="AO92">
            <v>2</v>
          </cell>
          <cell r="AP92">
            <v>256</v>
          </cell>
          <cell r="AQ92" t="str">
            <v>MIAMI SOUTH</v>
          </cell>
          <cell r="AR92">
            <v>47</v>
          </cell>
          <cell r="AS92">
            <v>6428</v>
          </cell>
          <cell r="AT92">
            <v>45</v>
          </cell>
          <cell r="AU92">
            <v>5842</v>
          </cell>
          <cell r="AV92">
            <v>44</v>
          </cell>
          <cell r="AW92">
            <v>5702</v>
          </cell>
          <cell r="AX92">
            <v>46</v>
          </cell>
          <cell r="AY92">
            <v>5964</v>
          </cell>
          <cell r="AZ92">
            <v>1</v>
          </cell>
          <cell r="BA92">
            <v>100</v>
          </cell>
        </row>
        <row r="93">
          <cell r="B93" t="str">
            <v>MINNEAPOLIS CBD</v>
          </cell>
          <cell r="C93">
            <v>1</v>
          </cell>
          <cell r="D93">
            <v>131</v>
          </cell>
          <cell r="E93">
            <v>3</v>
          </cell>
          <cell r="F93">
            <v>477</v>
          </cell>
          <cell r="G93">
            <v>9</v>
          </cell>
          <cell r="H93">
            <v>1129</v>
          </cell>
          <cell r="I93">
            <v>1</v>
          </cell>
          <cell r="J93">
            <v>225</v>
          </cell>
          <cell r="K93">
            <v>3</v>
          </cell>
          <cell r="L93">
            <v>425</v>
          </cell>
          <cell r="M93">
            <v>0</v>
          </cell>
          <cell r="N93">
            <v>0</v>
          </cell>
          <cell r="O93">
            <v>3</v>
          </cell>
          <cell r="P93">
            <v>425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3</v>
          </cell>
          <cell r="V93">
            <v>425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3</v>
          </cell>
          <cell r="AN93">
            <v>425</v>
          </cell>
          <cell r="AO93">
            <v>0</v>
          </cell>
          <cell r="AP93">
            <v>0</v>
          </cell>
          <cell r="AQ93" t="str">
            <v>MINNEAPOLIS CBD</v>
          </cell>
          <cell r="AR93">
            <v>55</v>
          </cell>
          <cell r="AS93">
            <v>9868</v>
          </cell>
          <cell r="AT93">
            <v>52</v>
          </cell>
          <cell r="AU93">
            <v>9391</v>
          </cell>
          <cell r="AV93">
            <v>51</v>
          </cell>
          <cell r="AW93">
            <v>9260</v>
          </cell>
          <cell r="AX93">
            <v>45</v>
          </cell>
          <cell r="AY93">
            <v>7868</v>
          </cell>
          <cell r="AZ93">
            <v>0</v>
          </cell>
          <cell r="BA93">
            <v>0</v>
          </cell>
        </row>
        <row r="94">
          <cell r="B94" t="str">
            <v>MINNEAPOLIS NORTH AREA</v>
          </cell>
          <cell r="C94">
            <v>4</v>
          </cell>
          <cell r="D94">
            <v>279</v>
          </cell>
          <cell r="E94">
            <v>1</v>
          </cell>
          <cell r="F94">
            <v>41</v>
          </cell>
          <cell r="G94">
            <v>11</v>
          </cell>
          <cell r="H94">
            <v>884</v>
          </cell>
          <cell r="I94">
            <v>1</v>
          </cell>
          <cell r="J94">
            <v>41</v>
          </cell>
          <cell r="K94">
            <v>1</v>
          </cell>
          <cell r="L94">
            <v>120</v>
          </cell>
          <cell r="M94">
            <v>1</v>
          </cell>
          <cell r="N94">
            <v>140</v>
          </cell>
          <cell r="O94">
            <v>2</v>
          </cell>
          <cell r="P94">
            <v>260</v>
          </cell>
          <cell r="Q94">
            <v>1</v>
          </cell>
          <cell r="R94">
            <v>100</v>
          </cell>
          <cell r="S94">
            <v>0</v>
          </cell>
          <cell r="T94">
            <v>0</v>
          </cell>
          <cell r="U94">
            <v>1</v>
          </cell>
          <cell r="V94">
            <v>120</v>
          </cell>
          <cell r="W94">
            <v>1</v>
          </cell>
          <cell r="X94">
            <v>140</v>
          </cell>
          <cell r="Y94">
            <v>1</v>
          </cell>
          <cell r="Z94">
            <v>100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1</v>
          </cell>
          <cell r="AJ94">
            <v>100</v>
          </cell>
          <cell r="AK94">
            <v>0</v>
          </cell>
          <cell r="AL94">
            <v>0</v>
          </cell>
          <cell r="AM94">
            <v>1</v>
          </cell>
          <cell r="AN94">
            <v>120</v>
          </cell>
          <cell r="AO94">
            <v>1</v>
          </cell>
          <cell r="AP94">
            <v>140</v>
          </cell>
          <cell r="AQ94" t="str">
            <v>MINNEAPOLIS NORTH AREA</v>
          </cell>
          <cell r="AR94">
            <v>46</v>
          </cell>
          <cell r="AS94">
            <v>3455</v>
          </cell>
          <cell r="AT94">
            <v>45</v>
          </cell>
          <cell r="AU94">
            <v>3414</v>
          </cell>
          <cell r="AV94">
            <v>41</v>
          </cell>
          <cell r="AW94">
            <v>3135</v>
          </cell>
          <cell r="AX94">
            <v>67</v>
          </cell>
          <cell r="AY94">
            <v>5537</v>
          </cell>
          <cell r="AZ94">
            <v>0</v>
          </cell>
          <cell r="BA94">
            <v>0</v>
          </cell>
        </row>
        <row r="95">
          <cell r="B95" t="str">
            <v>MINNEAPOLIS SOUTH AREA</v>
          </cell>
          <cell r="C95">
            <v>2</v>
          </cell>
          <cell r="D95">
            <v>186</v>
          </cell>
          <cell r="E95">
            <v>3</v>
          </cell>
          <cell r="F95">
            <v>287</v>
          </cell>
          <cell r="G95">
            <v>30</v>
          </cell>
          <cell r="H95">
            <v>2703</v>
          </cell>
          <cell r="I95">
            <v>3</v>
          </cell>
          <cell r="J95">
            <v>352</v>
          </cell>
          <cell r="K95">
            <v>2</v>
          </cell>
          <cell r="L95">
            <v>186</v>
          </cell>
          <cell r="M95">
            <v>2</v>
          </cell>
          <cell r="N95">
            <v>120</v>
          </cell>
          <cell r="O95">
            <v>4</v>
          </cell>
          <cell r="P95">
            <v>306</v>
          </cell>
          <cell r="Q95">
            <v>2</v>
          </cell>
          <cell r="R95">
            <v>113</v>
          </cell>
          <cell r="S95">
            <v>1</v>
          </cell>
          <cell r="T95">
            <v>127</v>
          </cell>
          <cell r="U95">
            <v>2</v>
          </cell>
          <cell r="V95">
            <v>186</v>
          </cell>
          <cell r="W95">
            <v>2</v>
          </cell>
          <cell r="X95">
            <v>120</v>
          </cell>
          <cell r="Y95">
            <v>2</v>
          </cell>
          <cell r="Z95">
            <v>113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2</v>
          </cell>
          <cell r="AJ95">
            <v>113</v>
          </cell>
          <cell r="AK95">
            <v>0</v>
          </cell>
          <cell r="AL95">
            <v>0</v>
          </cell>
          <cell r="AM95">
            <v>2</v>
          </cell>
          <cell r="AN95">
            <v>186</v>
          </cell>
          <cell r="AO95">
            <v>2</v>
          </cell>
          <cell r="AP95">
            <v>120</v>
          </cell>
          <cell r="AQ95" t="str">
            <v>MINNEAPOLIS SOUTH AREA</v>
          </cell>
          <cell r="AR95">
            <v>76</v>
          </cell>
          <cell r="AS95">
            <v>7134</v>
          </cell>
          <cell r="AT95">
            <v>73</v>
          </cell>
          <cell r="AU95">
            <v>6847</v>
          </cell>
          <cell r="AV95">
            <v>71</v>
          </cell>
          <cell r="AW95">
            <v>6661</v>
          </cell>
          <cell r="AX95">
            <v>65</v>
          </cell>
          <cell r="AY95">
            <v>5685</v>
          </cell>
          <cell r="AZ95">
            <v>0</v>
          </cell>
          <cell r="BA95">
            <v>0</v>
          </cell>
        </row>
        <row r="96">
          <cell r="B96" t="str">
            <v>MISSION VALLEY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3</v>
          </cell>
          <cell r="H96">
            <v>365</v>
          </cell>
          <cell r="I96">
            <v>0</v>
          </cell>
          <cell r="J96">
            <v>0</v>
          </cell>
          <cell r="K96">
            <v>2</v>
          </cell>
          <cell r="L96">
            <v>282</v>
          </cell>
          <cell r="M96">
            <v>1</v>
          </cell>
          <cell r="N96">
            <v>66</v>
          </cell>
          <cell r="O96">
            <v>3</v>
          </cell>
          <cell r="P96">
            <v>348</v>
          </cell>
          <cell r="Q96">
            <v>1</v>
          </cell>
          <cell r="R96">
            <v>192</v>
          </cell>
          <cell r="S96">
            <v>0</v>
          </cell>
          <cell r="T96">
            <v>0</v>
          </cell>
          <cell r="U96">
            <v>1</v>
          </cell>
          <cell r="V96">
            <v>145</v>
          </cell>
          <cell r="W96">
            <v>2</v>
          </cell>
          <cell r="X96">
            <v>203</v>
          </cell>
          <cell r="Y96">
            <v>1</v>
          </cell>
          <cell r="Z96">
            <v>192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1</v>
          </cell>
          <cell r="AJ96">
            <v>192</v>
          </cell>
          <cell r="AK96">
            <v>0</v>
          </cell>
          <cell r="AL96">
            <v>0</v>
          </cell>
          <cell r="AM96">
            <v>1</v>
          </cell>
          <cell r="AN96">
            <v>145</v>
          </cell>
          <cell r="AO96">
            <v>2</v>
          </cell>
          <cell r="AP96">
            <v>203</v>
          </cell>
          <cell r="AQ96" t="str">
            <v>MISSION VALLEY</v>
          </cell>
          <cell r="AR96">
            <v>56</v>
          </cell>
          <cell r="AS96">
            <v>9782</v>
          </cell>
          <cell r="AT96">
            <v>56</v>
          </cell>
          <cell r="AU96">
            <v>9782</v>
          </cell>
          <cell r="AV96">
            <v>56</v>
          </cell>
          <cell r="AW96">
            <v>9782</v>
          </cell>
          <cell r="AX96">
            <v>58</v>
          </cell>
          <cell r="AY96">
            <v>9987</v>
          </cell>
          <cell r="AZ96">
            <v>0</v>
          </cell>
          <cell r="BA96">
            <v>0</v>
          </cell>
        </row>
        <row r="97">
          <cell r="B97" t="str">
            <v>NASHVILLE AREA NORTH</v>
          </cell>
          <cell r="C97">
            <v>3</v>
          </cell>
          <cell r="D97">
            <v>258</v>
          </cell>
          <cell r="E97">
            <v>3</v>
          </cell>
          <cell r="F97">
            <v>212</v>
          </cell>
          <cell r="G97">
            <v>13</v>
          </cell>
          <cell r="H97">
            <v>1062</v>
          </cell>
          <cell r="I97">
            <v>3</v>
          </cell>
          <cell r="J97">
            <v>222</v>
          </cell>
          <cell r="K97">
            <v>0</v>
          </cell>
          <cell r="L97">
            <v>0</v>
          </cell>
          <cell r="M97">
            <v>2</v>
          </cell>
          <cell r="N97">
            <v>159</v>
          </cell>
          <cell r="O97">
            <v>2</v>
          </cell>
          <cell r="P97">
            <v>159</v>
          </cell>
          <cell r="Q97">
            <v>0</v>
          </cell>
          <cell r="R97">
            <v>0</v>
          </cell>
          <cell r="S97">
            <v>1</v>
          </cell>
          <cell r="T97">
            <v>74</v>
          </cell>
          <cell r="U97">
            <v>0</v>
          </cell>
          <cell r="V97">
            <v>0</v>
          </cell>
          <cell r="W97">
            <v>1</v>
          </cell>
          <cell r="X97">
            <v>59</v>
          </cell>
          <cell r="Y97">
            <v>1</v>
          </cell>
          <cell r="Z97">
            <v>100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</v>
          </cell>
          <cell r="AJ97">
            <v>100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1</v>
          </cell>
          <cell r="AP97">
            <v>59</v>
          </cell>
          <cell r="AQ97" t="str">
            <v>NASHVILLE AREA NORTH</v>
          </cell>
          <cell r="AR97">
            <v>55</v>
          </cell>
          <cell r="AS97">
            <v>3965</v>
          </cell>
          <cell r="AT97">
            <v>52</v>
          </cell>
          <cell r="AU97">
            <v>3753</v>
          </cell>
          <cell r="AV97">
            <v>49</v>
          </cell>
          <cell r="AW97">
            <v>3495</v>
          </cell>
          <cell r="AX97">
            <v>53</v>
          </cell>
          <cell r="AY97">
            <v>3825</v>
          </cell>
          <cell r="AZ97">
            <v>1</v>
          </cell>
          <cell r="BA97">
            <v>100</v>
          </cell>
        </row>
        <row r="98">
          <cell r="B98" t="str">
            <v>NASHVILLE AREA SOUTH</v>
          </cell>
          <cell r="C98">
            <v>3</v>
          </cell>
          <cell r="D98">
            <v>180</v>
          </cell>
          <cell r="E98">
            <v>1</v>
          </cell>
          <cell r="F98">
            <v>247</v>
          </cell>
          <cell r="G98">
            <v>33</v>
          </cell>
          <cell r="H98">
            <v>3073</v>
          </cell>
          <cell r="I98">
            <v>1</v>
          </cell>
          <cell r="J98">
            <v>247</v>
          </cell>
          <cell r="K98">
            <v>3</v>
          </cell>
          <cell r="L98">
            <v>242</v>
          </cell>
          <cell r="M98">
            <v>0</v>
          </cell>
          <cell r="N98">
            <v>0</v>
          </cell>
          <cell r="O98">
            <v>3</v>
          </cell>
          <cell r="P98">
            <v>242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3</v>
          </cell>
          <cell r="V98">
            <v>242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3</v>
          </cell>
          <cell r="AN98">
            <v>242</v>
          </cell>
          <cell r="AO98">
            <v>0</v>
          </cell>
          <cell r="AP98">
            <v>0</v>
          </cell>
          <cell r="AQ98" t="str">
            <v>NASHVILLE AREA SOUTH</v>
          </cell>
          <cell r="AR98">
            <v>81</v>
          </cell>
          <cell r="AS98">
            <v>7775</v>
          </cell>
          <cell r="AT98">
            <v>80</v>
          </cell>
          <cell r="AU98">
            <v>7528</v>
          </cell>
          <cell r="AV98">
            <v>77</v>
          </cell>
          <cell r="AW98">
            <v>7348</v>
          </cell>
          <cell r="AX98">
            <v>77</v>
          </cell>
          <cell r="AY98">
            <v>7259</v>
          </cell>
          <cell r="AZ98">
            <v>0</v>
          </cell>
          <cell r="BA98">
            <v>0</v>
          </cell>
        </row>
        <row r="99">
          <cell r="B99" t="str">
            <v>NASHVILLE DOWNTOWN &amp; SOUTH</v>
          </cell>
          <cell r="C99">
            <v>2</v>
          </cell>
          <cell r="D99">
            <v>401</v>
          </cell>
          <cell r="E99">
            <v>2</v>
          </cell>
          <cell r="F99">
            <v>515</v>
          </cell>
          <cell r="G99">
            <v>8</v>
          </cell>
          <cell r="H99">
            <v>1465</v>
          </cell>
          <cell r="I99">
            <v>2</v>
          </cell>
          <cell r="J99">
            <v>515</v>
          </cell>
          <cell r="K99">
            <v>1</v>
          </cell>
          <cell r="L99">
            <v>114</v>
          </cell>
          <cell r="M99">
            <v>0</v>
          </cell>
          <cell r="N99">
            <v>0</v>
          </cell>
          <cell r="O99">
            <v>1</v>
          </cell>
          <cell r="P99">
            <v>114</v>
          </cell>
          <cell r="Q99">
            <v>1</v>
          </cell>
          <cell r="R99">
            <v>100</v>
          </cell>
          <cell r="S99">
            <v>0</v>
          </cell>
          <cell r="T99">
            <v>0</v>
          </cell>
          <cell r="U99">
            <v>1</v>
          </cell>
          <cell r="V99">
            <v>114</v>
          </cell>
          <cell r="W99">
            <v>0</v>
          </cell>
          <cell r="X99">
            <v>0</v>
          </cell>
          <cell r="Y99">
            <v>1</v>
          </cell>
          <cell r="Z99">
            <v>100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1</v>
          </cell>
          <cell r="AJ99">
            <v>100</v>
          </cell>
          <cell r="AK99">
            <v>0</v>
          </cell>
          <cell r="AL99">
            <v>0</v>
          </cell>
          <cell r="AM99">
            <v>1</v>
          </cell>
          <cell r="AN99">
            <v>114</v>
          </cell>
          <cell r="AO99">
            <v>0</v>
          </cell>
          <cell r="AP99">
            <v>0</v>
          </cell>
          <cell r="AQ99" t="str">
            <v>NASHVILLE DOWNTOWN &amp; SOUTH</v>
          </cell>
          <cell r="AR99">
            <v>35</v>
          </cell>
          <cell r="AS99">
            <v>5922</v>
          </cell>
          <cell r="AT99">
            <v>33</v>
          </cell>
          <cell r="AU99">
            <v>5407</v>
          </cell>
          <cell r="AV99">
            <v>31</v>
          </cell>
          <cell r="AW99">
            <v>5006</v>
          </cell>
          <cell r="AX99">
            <v>33</v>
          </cell>
          <cell r="AY99">
            <v>5731</v>
          </cell>
          <cell r="AZ99">
            <v>0</v>
          </cell>
          <cell r="BA99">
            <v>0</v>
          </cell>
        </row>
        <row r="100">
          <cell r="B100" t="str">
            <v>NASHVILLE EAST AIRPORT</v>
          </cell>
          <cell r="C100">
            <v>2</v>
          </cell>
          <cell r="D100">
            <v>236</v>
          </cell>
          <cell r="E100">
            <v>4</v>
          </cell>
          <cell r="F100">
            <v>420</v>
          </cell>
          <cell r="G100">
            <v>16</v>
          </cell>
          <cell r="H100">
            <v>1697</v>
          </cell>
          <cell r="I100">
            <v>4</v>
          </cell>
          <cell r="J100">
            <v>420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1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  <cell r="Z100">
            <v>100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1</v>
          </cell>
          <cell r="AJ100">
            <v>100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 t="str">
            <v>NASHVILLE EAST AIRPORT</v>
          </cell>
          <cell r="AR100">
            <v>74</v>
          </cell>
          <cell r="AS100">
            <v>12862</v>
          </cell>
          <cell r="AT100">
            <v>70</v>
          </cell>
          <cell r="AU100">
            <v>12442</v>
          </cell>
          <cell r="AV100">
            <v>68</v>
          </cell>
          <cell r="AW100">
            <v>12206</v>
          </cell>
          <cell r="AX100">
            <v>77</v>
          </cell>
          <cell r="AY100">
            <v>13114</v>
          </cell>
          <cell r="AZ100">
            <v>0</v>
          </cell>
          <cell r="BA100">
            <v>0</v>
          </cell>
        </row>
        <row r="101">
          <cell r="B101" t="str">
            <v>NASHVILLE METRO CENTER-NORTH</v>
          </cell>
          <cell r="C101">
            <v>1</v>
          </cell>
          <cell r="D101">
            <v>78</v>
          </cell>
          <cell r="E101">
            <v>0</v>
          </cell>
          <cell r="F101">
            <v>0</v>
          </cell>
          <cell r="G101">
            <v>1</v>
          </cell>
          <cell r="H101">
            <v>78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 t="str">
            <v>NASHVILLE METRO CENTER-NORTH</v>
          </cell>
          <cell r="AR101">
            <v>32</v>
          </cell>
          <cell r="AS101">
            <v>3232</v>
          </cell>
          <cell r="AT101">
            <v>32</v>
          </cell>
          <cell r="AU101">
            <v>3232</v>
          </cell>
          <cell r="AV101">
            <v>31</v>
          </cell>
          <cell r="AW101">
            <v>3154</v>
          </cell>
          <cell r="AX101">
            <v>28</v>
          </cell>
          <cell r="AY101">
            <v>2770</v>
          </cell>
          <cell r="AZ101">
            <v>0</v>
          </cell>
          <cell r="BA101">
            <v>0</v>
          </cell>
        </row>
        <row r="102">
          <cell r="B102" t="str">
            <v>NEW ORLEANS CBD</v>
          </cell>
          <cell r="C102">
            <v>6</v>
          </cell>
          <cell r="D102">
            <v>1417</v>
          </cell>
          <cell r="E102">
            <v>8</v>
          </cell>
          <cell r="F102">
            <v>1457</v>
          </cell>
          <cell r="G102">
            <v>28</v>
          </cell>
          <cell r="H102">
            <v>4887</v>
          </cell>
          <cell r="I102">
            <v>7</v>
          </cell>
          <cell r="J102">
            <v>1148</v>
          </cell>
          <cell r="K102">
            <v>5</v>
          </cell>
          <cell r="L102">
            <v>1230</v>
          </cell>
          <cell r="M102">
            <v>4</v>
          </cell>
          <cell r="N102">
            <v>1319</v>
          </cell>
          <cell r="O102">
            <v>9</v>
          </cell>
          <cell r="P102">
            <v>2549</v>
          </cell>
          <cell r="Q102">
            <v>3</v>
          </cell>
          <cell r="R102">
            <v>825</v>
          </cell>
          <cell r="S102">
            <v>1</v>
          </cell>
          <cell r="T102">
            <v>100</v>
          </cell>
          <cell r="U102">
            <v>5</v>
          </cell>
          <cell r="V102">
            <v>1230</v>
          </cell>
          <cell r="W102">
            <v>0</v>
          </cell>
          <cell r="X102">
            <v>0</v>
          </cell>
          <cell r="Y102">
            <v>6</v>
          </cell>
          <cell r="Z102">
            <v>1449</v>
          </cell>
          <cell r="AA102">
            <v>1</v>
          </cell>
          <cell r="AB102">
            <v>695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7</v>
          </cell>
          <cell r="AJ102">
            <v>2144</v>
          </cell>
          <cell r="AK102">
            <v>0</v>
          </cell>
          <cell r="AL102">
            <v>0</v>
          </cell>
          <cell r="AM102">
            <v>5</v>
          </cell>
          <cell r="AN102">
            <v>1230</v>
          </cell>
          <cell r="AO102">
            <v>0</v>
          </cell>
          <cell r="AP102">
            <v>0</v>
          </cell>
          <cell r="AQ102" t="str">
            <v>NEW ORLEANS CBD</v>
          </cell>
          <cell r="AR102">
            <v>87</v>
          </cell>
          <cell r="AS102">
            <v>22457</v>
          </cell>
          <cell r="AT102">
            <v>79</v>
          </cell>
          <cell r="AU102">
            <v>21000</v>
          </cell>
          <cell r="AV102">
            <v>73</v>
          </cell>
          <cell r="AW102">
            <v>19583</v>
          </cell>
          <cell r="AX102">
            <v>86</v>
          </cell>
          <cell r="AY102">
            <v>20712</v>
          </cell>
          <cell r="AZ102">
            <v>4</v>
          </cell>
          <cell r="BA102">
            <v>1319</v>
          </cell>
        </row>
        <row r="103">
          <cell r="B103" t="str">
            <v>NEW ORLEANS EAST/FRENCH QTR</v>
          </cell>
          <cell r="C103">
            <v>4</v>
          </cell>
          <cell r="D103">
            <v>523</v>
          </cell>
          <cell r="E103">
            <v>2</v>
          </cell>
          <cell r="F103">
            <v>83</v>
          </cell>
          <cell r="G103">
            <v>9</v>
          </cell>
          <cell r="H103">
            <v>742</v>
          </cell>
          <cell r="I103">
            <v>2</v>
          </cell>
          <cell r="J103">
            <v>83</v>
          </cell>
          <cell r="K103">
            <v>0</v>
          </cell>
          <cell r="L103">
            <v>0</v>
          </cell>
          <cell r="M103">
            <v>1</v>
          </cell>
          <cell r="N103">
            <v>80</v>
          </cell>
          <cell r="O103">
            <v>1</v>
          </cell>
          <cell r="P103">
            <v>80</v>
          </cell>
          <cell r="Q103">
            <v>1</v>
          </cell>
          <cell r="R103">
            <v>84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1</v>
          </cell>
          <cell r="X103">
            <v>80</v>
          </cell>
          <cell r="Y103">
            <v>1</v>
          </cell>
          <cell r="Z103">
            <v>84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1</v>
          </cell>
          <cell r="AJ103">
            <v>84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1</v>
          </cell>
          <cell r="AP103">
            <v>80</v>
          </cell>
          <cell r="AQ103" t="str">
            <v>NEW ORLEANS EAST/FRENCH QUARTER</v>
          </cell>
          <cell r="AR103">
            <v>35</v>
          </cell>
          <cell r="AS103">
            <v>2953</v>
          </cell>
          <cell r="AT103">
            <v>33</v>
          </cell>
          <cell r="AU103">
            <v>2870</v>
          </cell>
          <cell r="AV103">
            <v>29</v>
          </cell>
          <cell r="AW103">
            <v>2347</v>
          </cell>
          <cell r="AX103">
            <v>42</v>
          </cell>
          <cell r="AY103">
            <v>3542</v>
          </cell>
          <cell r="AZ103">
            <v>0</v>
          </cell>
          <cell r="BA103">
            <v>0</v>
          </cell>
        </row>
        <row r="104">
          <cell r="B104" t="str">
            <v>NEW ORLEANS EAST/FRENCH QUARTER</v>
          </cell>
          <cell r="C104">
            <v>4</v>
          </cell>
          <cell r="D104">
            <v>523</v>
          </cell>
          <cell r="E104">
            <v>2</v>
          </cell>
          <cell r="F104">
            <v>83</v>
          </cell>
          <cell r="G104">
            <v>9</v>
          </cell>
          <cell r="H104">
            <v>742</v>
          </cell>
          <cell r="I104">
            <v>2</v>
          </cell>
          <cell r="J104">
            <v>83</v>
          </cell>
          <cell r="K104">
            <v>0</v>
          </cell>
          <cell r="L104">
            <v>0</v>
          </cell>
          <cell r="M104">
            <v>1</v>
          </cell>
          <cell r="N104">
            <v>80</v>
          </cell>
          <cell r="O104">
            <v>1</v>
          </cell>
          <cell r="P104">
            <v>80</v>
          </cell>
          <cell r="Q104">
            <v>1</v>
          </cell>
          <cell r="R104">
            <v>84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1</v>
          </cell>
          <cell r="X104">
            <v>80</v>
          </cell>
          <cell r="Y104">
            <v>1</v>
          </cell>
          <cell r="Z104">
            <v>84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1</v>
          </cell>
          <cell r="AJ104">
            <v>84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1</v>
          </cell>
          <cell r="AP104">
            <v>80</v>
          </cell>
          <cell r="AQ104" t="str">
            <v>NEW ORLEANS EAST/FRENCH QUARTER</v>
          </cell>
          <cell r="AR104">
            <v>35</v>
          </cell>
          <cell r="AS104">
            <v>2953</v>
          </cell>
          <cell r="AT104">
            <v>33</v>
          </cell>
          <cell r="AU104">
            <v>2870</v>
          </cell>
          <cell r="AV104">
            <v>29</v>
          </cell>
          <cell r="AW104">
            <v>2347</v>
          </cell>
          <cell r="AX104">
            <v>42</v>
          </cell>
          <cell r="AY104">
            <v>3542</v>
          </cell>
          <cell r="AZ104">
            <v>0</v>
          </cell>
          <cell r="BA104">
            <v>0</v>
          </cell>
        </row>
        <row r="105">
          <cell r="B105" t="str">
            <v>NEW YORK NY AREA</v>
          </cell>
          <cell r="C105">
            <v>2</v>
          </cell>
          <cell r="D105">
            <v>82</v>
          </cell>
          <cell r="E105">
            <v>8</v>
          </cell>
          <cell r="F105">
            <v>1125</v>
          </cell>
          <cell r="G105">
            <v>14</v>
          </cell>
          <cell r="H105">
            <v>2126</v>
          </cell>
          <cell r="I105">
            <v>9</v>
          </cell>
          <cell r="J105">
            <v>1423</v>
          </cell>
          <cell r="K105">
            <v>4</v>
          </cell>
          <cell r="L105">
            <v>430</v>
          </cell>
          <cell r="M105">
            <v>3</v>
          </cell>
          <cell r="N105">
            <v>378</v>
          </cell>
          <cell r="O105">
            <v>7</v>
          </cell>
          <cell r="P105">
            <v>808</v>
          </cell>
          <cell r="Q105">
            <v>5</v>
          </cell>
          <cell r="R105">
            <v>699</v>
          </cell>
          <cell r="S105">
            <v>1</v>
          </cell>
          <cell r="T105">
            <v>298</v>
          </cell>
          <cell r="U105">
            <v>4</v>
          </cell>
          <cell r="V105">
            <v>430</v>
          </cell>
          <cell r="W105">
            <v>2</v>
          </cell>
          <cell r="X105">
            <v>158</v>
          </cell>
          <cell r="Y105">
            <v>5</v>
          </cell>
          <cell r="Z105">
            <v>639</v>
          </cell>
          <cell r="AA105">
            <v>1</v>
          </cell>
          <cell r="AB105">
            <v>280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6</v>
          </cell>
          <cell r="AJ105">
            <v>919</v>
          </cell>
          <cell r="AK105">
            <v>0</v>
          </cell>
          <cell r="AL105">
            <v>0</v>
          </cell>
          <cell r="AM105">
            <v>4</v>
          </cell>
          <cell r="AN105">
            <v>430</v>
          </cell>
          <cell r="AO105">
            <v>2</v>
          </cell>
          <cell r="AP105">
            <v>158</v>
          </cell>
          <cell r="AQ105" t="str">
            <v>NEW YORK NY AREA</v>
          </cell>
          <cell r="AR105">
            <v>59</v>
          </cell>
          <cell r="AS105">
            <v>8973</v>
          </cell>
          <cell r="AT105">
            <v>51</v>
          </cell>
          <cell r="AU105">
            <v>7848</v>
          </cell>
          <cell r="AV105">
            <v>49</v>
          </cell>
          <cell r="AW105">
            <v>7766</v>
          </cell>
          <cell r="AX105">
            <v>61</v>
          </cell>
          <cell r="AY105">
            <v>7562</v>
          </cell>
          <cell r="AZ105">
            <v>1</v>
          </cell>
          <cell r="BA105">
            <v>220</v>
          </cell>
        </row>
        <row r="106">
          <cell r="B106" t="str">
            <v>NEWPORT NEWS/HAMPTON</v>
          </cell>
          <cell r="C106">
            <v>2</v>
          </cell>
          <cell r="D106">
            <v>219</v>
          </cell>
          <cell r="E106">
            <v>1</v>
          </cell>
          <cell r="F106">
            <v>168</v>
          </cell>
          <cell r="G106">
            <v>10</v>
          </cell>
          <cell r="H106">
            <v>1111</v>
          </cell>
          <cell r="I106">
            <v>1</v>
          </cell>
          <cell r="J106">
            <v>129</v>
          </cell>
          <cell r="K106">
            <v>0</v>
          </cell>
          <cell r="L106">
            <v>0</v>
          </cell>
          <cell r="M106">
            <v>3</v>
          </cell>
          <cell r="N106">
            <v>280</v>
          </cell>
          <cell r="O106">
            <v>3</v>
          </cell>
          <cell r="P106">
            <v>280</v>
          </cell>
          <cell r="Q106">
            <v>2</v>
          </cell>
          <cell r="R106">
            <v>210</v>
          </cell>
          <cell r="S106">
            <v>1</v>
          </cell>
          <cell r="T106">
            <v>129</v>
          </cell>
          <cell r="U106">
            <v>0</v>
          </cell>
          <cell r="V106">
            <v>0</v>
          </cell>
          <cell r="W106">
            <v>3</v>
          </cell>
          <cell r="X106">
            <v>280</v>
          </cell>
          <cell r="Y106">
            <v>2</v>
          </cell>
          <cell r="Z106">
            <v>210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2</v>
          </cell>
          <cell r="AJ106">
            <v>210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3</v>
          </cell>
          <cell r="AP106">
            <v>280</v>
          </cell>
          <cell r="AQ106" t="str">
            <v>NEWPORT NEWS/HAMPTON</v>
          </cell>
          <cell r="AR106">
            <v>67</v>
          </cell>
          <cell r="AS106">
            <v>6595</v>
          </cell>
          <cell r="AT106">
            <v>66</v>
          </cell>
          <cell r="AU106">
            <v>6427</v>
          </cell>
          <cell r="AV106">
            <v>64</v>
          </cell>
          <cell r="AW106">
            <v>6208</v>
          </cell>
          <cell r="AX106">
            <v>60</v>
          </cell>
          <cell r="AY106">
            <v>5640</v>
          </cell>
          <cell r="AZ106">
            <v>0</v>
          </cell>
          <cell r="BA106">
            <v>0</v>
          </cell>
        </row>
        <row r="107">
          <cell r="B107" t="str">
            <v>NORFOLK CITY</v>
          </cell>
          <cell r="C107">
            <v>2</v>
          </cell>
          <cell r="D107">
            <v>217</v>
          </cell>
          <cell r="E107">
            <v>2</v>
          </cell>
          <cell r="F107">
            <v>234</v>
          </cell>
          <cell r="G107">
            <v>7</v>
          </cell>
          <cell r="H107">
            <v>764</v>
          </cell>
          <cell r="I107">
            <v>2</v>
          </cell>
          <cell r="J107">
            <v>234</v>
          </cell>
          <cell r="K107">
            <v>2</v>
          </cell>
          <cell r="L107">
            <v>300</v>
          </cell>
          <cell r="M107">
            <v>0</v>
          </cell>
          <cell r="N107">
            <v>0</v>
          </cell>
          <cell r="O107">
            <v>2</v>
          </cell>
          <cell r="P107">
            <v>300</v>
          </cell>
          <cell r="Q107">
            <v>1</v>
          </cell>
          <cell r="R107">
            <v>100</v>
          </cell>
          <cell r="S107">
            <v>0</v>
          </cell>
          <cell r="T107">
            <v>0</v>
          </cell>
          <cell r="U107">
            <v>1</v>
          </cell>
          <cell r="V107">
            <v>140</v>
          </cell>
          <cell r="W107">
            <v>1</v>
          </cell>
          <cell r="X107">
            <v>160</v>
          </cell>
          <cell r="Y107">
            <v>1</v>
          </cell>
          <cell r="Z107">
            <v>100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1</v>
          </cell>
          <cell r="AJ107">
            <v>100</v>
          </cell>
          <cell r="AK107">
            <v>0</v>
          </cell>
          <cell r="AL107">
            <v>0</v>
          </cell>
          <cell r="AM107">
            <v>1</v>
          </cell>
          <cell r="AN107">
            <v>140</v>
          </cell>
          <cell r="AO107">
            <v>1</v>
          </cell>
          <cell r="AP107">
            <v>160</v>
          </cell>
          <cell r="AQ107" t="str">
            <v>NORFOLK CITY</v>
          </cell>
          <cell r="AR107">
            <v>45</v>
          </cell>
          <cell r="AS107">
            <v>5099</v>
          </cell>
          <cell r="AT107">
            <v>43</v>
          </cell>
          <cell r="AU107">
            <v>4865</v>
          </cell>
          <cell r="AV107">
            <v>41</v>
          </cell>
          <cell r="AW107">
            <v>4648</v>
          </cell>
          <cell r="AX107">
            <v>39</v>
          </cell>
          <cell r="AY107">
            <v>4745</v>
          </cell>
          <cell r="AZ107">
            <v>0</v>
          </cell>
          <cell r="BA107">
            <v>0</v>
          </cell>
        </row>
        <row r="108">
          <cell r="B108" t="str">
            <v>OAHU AREA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1</v>
          </cell>
          <cell r="H108">
            <v>48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1</v>
          </cell>
          <cell r="R108">
            <v>243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243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1</v>
          </cell>
          <cell r="AJ108">
            <v>243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 t="str">
            <v>OAHU AREA</v>
          </cell>
          <cell r="AR108">
            <v>12</v>
          </cell>
          <cell r="AS108">
            <v>3764</v>
          </cell>
          <cell r="AT108">
            <v>12</v>
          </cell>
          <cell r="AU108">
            <v>3764</v>
          </cell>
          <cell r="AV108">
            <v>12</v>
          </cell>
          <cell r="AW108">
            <v>3764</v>
          </cell>
          <cell r="AX108">
            <v>15</v>
          </cell>
          <cell r="AY108">
            <v>3699</v>
          </cell>
          <cell r="AZ108">
            <v>0</v>
          </cell>
          <cell r="BA108">
            <v>0</v>
          </cell>
        </row>
        <row r="109">
          <cell r="B109" t="str">
            <v>ORANGE COUNTY NORTHWEST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2</v>
          </cell>
          <cell r="H109">
            <v>219</v>
          </cell>
          <cell r="I109">
            <v>0</v>
          </cell>
          <cell r="J109">
            <v>0</v>
          </cell>
          <cell r="K109">
            <v>1</v>
          </cell>
          <cell r="L109">
            <v>155</v>
          </cell>
          <cell r="M109">
            <v>0</v>
          </cell>
          <cell r="N109">
            <v>0</v>
          </cell>
          <cell r="O109">
            <v>1</v>
          </cell>
          <cell r="P109">
            <v>155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1</v>
          </cell>
          <cell r="V109">
            <v>155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1</v>
          </cell>
          <cell r="AN109">
            <v>155</v>
          </cell>
          <cell r="AO109">
            <v>0</v>
          </cell>
          <cell r="AP109">
            <v>0</v>
          </cell>
          <cell r="AQ109" t="str">
            <v>ORANGE COUNTY NORTHWEST</v>
          </cell>
          <cell r="AR109">
            <v>63</v>
          </cell>
          <cell r="AS109">
            <v>6067</v>
          </cell>
          <cell r="AT109">
            <v>63</v>
          </cell>
          <cell r="AU109">
            <v>6067</v>
          </cell>
          <cell r="AV109">
            <v>63</v>
          </cell>
          <cell r="AW109">
            <v>6067</v>
          </cell>
          <cell r="AX109">
            <v>62</v>
          </cell>
          <cell r="AY109">
            <v>6081</v>
          </cell>
          <cell r="AZ109">
            <v>0</v>
          </cell>
          <cell r="BA109">
            <v>0</v>
          </cell>
        </row>
        <row r="110">
          <cell r="B110" t="str">
            <v>ORANGE COUNTY SOUTH-EAST</v>
          </cell>
          <cell r="C110">
            <v>2</v>
          </cell>
          <cell r="D110">
            <v>551</v>
          </cell>
          <cell r="E110">
            <v>2</v>
          </cell>
          <cell r="F110">
            <v>599</v>
          </cell>
          <cell r="G110">
            <v>9</v>
          </cell>
          <cell r="H110">
            <v>1984</v>
          </cell>
          <cell r="I110">
            <v>2</v>
          </cell>
          <cell r="J110">
            <v>631</v>
          </cell>
          <cell r="K110">
            <v>3</v>
          </cell>
          <cell r="L110">
            <v>993</v>
          </cell>
          <cell r="M110">
            <v>2</v>
          </cell>
          <cell r="N110">
            <v>313</v>
          </cell>
          <cell r="O110">
            <v>5</v>
          </cell>
          <cell r="P110">
            <v>1306</v>
          </cell>
          <cell r="Q110">
            <v>2</v>
          </cell>
          <cell r="R110">
            <v>362</v>
          </cell>
          <cell r="S110">
            <v>1</v>
          </cell>
          <cell r="T110">
            <v>256</v>
          </cell>
          <cell r="U110">
            <v>2</v>
          </cell>
          <cell r="V110">
            <v>474</v>
          </cell>
          <cell r="W110">
            <v>2</v>
          </cell>
          <cell r="X110">
            <v>631</v>
          </cell>
          <cell r="Y110">
            <v>3</v>
          </cell>
          <cell r="Z110">
            <v>563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3</v>
          </cell>
          <cell r="AJ110">
            <v>563</v>
          </cell>
          <cell r="AK110">
            <v>0</v>
          </cell>
          <cell r="AL110">
            <v>0</v>
          </cell>
          <cell r="AM110">
            <v>2</v>
          </cell>
          <cell r="AN110">
            <v>474</v>
          </cell>
          <cell r="AO110">
            <v>2</v>
          </cell>
          <cell r="AP110">
            <v>631</v>
          </cell>
          <cell r="AQ110" t="str">
            <v>ORANGE COUNTY SOUTH-EAST</v>
          </cell>
          <cell r="AR110">
            <v>87</v>
          </cell>
          <cell r="AS110">
            <v>10808</v>
          </cell>
          <cell r="AT110">
            <v>85</v>
          </cell>
          <cell r="AU110">
            <v>10209</v>
          </cell>
          <cell r="AV110">
            <v>83</v>
          </cell>
          <cell r="AW110">
            <v>9658</v>
          </cell>
          <cell r="AX110">
            <v>102</v>
          </cell>
          <cell r="AY110">
            <v>12093</v>
          </cell>
          <cell r="AZ110">
            <v>1</v>
          </cell>
          <cell r="BA110">
            <v>201</v>
          </cell>
        </row>
        <row r="111">
          <cell r="B111" t="str">
            <v>ORANGE COUNTY SOUTH-WEST</v>
          </cell>
          <cell r="C111">
            <v>1</v>
          </cell>
          <cell r="D111">
            <v>116</v>
          </cell>
          <cell r="E111">
            <v>6</v>
          </cell>
          <cell r="F111">
            <v>1032</v>
          </cell>
          <cell r="G111">
            <v>12</v>
          </cell>
          <cell r="H111">
            <v>1874</v>
          </cell>
          <cell r="I111">
            <v>5</v>
          </cell>
          <cell r="J111">
            <v>868</v>
          </cell>
          <cell r="K111">
            <v>3</v>
          </cell>
          <cell r="L111">
            <v>495</v>
          </cell>
          <cell r="M111">
            <v>1</v>
          </cell>
          <cell r="N111">
            <v>156</v>
          </cell>
          <cell r="O111">
            <v>4</v>
          </cell>
          <cell r="P111">
            <v>651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1</v>
          </cell>
          <cell r="V111">
            <v>90</v>
          </cell>
          <cell r="W111">
            <v>2</v>
          </cell>
          <cell r="X111">
            <v>405</v>
          </cell>
          <cell r="Y111">
            <v>1</v>
          </cell>
          <cell r="Z111">
            <v>156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1</v>
          </cell>
          <cell r="AJ111">
            <v>156</v>
          </cell>
          <cell r="AK111">
            <v>0</v>
          </cell>
          <cell r="AL111">
            <v>0</v>
          </cell>
          <cell r="AM111">
            <v>1</v>
          </cell>
          <cell r="AN111">
            <v>90</v>
          </cell>
          <cell r="AO111">
            <v>2</v>
          </cell>
          <cell r="AP111">
            <v>405</v>
          </cell>
          <cell r="AQ111" t="str">
            <v>ORANGE COUNTY SOUTH-WEST</v>
          </cell>
          <cell r="AR111">
            <v>101</v>
          </cell>
          <cell r="AS111">
            <v>13343</v>
          </cell>
          <cell r="AT111">
            <v>95</v>
          </cell>
          <cell r="AU111">
            <v>12311</v>
          </cell>
          <cell r="AV111">
            <v>94</v>
          </cell>
          <cell r="AW111">
            <v>12195</v>
          </cell>
          <cell r="AX111">
            <v>94</v>
          </cell>
          <cell r="AY111">
            <v>12762</v>
          </cell>
          <cell r="AZ111">
            <v>1</v>
          </cell>
          <cell r="BA111">
            <v>156</v>
          </cell>
        </row>
        <row r="112">
          <cell r="B112" t="str">
            <v>ORLANDO CBD</v>
          </cell>
          <cell r="C112">
            <v>2</v>
          </cell>
          <cell r="D112">
            <v>266</v>
          </cell>
          <cell r="E112">
            <v>2</v>
          </cell>
          <cell r="F112">
            <v>372</v>
          </cell>
          <cell r="G112">
            <v>13</v>
          </cell>
          <cell r="H112">
            <v>1864</v>
          </cell>
          <cell r="I112">
            <v>1</v>
          </cell>
          <cell r="J112">
            <v>250</v>
          </cell>
          <cell r="K112">
            <v>1</v>
          </cell>
          <cell r="L112">
            <v>105</v>
          </cell>
          <cell r="M112">
            <v>1</v>
          </cell>
          <cell r="N112">
            <v>350</v>
          </cell>
          <cell r="O112">
            <v>2</v>
          </cell>
          <cell r="P112">
            <v>455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105</v>
          </cell>
          <cell r="W112">
            <v>0</v>
          </cell>
          <cell r="X112">
            <v>0</v>
          </cell>
          <cell r="Y112">
            <v>1</v>
          </cell>
          <cell r="Z112">
            <v>350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1</v>
          </cell>
          <cell r="AJ112">
            <v>350</v>
          </cell>
          <cell r="AK112">
            <v>0</v>
          </cell>
          <cell r="AL112">
            <v>0</v>
          </cell>
          <cell r="AM112">
            <v>1</v>
          </cell>
          <cell r="AN112">
            <v>105</v>
          </cell>
          <cell r="AO112">
            <v>0</v>
          </cell>
          <cell r="AP112">
            <v>0</v>
          </cell>
          <cell r="AQ112" t="str">
            <v>ORLANDO CBD</v>
          </cell>
          <cell r="AR112">
            <v>42</v>
          </cell>
          <cell r="AS112">
            <v>6372</v>
          </cell>
          <cell r="AT112">
            <v>40</v>
          </cell>
          <cell r="AU112">
            <v>6000</v>
          </cell>
          <cell r="AV112">
            <v>38</v>
          </cell>
          <cell r="AW112">
            <v>5734</v>
          </cell>
          <cell r="AX112">
            <v>42</v>
          </cell>
          <cell r="AY112">
            <v>6797</v>
          </cell>
          <cell r="AZ112">
            <v>1</v>
          </cell>
          <cell r="BA112">
            <v>350</v>
          </cell>
        </row>
        <row r="113">
          <cell r="B113" t="str">
            <v>ORLANDO NORTH</v>
          </cell>
          <cell r="C113">
            <v>4</v>
          </cell>
          <cell r="D113">
            <v>438</v>
          </cell>
          <cell r="E113">
            <v>1</v>
          </cell>
          <cell r="F113">
            <v>83</v>
          </cell>
          <cell r="G113">
            <v>17</v>
          </cell>
          <cell r="H113">
            <v>1860</v>
          </cell>
          <cell r="I113">
            <v>1</v>
          </cell>
          <cell r="J113">
            <v>83</v>
          </cell>
          <cell r="K113">
            <v>3</v>
          </cell>
          <cell r="L113">
            <v>538</v>
          </cell>
          <cell r="M113">
            <v>2</v>
          </cell>
          <cell r="N113">
            <v>282</v>
          </cell>
          <cell r="O113">
            <v>5</v>
          </cell>
          <cell r="P113">
            <v>820</v>
          </cell>
          <cell r="Q113">
            <v>3</v>
          </cell>
          <cell r="R113">
            <v>650</v>
          </cell>
          <cell r="S113">
            <v>0</v>
          </cell>
          <cell r="T113">
            <v>0</v>
          </cell>
          <cell r="U113">
            <v>2</v>
          </cell>
          <cell r="V113">
            <v>413</v>
          </cell>
          <cell r="W113">
            <v>2</v>
          </cell>
          <cell r="X113">
            <v>247</v>
          </cell>
          <cell r="Y113">
            <v>3</v>
          </cell>
          <cell r="Z113">
            <v>610</v>
          </cell>
          <cell r="AA113">
            <v>1</v>
          </cell>
          <cell r="AB113">
            <v>200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4</v>
          </cell>
          <cell r="AJ113">
            <v>810</v>
          </cell>
          <cell r="AK113">
            <v>0</v>
          </cell>
          <cell r="AL113">
            <v>0</v>
          </cell>
          <cell r="AM113">
            <v>2</v>
          </cell>
          <cell r="AN113">
            <v>413</v>
          </cell>
          <cell r="AO113">
            <v>2</v>
          </cell>
          <cell r="AP113">
            <v>247</v>
          </cell>
          <cell r="AQ113" t="str">
            <v>ORLANDO NORTH</v>
          </cell>
          <cell r="AR113">
            <v>49</v>
          </cell>
          <cell r="AS113">
            <v>6317</v>
          </cell>
          <cell r="AT113">
            <v>48</v>
          </cell>
          <cell r="AU113">
            <v>6234</v>
          </cell>
          <cell r="AV113">
            <v>44</v>
          </cell>
          <cell r="AW113">
            <v>5796</v>
          </cell>
          <cell r="AX113">
            <v>48</v>
          </cell>
          <cell r="AY113">
            <v>6397</v>
          </cell>
          <cell r="AZ113">
            <v>1</v>
          </cell>
          <cell r="BA113">
            <v>160</v>
          </cell>
        </row>
        <row r="114">
          <cell r="B114" t="str">
            <v>ORLANDO SOUTH</v>
          </cell>
          <cell r="C114">
            <v>1</v>
          </cell>
          <cell r="D114">
            <v>95</v>
          </cell>
          <cell r="E114">
            <v>1</v>
          </cell>
          <cell r="F114">
            <v>74</v>
          </cell>
          <cell r="G114">
            <v>14</v>
          </cell>
          <cell r="H114">
            <v>1796</v>
          </cell>
          <cell r="I114">
            <v>1</v>
          </cell>
          <cell r="J114">
            <v>74</v>
          </cell>
          <cell r="K114">
            <v>1</v>
          </cell>
          <cell r="L114">
            <v>136</v>
          </cell>
          <cell r="M114">
            <v>3</v>
          </cell>
          <cell r="N114">
            <v>320</v>
          </cell>
          <cell r="O114">
            <v>4</v>
          </cell>
          <cell r="P114">
            <v>456</v>
          </cell>
          <cell r="Q114">
            <v>2</v>
          </cell>
          <cell r="R114">
            <v>325</v>
          </cell>
          <cell r="S114">
            <v>0</v>
          </cell>
          <cell r="T114">
            <v>0</v>
          </cell>
          <cell r="U114">
            <v>1</v>
          </cell>
          <cell r="V114">
            <v>136</v>
          </cell>
          <cell r="W114">
            <v>2</v>
          </cell>
          <cell r="X114">
            <v>220</v>
          </cell>
          <cell r="Y114">
            <v>2</v>
          </cell>
          <cell r="Z114">
            <v>225</v>
          </cell>
          <cell r="AA114">
            <v>1</v>
          </cell>
          <cell r="AB114">
            <v>200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3</v>
          </cell>
          <cell r="AJ114">
            <v>425</v>
          </cell>
          <cell r="AK114">
            <v>0</v>
          </cell>
          <cell r="AL114">
            <v>0</v>
          </cell>
          <cell r="AM114">
            <v>1</v>
          </cell>
          <cell r="AN114">
            <v>136</v>
          </cell>
          <cell r="AO114">
            <v>2</v>
          </cell>
          <cell r="AP114">
            <v>220</v>
          </cell>
          <cell r="AQ114" t="str">
            <v>ORLANDO SOUTH</v>
          </cell>
          <cell r="AR114">
            <v>55</v>
          </cell>
          <cell r="AS114">
            <v>9598</v>
          </cell>
          <cell r="AT114">
            <v>54</v>
          </cell>
          <cell r="AU114">
            <v>9524</v>
          </cell>
          <cell r="AV114">
            <v>53</v>
          </cell>
          <cell r="AW114">
            <v>9429</v>
          </cell>
          <cell r="AX114">
            <v>53</v>
          </cell>
          <cell r="AY114">
            <v>9574</v>
          </cell>
          <cell r="AZ114">
            <v>1</v>
          </cell>
          <cell r="BA114">
            <v>100</v>
          </cell>
        </row>
        <row r="115">
          <cell r="B115" t="str">
            <v>ORLANDO-INTERNATIONAL DRIVE</v>
          </cell>
          <cell r="C115">
            <v>9</v>
          </cell>
          <cell r="D115">
            <v>2312</v>
          </cell>
          <cell r="E115">
            <v>6</v>
          </cell>
          <cell r="F115">
            <v>1450</v>
          </cell>
          <cell r="G115">
            <v>36</v>
          </cell>
          <cell r="H115">
            <v>7327</v>
          </cell>
          <cell r="I115">
            <v>5</v>
          </cell>
          <cell r="J115">
            <v>950</v>
          </cell>
          <cell r="K115">
            <v>7</v>
          </cell>
          <cell r="L115">
            <v>3311</v>
          </cell>
          <cell r="M115">
            <v>8</v>
          </cell>
          <cell r="N115">
            <v>5415</v>
          </cell>
          <cell r="O115">
            <v>15</v>
          </cell>
          <cell r="P115">
            <v>8726</v>
          </cell>
          <cell r="Q115">
            <v>2</v>
          </cell>
          <cell r="R115">
            <v>1720</v>
          </cell>
          <cell r="S115">
            <v>1</v>
          </cell>
          <cell r="T115">
            <v>350</v>
          </cell>
          <cell r="U115">
            <v>3</v>
          </cell>
          <cell r="V115">
            <v>602</v>
          </cell>
          <cell r="W115">
            <v>5</v>
          </cell>
          <cell r="X115">
            <v>1162</v>
          </cell>
          <cell r="Y115">
            <v>6</v>
          </cell>
          <cell r="Z115">
            <v>4782</v>
          </cell>
          <cell r="AA115">
            <v>3</v>
          </cell>
          <cell r="AB115">
            <v>3900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9</v>
          </cell>
          <cell r="AJ115">
            <v>8682</v>
          </cell>
          <cell r="AK115">
            <v>0</v>
          </cell>
          <cell r="AL115">
            <v>0</v>
          </cell>
          <cell r="AM115">
            <v>3</v>
          </cell>
          <cell r="AN115">
            <v>602</v>
          </cell>
          <cell r="AO115">
            <v>5</v>
          </cell>
          <cell r="AP115">
            <v>1162</v>
          </cell>
          <cell r="AQ115" t="str">
            <v>ORLANDO-INTERNATIONAL DRIVE</v>
          </cell>
          <cell r="AR115">
            <v>106</v>
          </cell>
          <cell r="AS115">
            <v>34125</v>
          </cell>
          <cell r="AT115">
            <v>100</v>
          </cell>
          <cell r="AU115">
            <v>32675</v>
          </cell>
          <cell r="AV115">
            <v>91</v>
          </cell>
          <cell r="AW115">
            <v>30363</v>
          </cell>
          <cell r="AX115">
            <v>102</v>
          </cell>
          <cell r="AY115">
            <v>32860</v>
          </cell>
          <cell r="AZ115">
            <v>7</v>
          </cell>
          <cell r="BA115">
            <v>6962</v>
          </cell>
        </row>
        <row r="116">
          <cell r="B116" t="str">
            <v>ORLANDO-OTHER</v>
          </cell>
          <cell r="C116">
            <v>4</v>
          </cell>
          <cell r="D116">
            <v>438</v>
          </cell>
          <cell r="E116">
            <v>1</v>
          </cell>
          <cell r="F116">
            <v>83</v>
          </cell>
          <cell r="G116">
            <v>20</v>
          </cell>
          <cell r="H116">
            <v>2243</v>
          </cell>
          <cell r="I116">
            <v>1</v>
          </cell>
          <cell r="J116">
            <v>83</v>
          </cell>
          <cell r="K116">
            <v>3</v>
          </cell>
          <cell r="L116">
            <v>538</v>
          </cell>
          <cell r="M116">
            <v>2</v>
          </cell>
          <cell r="N116">
            <v>282</v>
          </cell>
          <cell r="O116">
            <v>5</v>
          </cell>
          <cell r="P116">
            <v>820</v>
          </cell>
          <cell r="Q116">
            <v>3</v>
          </cell>
          <cell r="R116">
            <v>650</v>
          </cell>
          <cell r="S116">
            <v>0</v>
          </cell>
          <cell r="T116">
            <v>0</v>
          </cell>
          <cell r="U116">
            <v>2</v>
          </cell>
          <cell r="V116">
            <v>413</v>
          </cell>
          <cell r="W116">
            <v>2</v>
          </cell>
          <cell r="X116">
            <v>247</v>
          </cell>
          <cell r="Y116">
            <v>3</v>
          </cell>
          <cell r="Z116">
            <v>610</v>
          </cell>
          <cell r="AA116">
            <v>1</v>
          </cell>
          <cell r="AB116">
            <v>200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4</v>
          </cell>
          <cell r="AJ116">
            <v>810</v>
          </cell>
          <cell r="AK116">
            <v>0</v>
          </cell>
          <cell r="AL116">
            <v>0</v>
          </cell>
          <cell r="AM116">
            <v>2</v>
          </cell>
          <cell r="AN116">
            <v>413</v>
          </cell>
          <cell r="AO116">
            <v>2</v>
          </cell>
          <cell r="AP116">
            <v>247</v>
          </cell>
          <cell r="AQ116" t="str">
            <v>ORLANDO-OTHER</v>
          </cell>
          <cell r="AR116">
            <v>83</v>
          </cell>
          <cell r="AS116">
            <v>16790</v>
          </cell>
          <cell r="AT116">
            <v>82</v>
          </cell>
          <cell r="AU116">
            <v>16707</v>
          </cell>
          <cell r="AV116">
            <v>78</v>
          </cell>
          <cell r="AW116">
            <v>16269</v>
          </cell>
          <cell r="AX116">
            <v>84</v>
          </cell>
          <cell r="AY116">
            <v>17765</v>
          </cell>
          <cell r="AZ116">
            <v>1</v>
          </cell>
          <cell r="BA116">
            <v>160</v>
          </cell>
        </row>
        <row r="117">
          <cell r="B117" t="str">
            <v>PASADENA/GLENDALE/BURBANK</v>
          </cell>
          <cell r="C117">
            <v>1</v>
          </cell>
          <cell r="D117">
            <v>310</v>
          </cell>
          <cell r="E117">
            <v>0</v>
          </cell>
          <cell r="F117">
            <v>0</v>
          </cell>
          <cell r="G117">
            <v>3</v>
          </cell>
          <cell r="H117">
            <v>536</v>
          </cell>
          <cell r="I117">
            <v>1</v>
          </cell>
          <cell r="J117">
            <v>140</v>
          </cell>
          <cell r="K117">
            <v>1</v>
          </cell>
          <cell r="L117">
            <v>190</v>
          </cell>
          <cell r="M117">
            <v>2</v>
          </cell>
          <cell r="N117">
            <v>530</v>
          </cell>
          <cell r="O117">
            <v>3</v>
          </cell>
          <cell r="P117">
            <v>720</v>
          </cell>
          <cell r="Q117">
            <v>1</v>
          </cell>
          <cell r="R117">
            <v>200</v>
          </cell>
          <cell r="S117">
            <v>1</v>
          </cell>
          <cell r="T117">
            <v>140</v>
          </cell>
          <cell r="U117">
            <v>1</v>
          </cell>
          <cell r="V117">
            <v>190</v>
          </cell>
          <cell r="W117">
            <v>0</v>
          </cell>
          <cell r="X117">
            <v>0</v>
          </cell>
          <cell r="Y117">
            <v>3</v>
          </cell>
          <cell r="Z117">
            <v>730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3</v>
          </cell>
          <cell r="AJ117">
            <v>730</v>
          </cell>
          <cell r="AK117">
            <v>0</v>
          </cell>
          <cell r="AL117">
            <v>0</v>
          </cell>
          <cell r="AM117">
            <v>1</v>
          </cell>
          <cell r="AN117">
            <v>190</v>
          </cell>
          <cell r="AO117">
            <v>0</v>
          </cell>
          <cell r="AP117">
            <v>0</v>
          </cell>
          <cell r="AQ117" t="str">
            <v>PASADENA/GLENDALE/BURBANK</v>
          </cell>
          <cell r="AR117">
            <v>44</v>
          </cell>
          <cell r="AS117">
            <v>4609</v>
          </cell>
          <cell r="AT117">
            <v>44</v>
          </cell>
          <cell r="AU117">
            <v>4609</v>
          </cell>
          <cell r="AV117">
            <v>43</v>
          </cell>
          <cell r="AW117">
            <v>4299</v>
          </cell>
          <cell r="AX117">
            <v>43</v>
          </cell>
          <cell r="AY117">
            <v>5036</v>
          </cell>
          <cell r="AZ117">
            <v>2</v>
          </cell>
          <cell r="BA117">
            <v>530</v>
          </cell>
        </row>
        <row r="118">
          <cell r="B118" t="str">
            <v>PHILA AIRPORT/STADIUM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5</v>
          </cell>
          <cell r="H118">
            <v>620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 t="str">
            <v>PHILA AIRPORT/STADIUM</v>
          </cell>
          <cell r="AR118">
            <v>26</v>
          </cell>
          <cell r="AS118">
            <v>4834</v>
          </cell>
          <cell r="AT118">
            <v>26</v>
          </cell>
          <cell r="AU118">
            <v>4834</v>
          </cell>
          <cell r="AV118">
            <v>26</v>
          </cell>
          <cell r="AW118">
            <v>4834</v>
          </cell>
          <cell r="AX118">
            <v>23</v>
          </cell>
          <cell r="AY118">
            <v>4470</v>
          </cell>
          <cell r="AZ118">
            <v>0</v>
          </cell>
          <cell r="BA118">
            <v>0</v>
          </cell>
        </row>
        <row r="119">
          <cell r="B119" t="str">
            <v>PHILA CENTER CITY</v>
          </cell>
          <cell r="C119">
            <v>5</v>
          </cell>
          <cell r="D119">
            <v>1848</v>
          </cell>
          <cell r="E119">
            <v>2</v>
          </cell>
          <cell r="F119">
            <v>274</v>
          </cell>
          <cell r="G119">
            <v>12</v>
          </cell>
          <cell r="H119">
            <v>3555</v>
          </cell>
          <cell r="I119">
            <v>1</v>
          </cell>
          <cell r="J119">
            <v>250</v>
          </cell>
          <cell r="K119">
            <v>1</v>
          </cell>
          <cell r="L119">
            <v>269</v>
          </cell>
          <cell r="M119">
            <v>0</v>
          </cell>
          <cell r="N119">
            <v>0</v>
          </cell>
          <cell r="O119">
            <v>1</v>
          </cell>
          <cell r="P119">
            <v>269</v>
          </cell>
          <cell r="Q119">
            <v>1</v>
          </cell>
          <cell r="R119">
            <v>360</v>
          </cell>
          <cell r="S119">
            <v>0</v>
          </cell>
          <cell r="T119">
            <v>0</v>
          </cell>
          <cell r="U119">
            <v>1</v>
          </cell>
          <cell r="V119">
            <v>269</v>
          </cell>
          <cell r="W119">
            <v>0</v>
          </cell>
          <cell r="X119">
            <v>0</v>
          </cell>
          <cell r="Y119">
            <v>1</v>
          </cell>
          <cell r="Z119">
            <v>360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1</v>
          </cell>
          <cell r="AJ119">
            <v>360</v>
          </cell>
          <cell r="AK119">
            <v>0</v>
          </cell>
          <cell r="AL119">
            <v>0</v>
          </cell>
          <cell r="AM119">
            <v>1</v>
          </cell>
          <cell r="AN119">
            <v>269</v>
          </cell>
          <cell r="AO119">
            <v>0</v>
          </cell>
          <cell r="AP119">
            <v>0</v>
          </cell>
          <cell r="AQ119" t="str">
            <v>PHILA CENTER CITY</v>
          </cell>
          <cell r="AR119">
            <v>42</v>
          </cell>
          <cell r="AS119">
            <v>11464</v>
          </cell>
          <cell r="AT119">
            <v>40</v>
          </cell>
          <cell r="AU119">
            <v>11190</v>
          </cell>
          <cell r="AV119">
            <v>35</v>
          </cell>
          <cell r="AW119">
            <v>9342</v>
          </cell>
          <cell r="AX119">
            <v>37</v>
          </cell>
          <cell r="AY119">
            <v>10862</v>
          </cell>
          <cell r="AZ119">
            <v>0</v>
          </cell>
          <cell r="BA119">
            <v>0</v>
          </cell>
        </row>
        <row r="120">
          <cell r="B120" t="str">
            <v>PHILA NORTHEAST-LOWER BUCKS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2</v>
          </cell>
          <cell r="H120">
            <v>165</v>
          </cell>
          <cell r="I120">
            <v>1</v>
          </cell>
          <cell r="J120">
            <v>64</v>
          </cell>
          <cell r="K120">
            <v>1</v>
          </cell>
          <cell r="L120">
            <v>118</v>
          </cell>
          <cell r="M120">
            <v>0</v>
          </cell>
          <cell r="N120">
            <v>0</v>
          </cell>
          <cell r="O120">
            <v>1</v>
          </cell>
          <cell r="P120">
            <v>118</v>
          </cell>
          <cell r="Q120">
            <v>0</v>
          </cell>
          <cell r="R120">
            <v>0</v>
          </cell>
          <cell r="S120">
            <v>1</v>
          </cell>
          <cell r="T120">
            <v>64</v>
          </cell>
          <cell r="U120">
            <v>1</v>
          </cell>
          <cell r="V120">
            <v>118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1</v>
          </cell>
          <cell r="AN120">
            <v>118</v>
          </cell>
          <cell r="AO120">
            <v>0</v>
          </cell>
          <cell r="AP120">
            <v>0</v>
          </cell>
          <cell r="AQ120" t="str">
            <v>PHILA NORTHEAST-LOWER BUCKS</v>
          </cell>
          <cell r="AR120">
            <v>21</v>
          </cell>
          <cell r="AS120">
            <v>2648</v>
          </cell>
          <cell r="AT120">
            <v>21</v>
          </cell>
          <cell r="AU120">
            <v>2648</v>
          </cell>
          <cell r="AV120">
            <v>21</v>
          </cell>
          <cell r="AW120">
            <v>2648</v>
          </cell>
          <cell r="AX120">
            <v>28</v>
          </cell>
          <cell r="AY120">
            <v>3076</v>
          </cell>
          <cell r="AZ120">
            <v>0</v>
          </cell>
          <cell r="BA120">
            <v>0</v>
          </cell>
        </row>
        <row r="121">
          <cell r="B121" t="str">
            <v>PHILA NORTHERN SUBURBS</v>
          </cell>
          <cell r="C121">
            <v>0</v>
          </cell>
          <cell r="D121">
            <v>0</v>
          </cell>
          <cell r="E121">
            <v>4</v>
          </cell>
          <cell r="F121">
            <v>474</v>
          </cell>
          <cell r="G121">
            <v>14</v>
          </cell>
          <cell r="H121">
            <v>1757</v>
          </cell>
          <cell r="I121">
            <v>6</v>
          </cell>
          <cell r="J121">
            <v>799</v>
          </cell>
          <cell r="K121">
            <v>0</v>
          </cell>
          <cell r="L121">
            <v>0</v>
          </cell>
          <cell r="M121">
            <v>4</v>
          </cell>
          <cell r="N121">
            <v>469</v>
          </cell>
          <cell r="O121">
            <v>4</v>
          </cell>
          <cell r="P121">
            <v>469</v>
          </cell>
          <cell r="Q121">
            <v>3</v>
          </cell>
          <cell r="R121">
            <v>304</v>
          </cell>
          <cell r="S121">
            <v>2</v>
          </cell>
          <cell r="T121">
            <v>325</v>
          </cell>
          <cell r="U121">
            <v>0</v>
          </cell>
          <cell r="V121">
            <v>0</v>
          </cell>
          <cell r="W121">
            <v>3</v>
          </cell>
          <cell r="X121">
            <v>331</v>
          </cell>
          <cell r="Y121">
            <v>4</v>
          </cell>
          <cell r="Z121">
            <v>442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4</v>
          </cell>
          <cell r="AJ121">
            <v>442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3</v>
          </cell>
          <cell r="AP121">
            <v>331</v>
          </cell>
          <cell r="AQ121" t="str">
            <v>PHILA NORTHERN SUBURBS</v>
          </cell>
          <cell r="AR121">
            <v>46</v>
          </cell>
          <cell r="AS121">
            <v>5130</v>
          </cell>
          <cell r="AT121">
            <v>42</v>
          </cell>
          <cell r="AU121">
            <v>4656</v>
          </cell>
          <cell r="AV121">
            <v>42</v>
          </cell>
          <cell r="AW121">
            <v>4656</v>
          </cell>
          <cell r="AX121">
            <v>54</v>
          </cell>
          <cell r="AY121">
            <v>4492</v>
          </cell>
          <cell r="AZ121">
            <v>1</v>
          </cell>
          <cell r="BA121">
            <v>138</v>
          </cell>
        </row>
        <row r="122">
          <cell r="B122" t="str">
            <v>PHILA WESTERN SUBURBS</v>
          </cell>
          <cell r="C122">
            <v>5</v>
          </cell>
          <cell r="D122">
            <v>625</v>
          </cell>
          <cell r="E122">
            <v>2</v>
          </cell>
          <cell r="F122">
            <v>229</v>
          </cell>
          <cell r="G122">
            <v>15</v>
          </cell>
          <cell r="H122">
            <v>1684</v>
          </cell>
          <cell r="I122">
            <v>2</v>
          </cell>
          <cell r="J122">
            <v>229</v>
          </cell>
          <cell r="K122">
            <v>0</v>
          </cell>
          <cell r="L122">
            <v>0</v>
          </cell>
          <cell r="M122">
            <v>3</v>
          </cell>
          <cell r="N122">
            <v>520</v>
          </cell>
          <cell r="O122">
            <v>3</v>
          </cell>
          <cell r="P122">
            <v>520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2</v>
          </cell>
          <cell r="X122">
            <v>245</v>
          </cell>
          <cell r="Y122">
            <v>1</v>
          </cell>
          <cell r="Z122">
            <v>275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1</v>
          </cell>
          <cell r="AJ122">
            <v>275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2</v>
          </cell>
          <cell r="AP122">
            <v>245</v>
          </cell>
          <cell r="AQ122" t="str">
            <v>PHILA WESTERN SUBURBS</v>
          </cell>
          <cell r="AR122">
            <v>57</v>
          </cell>
          <cell r="AS122">
            <v>8332</v>
          </cell>
          <cell r="AT122">
            <v>55</v>
          </cell>
          <cell r="AU122">
            <v>8103</v>
          </cell>
          <cell r="AV122">
            <v>50</v>
          </cell>
          <cell r="AW122">
            <v>7478</v>
          </cell>
          <cell r="AX122">
            <v>60</v>
          </cell>
          <cell r="AY122">
            <v>8063</v>
          </cell>
          <cell r="AZ122">
            <v>1</v>
          </cell>
          <cell r="BA122">
            <v>275</v>
          </cell>
        </row>
        <row r="123">
          <cell r="B123" t="str">
            <v>PHOENIX AIRPORT</v>
          </cell>
          <cell r="C123">
            <v>3</v>
          </cell>
          <cell r="D123">
            <v>493</v>
          </cell>
          <cell r="E123">
            <v>0</v>
          </cell>
          <cell r="F123">
            <v>0</v>
          </cell>
          <cell r="G123">
            <v>8</v>
          </cell>
          <cell r="H123">
            <v>1400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 t="str">
            <v>PHOENIX AIRPORT</v>
          </cell>
          <cell r="AR123">
            <v>32</v>
          </cell>
          <cell r="AS123">
            <v>4607</v>
          </cell>
          <cell r="AT123">
            <v>32</v>
          </cell>
          <cell r="AU123">
            <v>4607</v>
          </cell>
          <cell r="AV123">
            <v>29</v>
          </cell>
          <cell r="AW123">
            <v>4114</v>
          </cell>
          <cell r="AX123">
            <v>30</v>
          </cell>
          <cell r="AY123">
            <v>4447</v>
          </cell>
          <cell r="AZ123">
            <v>0</v>
          </cell>
          <cell r="BA123">
            <v>0</v>
          </cell>
        </row>
        <row r="124">
          <cell r="B124" t="str">
            <v>PHOENIX EAST</v>
          </cell>
          <cell r="C124">
            <v>0</v>
          </cell>
          <cell r="D124">
            <v>0</v>
          </cell>
          <cell r="E124">
            <v>1</v>
          </cell>
          <cell r="F124">
            <v>121</v>
          </cell>
          <cell r="G124">
            <v>9</v>
          </cell>
          <cell r="H124">
            <v>1017</v>
          </cell>
          <cell r="I124">
            <v>2</v>
          </cell>
          <cell r="J124">
            <v>228</v>
          </cell>
          <cell r="K124">
            <v>0</v>
          </cell>
          <cell r="L124">
            <v>0</v>
          </cell>
          <cell r="M124">
            <v>2</v>
          </cell>
          <cell r="N124">
            <v>280</v>
          </cell>
          <cell r="O124">
            <v>2</v>
          </cell>
          <cell r="P124">
            <v>280</v>
          </cell>
          <cell r="Q124">
            <v>1</v>
          </cell>
          <cell r="R124">
            <v>300</v>
          </cell>
          <cell r="S124">
            <v>1</v>
          </cell>
          <cell r="T124">
            <v>107</v>
          </cell>
          <cell r="U124">
            <v>0</v>
          </cell>
          <cell r="V124">
            <v>0</v>
          </cell>
          <cell r="W124">
            <v>1</v>
          </cell>
          <cell r="X124">
            <v>80</v>
          </cell>
          <cell r="Y124">
            <v>2</v>
          </cell>
          <cell r="Z124">
            <v>500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2</v>
          </cell>
          <cell r="AJ124">
            <v>500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1</v>
          </cell>
          <cell r="AP124">
            <v>80</v>
          </cell>
          <cell r="AQ124" t="str">
            <v>PHOENIX EAST</v>
          </cell>
          <cell r="AR124">
            <v>40</v>
          </cell>
          <cell r="AS124">
            <v>8468</v>
          </cell>
          <cell r="AT124">
            <v>39</v>
          </cell>
          <cell r="AU124">
            <v>8347</v>
          </cell>
          <cell r="AV124">
            <v>39</v>
          </cell>
          <cell r="AW124">
            <v>8347</v>
          </cell>
          <cell r="AX124">
            <v>38</v>
          </cell>
          <cell r="AY124">
            <v>8339</v>
          </cell>
          <cell r="AZ124">
            <v>1</v>
          </cell>
          <cell r="BA124">
            <v>200</v>
          </cell>
        </row>
        <row r="125">
          <cell r="B125" t="str">
            <v>PHOENIX WEST</v>
          </cell>
          <cell r="C125">
            <v>2</v>
          </cell>
          <cell r="D125">
            <v>236</v>
          </cell>
          <cell r="E125">
            <v>3</v>
          </cell>
          <cell r="F125">
            <v>295</v>
          </cell>
          <cell r="G125">
            <v>37</v>
          </cell>
          <cell r="H125">
            <v>4080</v>
          </cell>
          <cell r="I125">
            <v>3</v>
          </cell>
          <cell r="J125">
            <v>295</v>
          </cell>
          <cell r="K125">
            <v>1</v>
          </cell>
          <cell r="L125">
            <v>950</v>
          </cell>
          <cell r="M125">
            <v>1</v>
          </cell>
          <cell r="N125">
            <v>75</v>
          </cell>
          <cell r="O125">
            <v>2</v>
          </cell>
          <cell r="P125">
            <v>1025</v>
          </cell>
          <cell r="Q125">
            <v>2</v>
          </cell>
          <cell r="R125">
            <v>164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</v>
          </cell>
          <cell r="X125">
            <v>1050</v>
          </cell>
          <cell r="Y125">
            <v>2</v>
          </cell>
          <cell r="Z125">
            <v>139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2</v>
          </cell>
          <cell r="AJ125">
            <v>139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1</v>
          </cell>
          <cell r="AP125">
            <v>950</v>
          </cell>
          <cell r="AQ125" t="str">
            <v>PHOENIX WEST</v>
          </cell>
          <cell r="AR125">
            <v>108</v>
          </cell>
          <cell r="AS125">
            <v>13450</v>
          </cell>
          <cell r="AT125">
            <v>105</v>
          </cell>
          <cell r="AU125">
            <v>13155</v>
          </cell>
          <cell r="AV125">
            <v>103</v>
          </cell>
          <cell r="AW125">
            <v>12919</v>
          </cell>
          <cell r="AX125">
            <v>102</v>
          </cell>
          <cell r="AY125">
            <v>12580</v>
          </cell>
          <cell r="AZ125">
            <v>1</v>
          </cell>
          <cell r="BA125">
            <v>75</v>
          </cell>
        </row>
        <row r="126">
          <cell r="B126" t="str">
            <v>PLANO/RICHARDSON</v>
          </cell>
          <cell r="C126">
            <v>4</v>
          </cell>
          <cell r="D126">
            <v>300</v>
          </cell>
          <cell r="E126">
            <v>2</v>
          </cell>
          <cell r="F126">
            <v>741</v>
          </cell>
          <cell r="G126">
            <v>24</v>
          </cell>
          <cell r="H126">
            <v>3033</v>
          </cell>
          <cell r="I126">
            <v>1</v>
          </cell>
          <cell r="J126">
            <v>337</v>
          </cell>
          <cell r="K126">
            <v>0</v>
          </cell>
          <cell r="L126">
            <v>0</v>
          </cell>
          <cell r="M126">
            <v>1</v>
          </cell>
          <cell r="N126">
            <v>125</v>
          </cell>
          <cell r="O126">
            <v>1</v>
          </cell>
          <cell r="P126">
            <v>125</v>
          </cell>
          <cell r="Q126">
            <v>1</v>
          </cell>
          <cell r="R126">
            <v>102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1</v>
          </cell>
          <cell r="X126">
            <v>125</v>
          </cell>
          <cell r="Y126">
            <v>1</v>
          </cell>
          <cell r="Z126">
            <v>102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1</v>
          </cell>
          <cell r="AJ126">
            <v>102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1</v>
          </cell>
          <cell r="AP126">
            <v>125</v>
          </cell>
          <cell r="AQ126" t="str">
            <v>PLANO/RICHARDSON</v>
          </cell>
          <cell r="AR126">
            <v>53</v>
          </cell>
          <cell r="AS126">
            <v>6961</v>
          </cell>
          <cell r="AT126">
            <v>51</v>
          </cell>
          <cell r="AU126">
            <v>6220</v>
          </cell>
          <cell r="AV126">
            <v>47</v>
          </cell>
          <cell r="AW126">
            <v>5920</v>
          </cell>
          <cell r="AX126">
            <v>56</v>
          </cell>
          <cell r="AY126">
            <v>7030</v>
          </cell>
          <cell r="AZ126">
            <v>0</v>
          </cell>
          <cell r="BA126">
            <v>0</v>
          </cell>
        </row>
        <row r="127">
          <cell r="B127" t="str">
            <v>S.F.-NOB HILL/WHARF</v>
          </cell>
          <cell r="C127">
            <v>1</v>
          </cell>
          <cell r="D127">
            <v>105</v>
          </cell>
          <cell r="E127">
            <v>1</v>
          </cell>
          <cell r="F127">
            <v>252</v>
          </cell>
          <cell r="G127">
            <v>2</v>
          </cell>
          <cell r="H127">
            <v>357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2</v>
          </cell>
          <cell r="R127">
            <v>930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2</v>
          </cell>
          <cell r="Z127">
            <v>930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2</v>
          </cell>
          <cell r="AJ127">
            <v>930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 t="str">
            <v>S.F.-NOB HILL/WHARF</v>
          </cell>
          <cell r="AR127">
            <v>127</v>
          </cell>
          <cell r="AS127">
            <v>16340</v>
          </cell>
          <cell r="AT127">
            <v>126</v>
          </cell>
          <cell r="AU127">
            <v>16088</v>
          </cell>
          <cell r="AV127">
            <v>125</v>
          </cell>
          <cell r="AW127">
            <v>15983</v>
          </cell>
          <cell r="AX127">
            <v>131</v>
          </cell>
          <cell r="AY127">
            <v>15428</v>
          </cell>
          <cell r="AZ127">
            <v>0</v>
          </cell>
          <cell r="BA127">
            <v>0</v>
          </cell>
        </row>
        <row r="128">
          <cell r="B128" t="str">
            <v>SAINT LOUIS AIRPORT</v>
          </cell>
          <cell r="C128">
            <v>1</v>
          </cell>
          <cell r="D128">
            <v>175</v>
          </cell>
          <cell r="E128">
            <v>0</v>
          </cell>
          <cell r="F128">
            <v>0</v>
          </cell>
          <cell r="G128">
            <v>4</v>
          </cell>
          <cell r="H128">
            <v>559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1</v>
          </cell>
          <cell r="N128">
            <v>120</v>
          </cell>
          <cell r="O128">
            <v>1</v>
          </cell>
          <cell r="P128">
            <v>120</v>
          </cell>
          <cell r="Q128">
            <v>2</v>
          </cell>
          <cell r="R128">
            <v>200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3</v>
          </cell>
          <cell r="Z128">
            <v>320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3</v>
          </cell>
          <cell r="AJ128">
            <v>320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 t="str">
            <v>SAINT LOUIS AIRPORT</v>
          </cell>
          <cell r="AR128">
            <v>35</v>
          </cell>
          <cell r="AS128">
            <v>5785</v>
          </cell>
          <cell r="AT128">
            <v>35</v>
          </cell>
          <cell r="AU128">
            <v>5785</v>
          </cell>
          <cell r="AV128">
            <v>34</v>
          </cell>
          <cell r="AW128">
            <v>5610</v>
          </cell>
          <cell r="AX128">
            <v>35</v>
          </cell>
          <cell r="AY128">
            <v>6007</v>
          </cell>
          <cell r="AZ128">
            <v>1</v>
          </cell>
          <cell r="BA128">
            <v>120</v>
          </cell>
        </row>
        <row r="129">
          <cell r="B129" t="str">
            <v>SAINT LOUIS CBD</v>
          </cell>
          <cell r="C129">
            <v>1</v>
          </cell>
          <cell r="D129">
            <v>362</v>
          </cell>
          <cell r="E129">
            <v>3</v>
          </cell>
          <cell r="F129">
            <v>606</v>
          </cell>
          <cell r="G129">
            <v>5</v>
          </cell>
          <cell r="H129">
            <v>1033</v>
          </cell>
          <cell r="I129">
            <v>2</v>
          </cell>
          <cell r="J129">
            <v>349</v>
          </cell>
          <cell r="K129">
            <v>2</v>
          </cell>
          <cell r="L129">
            <v>1080</v>
          </cell>
          <cell r="M129">
            <v>1</v>
          </cell>
          <cell r="N129">
            <v>212</v>
          </cell>
          <cell r="O129">
            <v>3</v>
          </cell>
          <cell r="P129">
            <v>1292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163</v>
          </cell>
          <cell r="W129">
            <v>1</v>
          </cell>
          <cell r="X129">
            <v>917</v>
          </cell>
          <cell r="Y129">
            <v>1</v>
          </cell>
          <cell r="Z129">
            <v>212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1</v>
          </cell>
          <cell r="AJ129">
            <v>212</v>
          </cell>
          <cell r="AK129">
            <v>0</v>
          </cell>
          <cell r="AL129">
            <v>0</v>
          </cell>
          <cell r="AM129">
            <v>1</v>
          </cell>
          <cell r="AN129">
            <v>163</v>
          </cell>
          <cell r="AO129">
            <v>1</v>
          </cell>
          <cell r="AP129">
            <v>917</v>
          </cell>
          <cell r="AQ129" t="str">
            <v>SAINT LOUIS CBD</v>
          </cell>
          <cell r="AR129">
            <v>39</v>
          </cell>
          <cell r="AS129">
            <v>9266</v>
          </cell>
          <cell r="AT129">
            <v>36</v>
          </cell>
          <cell r="AU129">
            <v>8660</v>
          </cell>
          <cell r="AV129">
            <v>35</v>
          </cell>
          <cell r="AW129">
            <v>8298</v>
          </cell>
          <cell r="AX129">
            <v>32</v>
          </cell>
          <cell r="AY129">
            <v>7783</v>
          </cell>
          <cell r="AZ129">
            <v>1</v>
          </cell>
          <cell r="BA129">
            <v>212</v>
          </cell>
        </row>
        <row r="130">
          <cell r="B130" t="str">
            <v>SAINT LOUIS EAST</v>
          </cell>
          <cell r="C130">
            <v>4</v>
          </cell>
          <cell r="D130">
            <v>315</v>
          </cell>
          <cell r="E130">
            <v>1</v>
          </cell>
          <cell r="F130">
            <v>65</v>
          </cell>
          <cell r="G130">
            <v>21</v>
          </cell>
          <cell r="H130">
            <v>1495</v>
          </cell>
          <cell r="I130">
            <v>0</v>
          </cell>
          <cell r="J130">
            <v>0</v>
          </cell>
          <cell r="K130">
            <v>1</v>
          </cell>
          <cell r="L130">
            <v>125</v>
          </cell>
          <cell r="M130">
            <v>1</v>
          </cell>
          <cell r="N130">
            <v>80</v>
          </cell>
          <cell r="O130">
            <v>2</v>
          </cell>
          <cell r="P130">
            <v>205</v>
          </cell>
          <cell r="Q130">
            <v>1</v>
          </cell>
          <cell r="R130">
            <v>80</v>
          </cell>
          <cell r="S130">
            <v>0</v>
          </cell>
          <cell r="T130">
            <v>0</v>
          </cell>
          <cell r="U130">
            <v>1</v>
          </cell>
          <cell r="V130">
            <v>125</v>
          </cell>
          <cell r="W130">
            <v>1</v>
          </cell>
          <cell r="X130">
            <v>80</v>
          </cell>
          <cell r="Y130">
            <v>1</v>
          </cell>
          <cell r="Z130">
            <v>80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1</v>
          </cell>
          <cell r="AJ130">
            <v>80</v>
          </cell>
          <cell r="AK130">
            <v>0</v>
          </cell>
          <cell r="AL130">
            <v>0</v>
          </cell>
          <cell r="AM130">
            <v>1</v>
          </cell>
          <cell r="AN130">
            <v>125</v>
          </cell>
          <cell r="AO130">
            <v>1</v>
          </cell>
          <cell r="AP130">
            <v>80</v>
          </cell>
          <cell r="AQ130" t="str">
            <v>SAINT LOUIS EAST</v>
          </cell>
          <cell r="AR130">
            <v>62</v>
          </cell>
          <cell r="AS130">
            <v>4476</v>
          </cell>
          <cell r="AT130">
            <v>61</v>
          </cell>
          <cell r="AU130">
            <v>4411</v>
          </cell>
          <cell r="AV130">
            <v>57</v>
          </cell>
          <cell r="AW130">
            <v>4096</v>
          </cell>
          <cell r="AX130">
            <v>71</v>
          </cell>
          <cell r="AY130">
            <v>5061</v>
          </cell>
          <cell r="AZ130">
            <v>0</v>
          </cell>
          <cell r="BA130">
            <v>0</v>
          </cell>
        </row>
        <row r="131">
          <cell r="B131" t="str">
            <v>SAINT LOUIS NORTHWEST</v>
          </cell>
          <cell r="C131">
            <v>0</v>
          </cell>
          <cell r="D131">
            <v>0</v>
          </cell>
          <cell r="E131">
            <v>1</v>
          </cell>
          <cell r="F131">
            <v>71</v>
          </cell>
          <cell r="G131">
            <v>16</v>
          </cell>
          <cell r="H131">
            <v>2017</v>
          </cell>
          <cell r="I131">
            <v>1</v>
          </cell>
          <cell r="J131">
            <v>71</v>
          </cell>
          <cell r="K131">
            <v>2</v>
          </cell>
          <cell r="L131">
            <v>184</v>
          </cell>
          <cell r="M131">
            <v>2</v>
          </cell>
          <cell r="N131">
            <v>220</v>
          </cell>
          <cell r="O131">
            <v>4</v>
          </cell>
          <cell r="P131">
            <v>404</v>
          </cell>
          <cell r="Q131">
            <v>1</v>
          </cell>
          <cell r="R131">
            <v>539</v>
          </cell>
          <cell r="S131">
            <v>0</v>
          </cell>
          <cell r="T131">
            <v>0</v>
          </cell>
          <cell r="U131">
            <v>2</v>
          </cell>
          <cell r="V131">
            <v>184</v>
          </cell>
          <cell r="W131">
            <v>2</v>
          </cell>
          <cell r="X131">
            <v>220</v>
          </cell>
          <cell r="Y131">
            <v>0</v>
          </cell>
          <cell r="Z131">
            <v>0</v>
          </cell>
          <cell r="AA131">
            <v>1</v>
          </cell>
          <cell r="AB131">
            <v>539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1</v>
          </cell>
          <cell r="AJ131">
            <v>539</v>
          </cell>
          <cell r="AK131">
            <v>0</v>
          </cell>
          <cell r="AL131">
            <v>0</v>
          </cell>
          <cell r="AM131">
            <v>2</v>
          </cell>
          <cell r="AN131">
            <v>184</v>
          </cell>
          <cell r="AO131">
            <v>2</v>
          </cell>
          <cell r="AP131">
            <v>220</v>
          </cell>
          <cell r="AQ131" t="str">
            <v>SAINT LOUIS NORTHWEST</v>
          </cell>
          <cell r="AR131">
            <v>55</v>
          </cell>
          <cell r="AS131">
            <v>6993</v>
          </cell>
          <cell r="AT131">
            <v>54</v>
          </cell>
          <cell r="AU131">
            <v>6922</v>
          </cell>
          <cell r="AV131">
            <v>54</v>
          </cell>
          <cell r="AW131">
            <v>6922</v>
          </cell>
          <cell r="AX131">
            <v>54</v>
          </cell>
          <cell r="AY131">
            <v>7017</v>
          </cell>
          <cell r="AZ131">
            <v>0</v>
          </cell>
          <cell r="BA131">
            <v>0</v>
          </cell>
        </row>
        <row r="132">
          <cell r="B132" t="str">
            <v>SAINT LOUIS SOUTHWEST</v>
          </cell>
          <cell r="C132">
            <v>4</v>
          </cell>
          <cell r="D132">
            <v>433</v>
          </cell>
          <cell r="E132">
            <v>2</v>
          </cell>
          <cell r="F132">
            <v>155</v>
          </cell>
          <cell r="G132">
            <v>14</v>
          </cell>
          <cell r="H132">
            <v>1306</v>
          </cell>
          <cell r="I132">
            <v>1</v>
          </cell>
          <cell r="J132">
            <v>71</v>
          </cell>
          <cell r="K132">
            <v>1</v>
          </cell>
          <cell r="L132">
            <v>100</v>
          </cell>
          <cell r="M132">
            <v>5</v>
          </cell>
          <cell r="N132">
            <v>732</v>
          </cell>
          <cell r="O132">
            <v>6</v>
          </cell>
          <cell r="P132">
            <v>832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100</v>
          </cell>
          <cell r="W132">
            <v>3</v>
          </cell>
          <cell r="X132">
            <v>279</v>
          </cell>
          <cell r="Y132">
            <v>2</v>
          </cell>
          <cell r="Z132">
            <v>453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2</v>
          </cell>
          <cell r="AJ132">
            <v>453</v>
          </cell>
          <cell r="AK132">
            <v>0</v>
          </cell>
          <cell r="AL132">
            <v>0</v>
          </cell>
          <cell r="AM132">
            <v>1</v>
          </cell>
          <cell r="AN132">
            <v>100</v>
          </cell>
          <cell r="AO132">
            <v>3</v>
          </cell>
          <cell r="AP132">
            <v>279</v>
          </cell>
          <cell r="AQ132" t="str">
            <v>SAINT LOUIS SOUTHWEST</v>
          </cell>
          <cell r="AR132">
            <v>49</v>
          </cell>
          <cell r="AS132">
            <v>5335</v>
          </cell>
          <cell r="AT132">
            <v>47</v>
          </cell>
          <cell r="AU132">
            <v>5180</v>
          </cell>
          <cell r="AV132">
            <v>43</v>
          </cell>
          <cell r="AW132">
            <v>4747</v>
          </cell>
          <cell r="AX132">
            <v>51</v>
          </cell>
          <cell r="AY132">
            <v>5426</v>
          </cell>
          <cell r="AZ132">
            <v>2</v>
          </cell>
          <cell r="BA132">
            <v>453</v>
          </cell>
        </row>
        <row r="133">
          <cell r="B133" t="str">
            <v>SAINT PAUL</v>
          </cell>
          <cell r="C133">
            <v>2</v>
          </cell>
          <cell r="D133">
            <v>133</v>
          </cell>
          <cell r="E133">
            <v>1</v>
          </cell>
          <cell r="F133">
            <v>120</v>
          </cell>
          <cell r="G133">
            <v>11</v>
          </cell>
          <cell r="H133">
            <v>986</v>
          </cell>
          <cell r="I133">
            <v>1</v>
          </cell>
          <cell r="J133">
            <v>120</v>
          </cell>
          <cell r="K133">
            <v>1</v>
          </cell>
          <cell r="L133">
            <v>70</v>
          </cell>
          <cell r="M133">
            <v>1</v>
          </cell>
          <cell r="N133">
            <v>83</v>
          </cell>
          <cell r="O133">
            <v>2</v>
          </cell>
          <cell r="P133">
            <v>153</v>
          </cell>
          <cell r="Q133">
            <v>1</v>
          </cell>
          <cell r="R133">
            <v>83</v>
          </cell>
          <cell r="S133">
            <v>0</v>
          </cell>
          <cell r="T133">
            <v>0</v>
          </cell>
          <cell r="U133">
            <v>1</v>
          </cell>
          <cell r="V133">
            <v>70</v>
          </cell>
          <cell r="W133">
            <v>0</v>
          </cell>
          <cell r="X133">
            <v>0</v>
          </cell>
          <cell r="Y133">
            <v>2</v>
          </cell>
          <cell r="Z133">
            <v>166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2</v>
          </cell>
          <cell r="AJ133">
            <v>166</v>
          </cell>
          <cell r="AK133">
            <v>0</v>
          </cell>
          <cell r="AL133">
            <v>0</v>
          </cell>
          <cell r="AM133">
            <v>1</v>
          </cell>
          <cell r="AN133">
            <v>70</v>
          </cell>
          <cell r="AO133">
            <v>0</v>
          </cell>
          <cell r="AP133">
            <v>0</v>
          </cell>
          <cell r="AQ133" t="str">
            <v>SAINT PAUL</v>
          </cell>
          <cell r="AR133">
            <v>43</v>
          </cell>
          <cell r="AS133">
            <v>5587</v>
          </cell>
          <cell r="AT133">
            <v>42</v>
          </cell>
          <cell r="AU133">
            <v>5467</v>
          </cell>
          <cell r="AV133">
            <v>40</v>
          </cell>
          <cell r="AW133">
            <v>5334</v>
          </cell>
          <cell r="AX133">
            <v>46</v>
          </cell>
          <cell r="AY133">
            <v>5652</v>
          </cell>
          <cell r="AZ133">
            <v>1</v>
          </cell>
          <cell r="BA133">
            <v>83</v>
          </cell>
        </row>
        <row r="134">
          <cell r="B134" t="str">
            <v>SAINT PETERSBURG</v>
          </cell>
          <cell r="C134">
            <v>1</v>
          </cell>
          <cell r="D134">
            <v>130</v>
          </cell>
          <cell r="E134">
            <v>1</v>
          </cell>
          <cell r="F134">
            <v>205</v>
          </cell>
          <cell r="G134">
            <v>3</v>
          </cell>
          <cell r="H134">
            <v>467</v>
          </cell>
          <cell r="I134">
            <v>1</v>
          </cell>
          <cell r="J134">
            <v>205</v>
          </cell>
          <cell r="K134">
            <v>1</v>
          </cell>
          <cell r="L134">
            <v>92</v>
          </cell>
          <cell r="M134">
            <v>0</v>
          </cell>
          <cell r="N134">
            <v>0</v>
          </cell>
          <cell r="O134">
            <v>1</v>
          </cell>
          <cell r="P134">
            <v>92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1</v>
          </cell>
          <cell r="X134">
            <v>92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1</v>
          </cell>
          <cell r="AP134">
            <v>92</v>
          </cell>
          <cell r="AQ134" t="str">
            <v>SAINT PETERSBURG</v>
          </cell>
          <cell r="AR134">
            <v>99</v>
          </cell>
          <cell r="AS134">
            <v>9584</v>
          </cell>
          <cell r="AT134">
            <v>98</v>
          </cell>
          <cell r="AU134">
            <v>9379</v>
          </cell>
          <cell r="AV134">
            <v>97</v>
          </cell>
          <cell r="AW134">
            <v>9249</v>
          </cell>
          <cell r="AX134">
            <v>96</v>
          </cell>
          <cell r="AY134">
            <v>8924</v>
          </cell>
          <cell r="AZ134">
            <v>0</v>
          </cell>
          <cell r="BA134">
            <v>0</v>
          </cell>
        </row>
        <row r="135">
          <cell r="B135" t="str">
            <v>SAN DIEGO CBD</v>
          </cell>
          <cell r="C135">
            <v>1</v>
          </cell>
          <cell r="D135">
            <v>252</v>
          </cell>
          <cell r="E135">
            <v>2</v>
          </cell>
          <cell r="F135">
            <v>207</v>
          </cell>
          <cell r="G135">
            <v>6</v>
          </cell>
          <cell r="H135">
            <v>889</v>
          </cell>
          <cell r="I135">
            <v>2</v>
          </cell>
          <cell r="J135">
            <v>207</v>
          </cell>
          <cell r="K135">
            <v>2</v>
          </cell>
          <cell r="L135">
            <v>1011</v>
          </cell>
          <cell r="M135">
            <v>4</v>
          </cell>
          <cell r="N135">
            <v>897</v>
          </cell>
          <cell r="O135">
            <v>6</v>
          </cell>
          <cell r="P135">
            <v>1908</v>
          </cell>
          <cell r="Q135">
            <v>6</v>
          </cell>
          <cell r="R135">
            <v>2266</v>
          </cell>
          <cell r="S135">
            <v>0</v>
          </cell>
          <cell r="T135">
            <v>0</v>
          </cell>
          <cell r="U135">
            <v>1</v>
          </cell>
          <cell r="V135">
            <v>261</v>
          </cell>
          <cell r="W135">
            <v>2</v>
          </cell>
          <cell r="X135">
            <v>930</v>
          </cell>
          <cell r="Y135">
            <v>8</v>
          </cell>
          <cell r="Z135">
            <v>2733</v>
          </cell>
          <cell r="AA135">
            <v>1</v>
          </cell>
          <cell r="AB135">
            <v>250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9</v>
          </cell>
          <cell r="AJ135">
            <v>2983</v>
          </cell>
          <cell r="AK135">
            <v>0</v>
          </cell>
          <cell r="AL135">
            <v>0</v>
          </cell>
          <cell r="AM135">
            <v>1</v>
          </cell>
          <cell r="AN135">
            <v>261</v>
          </cell>
          <cell r="AO135">
            <v>2</v>
          </cell>
          <cell r="AP135">
            <v>930</v>
          </cell>
          <cell r="AQ135" t="str">
            <v>SAN DIEGO CBD</v>
          </cell>
          <cell r="AR135">
            <v>80</v>
          </cell>
          <cell r="AS135">
            <v>13992</v>
          </cell>
          <cell r="AT135">
            <v>78</v>
          </cell>
          <cell r="AU135">
            <v>13785</v>
          </cell>
          <cell r="AV135">
            <v>77</v>
          </cell>
          <cell r="AW135">
            <v>13533</v>
          </cell>
          <cell r="AX135">
            <v>60</v>
          </cell>
          <cell r="AY135">
            <v>12471</v>
          </cell>
          <cell r="AZ135">
            <v>3</v>
          </cell>
          <cell r="BA135">
            <v>717</v>
          </cell>
        </row>
        <row r="136">
          <cell r="B136" t="str">
            <v>SAN DIEGO NORTH</v>
          </cell>
          <cell r="C136">
            <v>5</v>
          </cell>
          <cell r="D136">
            <v>442</v>
          </cell>
          <cell r="E136">
            <v>1</v>
          </cell>
          <cell r="F136">
            <v>70</v>
          </cell>
          <cell r="G136">
            <v>14</v>
          </cell>
          <cell r="H136">
            <v>1793</v>
          </cell>
          <cell r="I136">
            <v>5</v>
          </cell>
          <cell r="J136">
            <v>847</v>
          </cell>
          <cell r="K136">
            <v>2</v>
          </cell>
          <cell r="L136">
            <v>491</v>
          </cell>
          <cell r="M136">
            <v>2</v>
          </cell>
          <cell r="N136">
            <v>202</v>
          </cell>
          <cell r="O136">
            <v>4</v>
          </cell>
          <cell r="P136">
            <v>693</v>
          </cell>
          <cell r="Q136">
            <v>4</v>
          </cell>
          <cell r="R136">
            <v>490</v>
          </cell>
          <cell r="S136">
            <v>4</v>
          </cell>
          <cell r="T136">
            <v>777</v>
          </cell>
          <cell r="U136">
            <v>1</v>
          </cell>
          <cell r="V136">
            <v>100</v>
          </cell>
          <cell r="W136">
            <v>3</v>
          </cell>
          <cell r="X136">
            <v>593</v>
          </cell>
          <cell r="Y136">
            <v>4</v>
          </cell>
          <cell r="Z136">
            <v>490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4</v>
          </cell>
          <cell r="AJ136">
            <v>490</v>
          </cell>
          <cell r="AK136">
            <v>0</v>
          </cell>
          <cell r="AL136">
            <v>0</v>
          </cell>
          <cell r="AM136">
            <v>1</v>
          </cell>
          <cell r="AN136">
            <v>100</v>
          </cell>
          <cell r="AO136">
            <v>3</v>
          </cell>
          <cell r="AP136">
            <v>593</v>
          </cell>
          <cell r="AQ136" t="str">
            <v>SAN DIEGO NORTH</v>
          </cell>
          <cell r="AR136">
            <v>121</v>
          </cell>
          <cell r="AS136">
            <v>10491</v>
          </cell>
          <cell r="AT136">
            <v>120</v>
          </cell>
          <cell r="AU136">
            <v>10421</v>
          </cell>
          <cell r="AV136">
            <v>115</v>
          </cell>
          <cell r="AW136">
            <v>9979</v>
          </cell>
          <cell r="AX136">
            <v>121</v>
          </cell>
          <cell r="AY136">
            <v>9401</v>
          </cell>
          <cell r="AZ136">
            <v>0</v>
          </cell>
          <cell r="BA136">
            <v>0</v>
          </cell>
        </row>
        <row r="137">
          <cell r="B137" t="str">
            <v>SAN DIEGO SOUTH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 t="str">
            <v>SAN DIEGO SOUTH</v>
          </cell>
          <cell r="AR137">
            <v>66</v>
          </cell>
          <cell r="AS137">
            <v>4664</v>
          </cell>
          <cell r="AT137">
            <v>66</v>
          </cell>
          <cell r="AU137">
            <v>4664</v>
          </cell>
          <cell r="AV137">
            <v>66</v>
          </cell>
          <cell r="AW137">
            <v>4664</v>
          </cell>
          <cell r="AX137">
            <v>71</v>
          </cell>
          <cell r="AY137">
            <v>5313</v>
          </cell>
          <cell r="AZ137">
            <v>0</v>
          </cell>
          <cell r="BA137">
            <v>0</v>
          </cell>
        </row>
        <row r="138">
          <cell r="B138" t="str">
            <v>SAN FRANCISCO AIRPORT</v>
          </cell>
          <cell r="C138">
            <v>3</v>
          </cell>
          <cell r="D138">
            <v>540</v>
          </cell>
          <cell r="E138">
            <v>4</v>
          </cell>
          <cell r="F138">
            <v>427</v>
          </cell>
          <cell r="G138">
            <v>11</v>
          </cell>
          <cell r="H138">
            <v>1392</v>
          </cell>
          <cell r="I138">
            <v>3</v>
          </cell>
          <cell r="J138">
            <v>275</v>
          </cell>
          <cell r="K138">
            <v>2</v>
          </cell>
          <cell r="L138">
            <v>254</v>
          </cell>
          <cell r="M138">
            <v>0</v>
          </cell>
          <cell r="N138">
            <v>0</v>
          </cell>
          <cell r="O138">
            <v>2</v>
          </cell>
          <cell r="P138">
            <v>254</v>
          </cell>
          <cell r="Q138">
            <v>1</v>
          </cell>
          <cell r="R138">
            <v>102</v>
          </cell>
          <cell r="S138">
            <v>0</v>
          </cell>
          <cell r="T138">
            <v>0</v>
          </cell>
          <cell r="U138">
            <v>1</v>
          </cell>
          <cell r="V138">
            <v>77</v>
          </cell>
          <cell r="W138">
            <v>1</v>
          </cell>
          <cell r="X138">
            <v>177</v>
          </cell>
          <cell r="Y138">
            <v>1</v>
          </cell>
          <cell r="Z138">
            <v>102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1</v>
          </cell>
          <cell r="AJ138">
            <v>102</v>
          </cell>
          <cell r="AK138">
            <v>0</v>
          </cell>
          <cell r="AL138">
            <v>0</v>
          </cell>
          <cell r="AM138">
            <v>1</v>
          </cell>
          <cell r="AN138">
            <v>77</v>
          </cell>
          <cell r="AO138">
            <v>1</v>
          </cell>
          <cell r="AP138">
            <v>177</v>
          </cell>
          <cell r="AQ138" t="str">
            <v>SAN FRANCISCO AIRPORT</v>
          </cell>
          <cell r="AR138">
            <v>44</v>
          </cell>
          <cell r="AS138">
            <v>8735</v>
          </cell>
          <cell r="AT138">
            <v>40</v>
          </cell>
          <cell r="AU138">
            <v>8308</v>
          </cell>
          <cell r="AV138">
            <v>37</v>
          </cell>
          <cell r="AW138">
            <v>7768</v>
          </cell>
          <cell r="AX138">
            <v>43</v>
          </cell>
          <cell r="AY138">
            <v>8107</v>
          </cell>
          <cell r="AZ138">
            <v>0</v>
          </cell>
          <cell r="BA138">
            <v>0</v>
          </cell>
        </row>
        <row r="139">
          <cell r="B139" t="str">
            <v>SAN FRANCISCO AREA</v>
          </cell>
          <cell r="C139">
            <v>3</v>
          </cell>
          <cell r="D139">
            <v>234</v>
          </cell>
          <cell r="E139">
            <v>3</v>
          </cell>
          <cell r="F139">
            <v>409</v>
          </cell>
          <cell r="G139">
            <v>20</v>
          </cell>
          <cell r="H139">
            <v>1841</v>
          </cell>
          <cell r="I139">
            <v>2</v>
          </cell>
          <cell r="J139">
            <v>148</v>
          </cell>
          <cell r="K139">
            <v>7</v>
          </cell>
          <cell r="L139">
            <v>386</v>
          </cell>
          <cell r="M139">
            <v>7</v>
          </cell>
          <cell r="N139">
            <v>1114</v>
          </cell>
          <cell r="O139">
            <v>14</v>
          </cell>
          <cell r="P139">
            <v>1500</v>
          </cell>
          <cell r="Q139">
            <v>1</v>
          </cell>
          <cell r="R139">
            <v>160</v>
          </cell>
          <cell r="S139">
            <v>0</v>
          </cell>
          <cell r="T139">
            <v>0</v>
          </cell>
          <cell r="U139">
            <v>7</v>
          </cell>
          <cell r="V139">
            <v>386</v>
          </cell>
          <cell r="W139">
            <v>2</v>
          </cell>
          <cell r="X139">
            <v>198</v>
          </cell>
          <cell r="Y139">
            <v>6</v>
          </cell>
          <cell r="Z139">
            <v>1076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6</v>
          </cell>
          <cell r="AJ139">
            <v>1076</v>
          </cell>
          <cell r="AK139">
            <v>0</v>
          </cell>
          <cell r="AL139">
            <v>0</v>
          </cell>
          <cell r="AM139">
            <v>7</v>
          </cell>
          <cell r="AN139">
            <v>386</v>
          </cell>
          <cell r="AO139">
            <v>2</v>
          </cell>
          <cell r="AP139">
            <v>198</v>
          </cell>
          <cell r="AQ139" t="str">
            <v>SAN FRANCISCO AREA</v>
          </cell>
          <cell r="AR139">
            <v>87</v>
          </cell>
          <cell r="AS139">
            <v>7770</v>
          </cell>
          <cell r="AT139">
            <v>84</v>
          </cell>
          <cell r="AU139">
            <v>7361</v>
          </cell>
          <cell r="AV139">
            <v>81</v>
          </cell>
          <cell r="AW139">
            <v>7127</v>
          </cell>
          <cell r="AX139">
            <v>105</v>
          </cell>
          <cell r="AY139">
            <v>8447</v>
          </cell>
          <cell r="AZ139">
            <v>5</v>
          </cell>
          <cell r="BA139">
            <v>916</v>
          </cell>
        </row>
        <row r="140">
          <cell r="B140" t="str">
            <v>SAN FRANCISCO-MARKET ST</v>
          </cell>
          <cell r="C140">
            <v>0</v>
          </cell>
          <cell r="D140">
            <v>0</v>
          </cell>
          <cell r="E140">
            <v>2</v>
          </cell>
          <cell r="F140">
            <v>682</v>
          </cell>
          <cell r="G140">
            <v>5</v>
          </cell>
          <cell r="H140">
            <v>1665</v>
          </cell>
          <cell r="I140">
            <v>3</v>
          </cell>
          <cell r="J140">
            <v>1044</v>
          </cell>
          <cell r="K140">
            <v>2</v>
          </cell>
          <cell r="L140">
            <v>537</v>
          </cell>
          <cell r="M140">
            <v>3</v>
          </cell>
          <cell r="N140">
            <v>1172</v>
          </cell>
          <cell r="O140">
            <v>5</v>
          </cell>
          <cell r="P140">
            <v>1709</v>
          </cell>
          <cell r="Q140">
            <v>1</v>
          </cell>
          <cell r="R140">
            <v>203</v>
          </cell>
          <cell r="S140">
            <v>1</v>
          </cell>
          <cell r="T140">
            <v>362</v>
          </cell>
          <cell r="U140">
            <v>0</v>
          </cell>
          <cell r="V140">
            <v>0</v>
          </cell>
          <cell r="W140">
            <v>2</v>
          </cell>
          <cell r="X140">
            <v>537</v>
          </cell>
          <cell r="Y140">
            <v>3</v>
          </cell>
          <cell r="Z140">
            <v>803</v>
          </cell>
          <cell r="AA140">
            <v>1</v>
          </cell>
          <cell r="AB140">
            <v>572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4</v>
          </cell>
          <cell r="AJ140">
            <v>1375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2</v>
          </cell>
          <cell r="AP140">
            <v>537</v>
          </cell>
          <cell r="AQ140" t="str">
            <v>SAN FRANCISCO-MARKET ST</v>
          </cell>
          <cell r="AR140">
            <v>102</v>
          </cell>
          <cell r="AS140">
            <v>18395</v>
          </cell>
          <cell r="AT140">
            <v>100</v>
          </cell>
          <cell r="AU140">
            <v>17713</v>
          </cell>
          <cell r="AV140">
            <v>100</v>
          </cell>
          <cell r="AW140">
            <v>17713</v>
          </cell>
          <cell r="AX140">
            <v>78</v>
          </cell>
          <cell r="AY140">
            <v>16649</v>
          </cell>
          <cell r="AZ140">
            <v>3</v>
          </cell>
          <cell r="BA140">
            <v>1172</v>
          </cell>
        </row>
        <row r="141">
          <cell r="B141" t="str">
            <v>SCOTTSDALE</v>
          </cell>
          <cell r="C141">
            <v>2</v>
          </cell>
          <cell r="D141">
            <v>292</v>
          </cell>
          <cell r="E141">
            <v>1</v>
          </cell>
          <cell r="F141">
            <v>82</v>
          </cell>
          <cell r="G141">
            <v>19</v>
          </cell>
          <cell r="H141">
            <v>2801</v>
          </cell>
          <cell r="I141">
            <v>0</v>
          </cell>
          <cell r="J141">
            <v>0</v>
          </cell>
          <cell r="K141">
            <v>2</v>
          </cell>
          <cell r="L141">
            <v>870</v>
          </cell>
          <cell r="M141">
            <v>2</v>
          </cell>
          <cell r="N141">
            <v>1000</v>
          </cell>
          <cell r="O141">
            <v>4</v>
          </cell>
          <cell r="P141">
            <v>1870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2</v>
          </cell>
          <cell r="X141">
            <v>870</v>
          </cell>
          <cell r="Y141">
            <v>2</v>
          </cell>
          <cell r="Z141">
            <v>350</v>
          </cell>
          <cell r="AA141">
            <v>1</v>
          </cell>
          <cell r="AB141">
            <v>750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3</v>
          </cell>
          <cell r="AJ141">
            <v>1100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2</v>
          </cell>
          <cell r="AP141">
            <v>870</v>
          </cell>
          <cell r="AQ141" t="str">
            <v>SCOTTSDALE</v>
          </cell>
          <cell r="AR141">
            <v>71</v>
          </cell>
          <cell r="AS141">
            <v>13396</v>
          </cell>
          <cell r="AT141">
            <v>70</v>
          </cell>
          <cell r="AU141">
            <v>13314</v>
          </cell>
          <cell r="AV141">
            <v>68</v>
          </cell>
          <cell r="AW141">
            <v>13022</v>
          </cell>
          <cell r="AX141">
            <v>74</v>
          </cell>
          <cell r="AY141">
            <v>13840</v>
          </cell>
          <cell r="AZ141">
            <v>2</v>
          </cell>
          <cell r="BA141">
            <v>1000</v>
          </cell>
        </row>
        <row r="142">
          <cell r="B142" t="str">
            <v>SEATTLE AIRPORT</v>
          </cell>
          <cell r="C142">
            <v>3</v>
          </cell>
          <cell r="D142">
            <v>352</v>
          </cell>
          <cell r="E142">
            <v>2</v>
          </cell>
          <cell r="F142">
            <v>421</v>
          </cell>
          <cell r="G142">
            <v>10</v>
          </cell>
          <cell r="H142">
            <v>1350</v>
          </cell>
          <cell r="I142">
            <v>0</v>
          </cell>
          <cell r="J142">
            <v>0</v>
          </cell>
          <cell r="K142">
            <v>1</v>
          </cell>
          <cell r="L142">
            <v>137</v>
          </cell>
          <cell r="M142">
            <v>1</v>
          </cell>
          <cell r="N142">
            <v>95</v>
          </cell>
          <cell r="O142">
            <v>2</v>
          </cell>
          <cell r="P142">
            <v>232</v>
          </cell>
          <cell r="Q142">
            <v>2</v>
          </cell>
          <cell r="R142">
            <v>261</v>
          </cell>
          <cell r="S142">
            <v>0</v>
          </cell>
          <cell r="T142">
            <v>0</v>
          </cell>
          <cell r="U142">
            <v>1</v>
          </cell>
          <cell r="V142">
            <v>137</v>
          </cell>
          <cell r="W142">
            <v>1</v>
          </cell>
          <cell r="X142">
            <v>95</v>
          </cell>
          <cell r="Y142">
            <v>2</v>
          </cell>
          <cell r="Z142">
            <v>261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2</v>
          </cell>
          <cell r="AJ142">
            <v>261</v>
          </cell>
          <cell r="AK142">
            <v>0</v>
          </cell>
          <cell r="AL142">
            <v>0</v>
          </cell>
          <cell r="AM142">
            <v>1</v>
          </cell>
          <cell r="AN142">
            <v>137</v>
          </cell>
          <cell r="AO142">
            <v>1</v>
          </cell>
          <cell r="AP142">
            <v>95</v>
          </cell>
          <cell r="AQ142" t="str">
            <v>SEATTLE AIRPORT</v>
          </cell>
          <cell r="AR142">
            <v>61</v>
          </cell>
          <cell r="AS142">
            <v>7925</v>
          </cell>
          <cell r="AT142">
            <v>59</v>
          </cell>
          <cell r="AU142">
            <v>7504</v>
          </cell>
          <cell r="AV142">
            <v>56</v>
          </cell>
          <cell r="AW142">
            <v>7152</v>
          </cell>
          <cell r="AX142">
            <v>64</v>
          </cell>
          <cell r="AY142">
            <v>8493</v>
          </cell>
          <cell r="AZ142">
            <v>0</v>
          </cell>
          <cell r="BA142">
            <v>0</v>
          </cell>
        </row>
        <row r="143">
          <cell r="B143" t="str">
            <v>SEATTLE CBD</v>
          </cell>
          <cell r="C143">
            <v>1</v>
          </cell>
          <cell r="D143">
            <v>24</v>
          </cell>
          <cell r="E143">
            <v>4</v>
          </cell>
          <cell r="F143">
            <v>961</v>
          </cell>
          <cell r="G143">
            <v>15</v>
          </cell>
          <cell r="H143">
            <v>2576</v>
          </cell>
          <cell r="I143">
            <v>4</v>
          </cell>
          <cell r="J143">
            <v>961</v>
          </cell>
          <cell r="K143">
            <v>4</v>
          </cell>
          <cell r="L143">
            <v>793</v>
          </cell>
          <cell r="M143">
            <v>0</v>
          </cell>
          <cell r="N143">
            <v>0</v>
          </cell>
          <cell r="O143">
            <v>4</v>
          </cell>
          <cell r="P143">
            <v>793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1</v>
          </cell>
          <cell r="V143">
            <v>100</v>
          </cell>
          <cell r="W143">
            <v>3</v>
          </cell>
          <cell r="X143">
            <v>693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1</v>
          </cell>
          <cell r="AN143">
            <v>100</v>
          </cell>
          <cell r="AO143">
            <v>3</v>
          </cell>
          <cell r="AP143">
            <v>693</v>
          </cell>
          <cell r="AQ143" t="str">
            <v>SEATTLE CBD</v>
          </cell>
          <cell r="AR143">
            <v>81</v>
          </cell>
          <cell r="AS143">
            <v>12118</v>
          </cell>
          <cell r="AT143">
            <v>77</v>
          </cell>
          <cell r="AU143">
            <v>11157</v>
          </cell>
          <cell r="AV143">
            <v>76</v>
          </cell>
          <cell r="AW143">
            <v>11133</v>
          </cell>
          <cell r="AX143">
            <v>82</v>
          </cell>
          <cell r="AY143">
            <v>12101</v>
          </cell>
          <cell r="AZ143">
            <v>0</v>
          </cell>
          <cell r="BA143">
            <v>0</v>
          </cell>
        </row>
        <row r="144">
          <cell r="B144" t="str">
            <v>SEATTLE NORTH</v>
          </cell>
          <cell r="C144">
            <v>2</v>
          </cell>
          <cell r="D144">
            <v>167</v>
          </cell>
          <cell r="E144">
            <v>1</v>
          </cell>
          <cell r="F144">
            <v>101</v>
          </cell>
          <cell r="G144">
            <v>17</v>
          </cell>
          <cell r="H144">
            <v>1569</v>
          </cell>
          <cell r="I144">
            <v>2</v>
          </cell>
          <cell r="J144">
            <v>163</v>
          </cell>
          <cell r="K144">
            <v>1</v>
          </cell>
          <cell r="L144">
            <v>107</v>
          </cell>
          <cell r="M144">
            <v>0</v>
          </cell>
          <cell r="N144">
            <v>0</v>
          </cell>
          <cell r="O144">
            <v>1</v>
          </cell>
          <cell r="P144">
            <v>107</v>
          </cell>
          <cell r="Q144">
            <v>0</v>
          </cell>
          <cell r="R144">
            <v>0</v>
          </cell>
          <cell r="S144">
            <v>1</v>
          </cell>
          <cell r="T144">
            <v>62</v>
          </cell>
          <cell r="U144">
            <v>1</v>
          </cell>
          <cell r="V144">
            <v>107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1</v>
          </cell>
          <cell r="AN144">
            <v>107</v>
          </cell>
          <cell r="AO144">
            <v>0</v>
          </cell>
          <cell r="AP144">
            <v>0</v>
          </cell>
          <cell r="AQ144" t="str">
            <v>SEATTLE NORTH</v>
          </cell>
          <cell r="AR144">
            <v>64</v>
          </cell>
          <cell r="AS144">
            <v>5183</v>
          </cell>
          <cell r="AT144">
            <v>63</v>
          </cell>
          <cell r="AU144">
            <v>5082</v>
          </cell>
          <cell r="AV144">
            <v>61</v>
          </cell>
          <cell r="AW144">
            <v>4915</v>
          </cell>
          <cell r="AX144">
            <v>54</v>
          </cell>
          <cell r="AY144">
            <v>4826</v>
          </cell>
          <cell r="AZ144">
            <v>0</v>
          </cell>
          <cell r="BA144">
            <v>0</v>
          </cell>
        </row>
        <row r="145">
          <cell r="B145" t="str">
            <v>SEATTLE SOUTH &amp; EAST</v>
          </cell>
          <cell r="C145">
            <v>5</v>
          </cell>
          <cell r="D145">
            <v>577</v>
          </cell>
          <cell r="E145">
            <v>0</v>
          </cell>
          <cell r="F145">
            <v>0</v>
          </cell>
          <cell r="G145">
            <v>26</v>
          </cell>
          <cell r="H145">
            <v>2933</v>
          </cell>
          <cell r="I145">
            <v>0</v>
          </cell>
          <cell r="J145">
            <v>0</v>
          </cell>
          <cell r="K145">
            <v>3</v>
          </cell>
          <cell r="L145">
            <v>430</v>
          </cell>
          <cell r="M145">
            <v>2</v>
          </cell>
          <cell r="N145">
            <v>140</v>
          </cell>
          <cell r="O145">
            <v>5</v>
          </cell>
          <cell r="P145">
            <v>570</v>
          </cell>
          <cell r="Q145">
            <v>5</v>
          </cell>
          <cell r="R145">
            <v>1315</v>
          </cell>
          <cell r="S145">
            <v>0</v>
          </cell>
          <cell r="T145">
            <v>0</v>
          </cell>
          <cell r="U145">
            <v>3</v>
          </cell>
          <cell r="V145">
            <v>167</v>
          </cell>
          <cell r="W145">
            <v>2</v>
          </cell>
          <cell r="X145">
            <v>403</v>
          </cell>
          <cell r="Y145">
            <v>4</v>
          </cell>
          <cell r="Z145">
            <v>765</v>
          </cell>
          <cell r="AA145">
            <v>1</v>
          </cell>
          <cell r="AB145">
            <v>550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5</v>
          </cell>
          <cell r="AJ145">
            <v>1315</v>
          </cell>
          <cell r="AK145">
            <v>0</v>
          </cell>
          <cell r="AL145">
            <v>0</v>
          </cell>
          <cell r="AM145">
            <v>3</v>
          </cell>
          <cell r="AN145">
            <v>167</v>
          </cell>
          <cell r="AO145">
            <v>2</v>
          </cell>
          <cell r="AP145">
            <v>403</v>
          </cell>
          <cell r="AQ145" t="str">
            <v>SEATTLE SOUTH &amp; EAST</v>
          </cell>
          <cell r="AR145">
            <v>86</v>
          </cell>
          <cell r="AS145">
            <v>10024</v>
          </cell>
          <cell r="AT145">
            <v>86</v>
          </cell>
          <cell r="AU145">
            <v>10024</v>
          </cell>
          <cell r="AV145">
            <v>81</v>
          </cell>
          <cell r="AW145">
            <v>9447</v>
          </cell>
          <cell r="AX145">
            <v>86</v>
          </cell>
          <cell r="AY145">
            <v>8838</v>
          </cell>
          <cell r="AZ145">
            <v>0</v>
          </cell>
          <cell r="BA145">
            <v>0</v>
          </cell>
        </row>
        <row r="146">
          <cell r="B146" t="str">
            <v>SOUTH JERSEY</v>
          </cell>
          <cell r="C146">
            <v>3</v>
          </cell>
          <cell r="D146">
            <v>230</v>
          </cell>
          <cell r="E146">
            <v>1</v>
          </cell>
          <cell r="F146">
            <v>125</v>
          </cell>
          <cell r="G146">
            <v>17</v>
          </cell>
          <cell r="H146">
            <v>1514</v>
          </cell>
          <cell r="I146">
            <v>1</v>
          </cell>
          <cell r="J146">
            <v>125</v>
          </cell>
          <cell r="K146">
            <v>3</v>
          </cell>
          <cell r="L146">
            <v>244</v>
          </cell>
          <cell r="M146">
            <v>3</v>
          </cell>
          <cell r="N146">
            <v>281</v>
          </cell>
          <cell r="O146">
            <v>6</v>
          </cell>
          <cell r="P146">
            <v>525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3</v>
          </cell>
          <cell r="V146">
            <v>244</v>
          </cell>
          <cell r="W146">
            <v>2</v>
          </cell>
          <cell r="X146">
            <v>179</v>
          </cell>
          <cell r="Y146">
            <v>1</v>
          </cell>
          <cell r="Z146">
            <v>102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1</v>
          </cell>
          <cell r="AJ146">
            <v>102</v>
          </cell>
          <cell r="AK146">
            <v>0</v>
          </cell>
          <cell r="AL146">
            <v>0</v>
          </cell>
          <cell r="AM146">
            <v>3</v>
          </cell>
          <cell r="AN146">
            <v>244</v>
          </cell>
          <cell r="AO146">
            <v>2</v>
          </cell>
          <cell r="AP146">
            <v>179</v>
          </cell>
          <cell r="AQ146" t="str">
            <v>SOUTH JERSEY</v>
          </cell>
          <cell r="AR146">
            <v>85</v>
          </cell>
          <cell r="AS146">
            <v>7827</v>
          </cell>
          <cell r="AT146">
            <v>84</v>
          </cell>
          <cell r="AU146">
            <v>7702</v>
          </cell>
          <cell r="AV146">
            <v>81</v>
          </cell>
          <cell r="AW146">
            <v>7472</v>
          </cell>
          <cell r="AX146">
            <v>75</v>
          </cell>
          <cell r="AY146">
            <v>7311</v>
          </cell>
          <cell r="AZ146">
            <v>1</v>
          </cell>
          <cell r="BA146">
            <v>102</v>
          </cell>
        </row>
        <row r="147">
          <cell r="B147" t="str">
            <v>ST. LOUIS AIRPORT</v>
          </cell>
          <cell r="C147">
            <v>1</v>
          </cell>
          <cell r="D147">
            <v>175</v>
          </cell>
          <cell r="E147">
            <v>0</v>
          </cell>
          <cell r="F147">
            <v>0</v>
          </cell>
          <cell r="G147">
            <v>4</v>
          </cell>
          <cell r="H147">
            <v>559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</v>
          </cell>
          <cell r="N147">
            <v>120</v>
          </cell>
          <cell r="O147">
            <v>1</v>
          </cell>
          <cell r="P147">
            <v>120</v>
          </cell>
          <cell r="Q147">
            <v>2</v>
          </cell>
          <cell r="R147">
            <v>200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3</v>
          </cell>
          <cell r="Z147">
            <v>320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3</v>
          </cell>
          <cell r="AJ147">
            <v>320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 t="str">
            <v>SAINT LOUIS AIRPORT</v>
          </cell>
          <cell r="AR147">
            <v>35</v>
          </cell>
          <cell r="AS147">
            <v>5785</v>
          </cell>
          <cell r="AT147">
            <v>35</v>
          </cell>
          <cell r="AU147">
            <v>5785</v>
          </cell>
          <cell r="AV147">
            <v>34</v>
          </cell>
          <cell r="AW147">
            <v>5610</v>
          </cell>
          <cell r="AX147">
            <v>35</v>
          </cell>
          <cell r="AY147">
            <v>6007</v>
          </cell>
          <cell r="AZ147">
            <v>1</v>
          </cell>
          <cell r="BA147">
            <v>120</v>
          </cell>
        </row>
        <row r="148">
          <cell r="B148" t="str">
            <v>ST. LOUIS CBD</v>
          </cell>
          <cell r="C148">
            <v>1</v>
          </cell>
          <cell r="D148">
            <v>362</v>
          </cell>
          <cell r="E148">
            <v>3</v>
          </cell>
          <cell r="F148">
            <v>606</v>
          </cell>
          <cell r="G148">
            <v>5</v>
          </cell>
          <cell r="H148">
            <v>1033</v>
          </cell>
          <cell r="I148">
            <v>2</v>
          </cell>
          <cell r="J148">
            <v>349</v>
          </cell>
          <cell r="K148">
            <v>2</v>
          </cell>
          <cell r="L148">
            <v>1080</v>
          </cell>
          <cell r="M148">
            <v>1</v>
          </cell>
          <cell r="N148">
            <v>212</v>
          </cell>
          <cell r="O148">
            <v>3</v>
          </cell>
          <cell r="P148">
            <v>1292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1</v>
          </cell>
          <cell r="V148">
            <v>163</v>
          </cell>
          <cell r="W148">
            <v>1</v>
          </cell>
          <cell r="X148">
            <v>917</v>
          </cell>
          <cell r="Y148">
            <v>1</v>
          </cell>
          <cell r="Z148">
            <v>212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1</v>
          </cell>
          <cell r="AJ148">
            <v>212</v>
          </cell>
          <cell r="AK148">
            <v>0</v>
          </cell>
          <cell r="AL148">
            <v>0</v>
          </cell>
          <cell r="AM148">
            <v>1</v>
          </cell>
          <cell r="AN148">
            <v>163</v>
          </cell>
          <cell r="AO148">
            <v>1</v>
          </cell>
          <cell r="AP148">
            <v>917</v>
          </cell>
          <cell r="AQ148" t="str">
            <v>SAINT LOUIS CBD</v>
          </cell>
          <cell r="AR148">
            <v>39</v>
          </cell>
          <cell r="AS148">
            <v>9266</v>
          </cell>
          <cell r="AT148">
            <v>36</v>
          </cell>
          <cell r="AU148">
            <v>8660</v>
          </cell>
          <cell r="AV148">
            <v>35</v>
          </cell>
          <cell r="AW148">
            <v>8298</v>
          </cell>
          <cell r="AX148">
            <v>32</v>
          </cell>
          <cell r="AY148">
            <v>7783</v>
          </cell>
          <cell r="AZ148">
            <v>1</v>
          </cell>
          <cell r="BA148">
            <v>212</v>
          </cell>
        </row>
        <row r="149">
          <cell r="B149" t="str">
            <v>ST. LOUIS EAST</v>
          </cell>
          <cell r="C149">
            <v>4</v>
          </cell>
          <cell r="D149">
            <v>315</v>
          </cell>
          <cell r="E149">
            <v>1</v>
          </cell>
          <cell r="F149">
            <v>65</v>
          </cell>
          <cell r="G149">
            <v>21</v>
          </cell>
          <cell r="H149">
            <v>1495</v>
          </cell>
          <cell r="I149">
            <v>0</v>
          </cell>
          <cell r="J149">
            <v>0</v>
          </cell>
          <cell r="K149">
            <v>1</v>
          </cell>
          <cell r="L149">
            <v>125</v>
          </cell>
          <cell r="M149">
            <v>1</v>
          </cell>
          <cell r="N149">
            <v>80</v>
          </cell>
          <cell r="O149">
            <v>2</v>
          </cell>
          <cell r="P149">
            <v>205</v>
          </cell>
          <cell r="Q149">
            <v>1</v>
          </cell>
          <cell r="R149">
            <v>80</v>
          </cell>
          <cell r="S149">
            <v>0</v>
          </cell>
          <cell r="T149">
            <v>0</v>
          </cell>
          <cell r="U149">
            <v>1</v>
          </cell>
          <cell r="V149">
            <v>125</v>
          </cell>
          <cell r="W149">
            <v>1</v>
          </cell>
          <cell r="X149">
            <v>80</v>
          </cell>
          <cell r="Y149">
            <v>1</v>
          </cell>
          <cell r="Z149">
            <v>80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1</v>
          </cell>
          <cell r="AJ149">
            <v>80</v>
          </cell>
          <cell r="AK149">
            <v>0</v>
          </cell>
          <cell r="AL149">
            <v>0</v>
          </cell>
          <cell r="AM149">
            <v>1</v>
          </cell>
          <cell r="AN149">
            <v>125</v>
          </cell>
          <cell r="AO149">
            <v>1</v>
          </cell>
          <cell r="AP149">
            <v>80</v>
          </cell>
          <cell r="AQ149" t="str">
            <v>SAINT LOUIS EAST</v>
          </cell>
          <cell r="AR149">
            <v>62</v>
          </cell>
          <cell r="AS149">
            <v>4476</v>
          </cell>
          <cell r="AT149">
            <v>61</v>
          </cell>
          <cell r="AU149">
            <v>4411</v>
          </cell>
          <cell r="AV149">
            <v>57</v>
          </cell>
          <cell r="AW149">
            <v>4096</v>
          </cell>
          <cell r="AX149">
            <v>71</v>
          </cell>
          <cell r="AY149">
            <v>5061</v>
          </cell>
          <cell r="AZ149">
            <v>0</v>
          </cell>
          <cell r="BA149">
            <v>0</v>
          </cell>
        </row>
        <row r="150">
          <cell r="B150" t="str">
            <v>ST. LOUIS NORTHWEST</v>
          </cell>
          <cell r="C150">
            <v>0</v>
          </cell>
          <cell r="D150">
            <v>0</v>
          </cell>
          <cell r="E150">
            <v>1</v>
          </cell>
          <cell r="F150">
            <v>71</v>
          </cell>
          <cell r="G150">
            <v>16</v>
          </cell>
          <cell r="H150">
            <v>2017</v>
          </cell>
          <cell r="I150">
            <v>1</v>
          </cell>
          <cell r="J150">
            <v>71</v>
          </cell>
          <cell r="K150">
            <v>2</v>
          </cell>
          <cell r="L150">
            <v>184</v>
          </cell>
          <cell r="M150">
            <v>2</v>
          </cell>
          <cell r="N150">
            <v>220</v>
          </cell>
          <cell r="O150">
            <v>4</v>
          </cell>
          <cell r="P150">
            <v>404</v>
          </cell>
          <cell r="Q150">
            <v>1</v>
          </cell>
          <cell r="R150">
            <v>539</v>
          </cell>
          <cell r="S150">
            <v>0</v>
          </cell>
          <cell r="T150">
            <v>0</v>
          </cell>
          <cell r="U150">
            <v>2</v>
          </cell>
          <cell r="V150">
            <v>184</v>
          </cell>
          <cell r="W150">
            <v>2</v>
          </cell>
          <cell r="X150">
            <v>220</v>
          </cell>
          <cell r="Y150">
            <v>0</v>
          </cell>
          <cell r="Z150">
            <v>0</v>
          </cell>
          <cell r="AA150">
            <v>1</v>
          </cell>
          <cell r="AB150">
            <v>539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1</v>
          </cell>
          <cell r="AJ150">
            <v>539</v>
          </cell>
          <cell r="AK150">
            <v>0</v>
          </cell>
          <cell r="AL150">
            <v>0</v>
          </cell>
          <cell r="AM150">
            <v>2</v>
          </cell>
          <cell r="AN150">
            <v>184</v>
          </cell>
          <cell r="AO150">
            <v>2</v>
          </cell>
          <cell r="AP150">
            <v>220</v>
          </cell>
          <cell r="AQ150" t="str">
            <v>SAINT LOUIS NORTHWEST</v>
          </cell>
          <cell r="AR150">
            <v>55</v>
          </cell>
          <cell r="AS150">
            <v>6993</v>
          </cell>
          <cell r="AT150">
            <v>54</v>
          </cell>
          <cell r="AU150">
            <v>6922</v>
          </cell>
          <cell r="AV150">
            <v>54</v>
          </cell>
          <cell r="AW150">
            <v>6922</v>
          </cell>
          <cell r="AX150">
            <v>54</v>
          </cell>
          <cell r="AY150">
            <v>7017</v>
          </cell>
          <cell r="AZ150">
            <v>0</v>
          </cell>
          <cell r="BA150">
            <v>0</v>
          </cell>
        </row>
        <row r="151">
          <cell r="B151" t="str">
            <v>ST. LOUIS SOUTHWEST</v>
          </cell>
          <cell r="C151">
            <v>4</v>
          </cell>
          <cell r="D151">
            <v>433</v>
          </cell>
          <cell r="E151">
            <v>2</v>
          </cell>
          <cell r="F151">
            <v>155</v>
          </cell>
          <cell r="G151">
            <v>14</v>
          </cell>
          <cell r="H151">
            <v>1306</v>
          </cell>
          <cell r="I151">
            <v>1</v>
          </cell>
          <cell r="J151">
            <v>71</v>
          </cell>
          <cell r="K151">
            <v>1</v>
          </cell>
          <cell r="L151">
            <v>100</v>
          </cell>
          <cell r="M151">
            <v>5</v>
          </cell>
          <cell r="N151">
            <v>732</v>
          </cell>
          <cell r="O151">
            <v>6</v>
          </cell>
          <cell r="P151">
            <v>832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1</v>
          </cell>
          <cell r="V151">
            <v>100</v>
          </cell>
          <cell r="W151">
            <v>3</v>
          </cell>
          <cell r="X151">
            <v>279</v>
          </cell>
          <cell r="Y151">
            <v>2</v>
          </cell>
          <cell r="Z151">
            <v>453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2</v>
          </cell>
          <cell r="AJ151">
            <v>453</v>
          </cell>
          <cell r="AK151">
            <v>0</v>
          </cell>
          <cell r="AL151">
            <v>0</v>
          </cell>
          <cell r="AM151">
            <v>1</v>
          </cell>
          <cell r="AN151">
            <v>100</v>
          </cell>
          <cell r="AO151">
            <v>3</v>
          </cell>
          <cell r="AP151">
            <v>279</v>
          </cell>
          <cell r="AQ151" t="str">
            <v>SAINT LOUIS SOUTHWEST</v>
          </cell>
          <cell r="AR151">
            <v>49</v>
          </cell>
          <cell r="AS151">
            <v>5335</v>
          </cell>
          <cell r="AT151">
            <v>47</v>
          </cell>
          <cell r="AU151">
            <v>5180</v>
          </cell>
          <cell r="AV151">
            <v>43</v>
          </cell>
          <cell r="AW151">
            <v>4747</v>
          </cell>
          <cell r="AX151">
            <v>51</v>
          </cell>
          <cell r="AY151">
            <v>5426</v>
          </cell>
          <cell r="AZ151">
            <v>2</v>
          </cell>
          <cell r="BA151">
            <v>453</v>
          </cell>
        </row>
        <row r="152">
          <cell r="B152" t="str">
            <v>ST. PAUL</v>
          </cell>
          <cell r="C152">
            <v>2</v>
          </cell>
          <cell r="D152">
            <v>133</v>
          </cell>
          <cell r="E152">
            <v>1</v>
          </cell>
          <cell r="F152">
            <v>120</v>
          </cell>
          <cell r="G152">
            <v>11</v>
          </cell>
          <cell r="H152">
            <v>986</v>
          </cell>
          <cell r="I152">
            <v>1</v>
          </cell>
          <cell r="J152">
            <v>120</v>
          </cell>
          <cell r="K152">
            <v>1</v>
          </cell>
          <cell r="L152">
            <v>70</v>
          </cell>
          <cell r="M152">
            <v>1</v>
          </cell>
          <cell r="N152">
            <v>83</v>
          </cell>
          <cell r="O152">
            <v>2</v>
          </cell>
          <cell r="P152">
            <v>153</v>
          </cell>
          <cell r="Q152">
            <v>1</v>
          </cell>
          <cell r="R152">
            <v>83</v>
          </cell>
          <cell r="S152">
            <v>0</v>
          </cell>
          <cell r="T152">
            <v>0</v>
          </cell>
          <cell r="U152">
            <v>1</v>
          </cell>
          <cell r="V152">
            <v>70</v>
          </cell>
          <cell r="W152">
            <v>0</v>
          </cell>
          <cell r="X152">
            <v>0</v>
          </cell>
          <cell r="Y152">
            <v>2</v>
          </cell>
          <cell r="Z152">
            <v>166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2</v>
          </cell>
          <cell r="AJ152">
            <v>166</v>
          </cell>
          <cell r="AK152">
            <v>0</v>
          </cell>
          <cell r="AL152">
            <v>0</v>
          </cell>
          <cell r="AM152">
            <v>1</v>
          </cell>
          <cell r="AN152">
            <v>70</v>
          </cell>
          <cell r="AO152">
            <v>0</v>
          </cell>
          <cell r="AP152">
            <v>0</v>
          </cell>
          <cell r="AQ152" t="str">
            <v>SAINT PAUL</v>
          </cell>
          <cell r="AR152">
            <v>43</v>
          </cell>
          <cell r="AS152">
            <v>5587</v>
          </cell>
          <cell r="AT152">
            <v>42</v>
          </cell>
          <cell r="AU152">
            <v>5467</v>
          </cell>
          <cell r="AV152">
            <v>40</v>
          </cell>
          <cell r="AW152">
            <v>5334</v>
          </cell>
          <cell r="AX152">
            <v>46</v>
          </cell>
          <cell r="AY152">
            <v>5652</v>
          </cell>
          <cell r="AZ152">
            <v>1</v>
          </cell>
          <cell r="BA152">
            <v>83</v>
          </cell>
        </row>
        <row r="153">
          <cell r="B153" t="str">
            <v>ST. PETERSBURG</v>
          </cell>
          <cell r="C153">
            <v>1</v>
          </cell>
          <cell r="D153">
            <v>130</v>
          </cell>
          <cell r="E153">
            <v>1</v>
          </cell>
          <cell r="F153">
            <v>205</v>
          </cell>
          <cell r="G153">
            <v>3</v>
          </cell>
          <cell r="H153">
            <v>467</v>
          </cell>
          <cell r="I153">
            <v>1</v>
          </cell>
          <cell r="J153">
            <v>205</v>
          </cell>
          <cell r="K153">
            <v>1</v>
          </cell>
          <cell r="L153">
            <v>92</v>
          </cell>
          <cell r="M153">
            <v>0</v>
          </cell>
          <cell r="N153">
            <v>0</v>
          </cell>
          <cell r="O153">
            <v>1</v>
          </cell>
          <cell r="P153">
            <v>92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1</v>
          </cell>
          <cell r="X153">
            <v>92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1</v>
          </cell>
          <cell r="AP153">
            <v>92</v>
          </cell>
          <cell r="AQ153" t="str">
            <v>SAINT PETERSBURG</v>
          </cell>
          <cell r="AR153">
            <v>99</v>
          </cell>
          <cell r="AS153">
            <v>9584</v>
          </cell>
          <cell r="AT153">
            <v>98</v>
          </cell>
          <cell r="AU153">
            <v>9379</v>
          </cell>
          <cell r="AV153">
            <v>97</v>
          </cell>
          <cell r="AW153">
            <v>9249</v>
          </cell>
          <cell r="AX153">
            <v>96</v>
          </cell>
          <cell r="AY153">
            <v>8924</v>
          </cell>
          <cell r="AZ153">
            <v>0</v>
          </cell>
          <cell r="BA153">
            <v>0</v>
          </cell>
        </row>
        <row r="154">
          <cell r="B154" t="str">
            <v>SUBURBAN MARYLAND SOUTH</v>
          </cell>
          <cell r="C154">
            <v>2</v>
          </cell>
          <cell r="D154">
            <v>169</v>
          </cell>
          <cell r="E154">
            <v>0</v>
          </cell>
          <cell r="F154">
            <v>0</v>
          </cell>
          <cell r="G154">
            <v>6</v>
          </cell>
          <cell r="H154">
            <v>503</v>
          </cell>
          <cell r="I154">
            <v>0</v>
          </cell>
          <cell r="J154">
            <v>0</v>
          </cell>
          <cell r="K154">
            <v>1</v>
          </cell>
          <cell r="L154">
            <v>120</v>
          </cell>
          <cell r="M154">
            <v>0</v>
          </cell>
          <cell r="N154">
            <v>0</v>
          </cell>
          <cell r="O154">
            <v>1</v>
          </cell>
          <cell r="P154">
            <v>120</v>
          </cell>
          <cell r="Q154">
            <v>2</v>
          </cell>
          <cell r="R154">
            <v>202</v>
          </cell>
          <cell r="S154">
            <v>0</v>
          </cell>
          <cell r="T154">
            <v>0</v>
          </cell>
          <cell r="U154">
            <v>1</v>
          </cell>
          <cell r="V154">
            <v>120</v>
          </cell>
          <cell r="W154">
            <v>0</v>
          </cell>
          <cell r="X154">
            <v>0</v>
          </cell>
          <cell r="Y154">
            <v>2</v>
          </cell>
          <cell r="Z154">
            <v>202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2</v>
          </cell>
          <cell r="AJ154">
            <v>202</v>
          </cell>
          <cell r="AK154">
            <v>0</v>
          </cell>
          <cell r="AL154">
            <v>0</v>
          </cell>
          <cell r="AM154">
            <v>1</v>
          </cell>
          <cell r="AN154">
            <v>120</v>
          </cell>
          <cell r="AO154">
            <v>0</v>
          </cell>
          <cell r="AP154">
            <v>0</v>
          </cell>
          <cell r="AQ154" t="str">
            <v>SUBURBAN MARYLAND SOUTH</v>
          </cell>
          <cell r="AR154">
            <v>49</v>
          </cell>
          <cell r="AS154">
            <v>5471</v>
          </cell>
          <cell r="AT154">
            <v>49</v>
          </cell>
          <cell r="AU154">
            <v>5471</v>
          </cell>
          <cell r="AV154">
            <v>47</v>
          </cell>
          <cell r="AW154">
            <v>5302</v>
          </cell>
          <cell r="AX154">
            <v>51</v>
          </cell>
          <cell r="AY154">
            <v>5793</v>
          </cell>
          <cell r="AZ154">
            <v>0</v>
          </cell>
          <cell r="BA154">
            <v>0</v>
          </cell>
        </row>
        <row r="155">
          <cell r="B155" t="str">
            <v>SUBURBAN VIRGINIA AREA</v>
          </cell>
          <cell r="C155">
            <v>4</v>
          </cell>
          <cell r="D155">
            <v>392</v>
          </cell>
          <cell r="E155">
            <v>5</v>
          </cell>
          <cell r="F155">
            <v>530</v>
          </cell>
          <cell r="G155">
            <v>23</v>
          </cell>
          <cell r="H155">
            <v>2129</v>
          </cell>
          <cell r="I155">
            <v>2</v>
          </cell>
          <cell r="J155">
            <v>194</v>
          </cell>
          <cell r="K155">
            <v>2</v>
          </cell>
          <cell r="L155">
            <v>161</v>
          </cell>
          <cell r="M155">
            <v>7</v>
          </cell>
          <cell r="N155">
            <v>755</v>
          </cell>
          <cell r="O155">
            <v>9</v>
          </cell>
          <cell r="P155">
            <v>916</v>
          </cell>
          <cell r="Q155">
            <v>7</v>
          </cell>
          <cell r="R155">
            <v>1108</v>
          </cell>
          <cell r="S155">
            <v>0</v>
          </cell>
          <cell r="T155">
            <v>0</v>
          </cell>
          <cell r="U155">
            <v>2</v>
          </cell>
          <cell r="V155">
            <v>161</v>
          </cell>
          <cell r="W155">
            <v>6</v>
          </cell>
          <cell r="X155">
            <v>628</v>
          </cell>
          <cell r="Y155">
            <v>4</v>
          </cell>
          <cell r="Z155">
            <v>602</v>
          </cell>
          <cell r="AA155">
            <v>0</v>
          </cell>
          <cell r="AB155">
            <v>0</v>
          </cell>
          <cell r="AC155">
            <v>4</v>
          </cell>
          <cell r="AD155">
            <v>633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8</v>
          </cell>
          <cell r="AJ155">
            <v>1235</v>
          </cell>
          <cell r="AK155">
            <v>0</v>
          </cell>
          <cell r="AL155">
            <v>0</v>
          </cell>
          <cell r="AM155">
            <v>2</v>
          </cell>
          <cell r="AN155">
            <v>161</v>
          </cell>
          <cell r="AO155">
            <v>6</v>
          </cell>
          <cell r="AP155">
            <v>628</v>
          </cell>
          <cell r="AQ155" t="str">
            <v>SUBURBAN VIRGINIA AREA</v>
          </cell>
          <cell r="AR155">
            <v>56</v>
          </cell>
          <cell r="AS155">
            <v>7007</v>
          </cell>
          <cell r="AT155">
            <v>51</v>
          </cell>
          <cell r="AU155">
            <v>6477</v>
          </cell>
          <cell r="AV155">
            <v>47</v>
          </cell>
          <cell r="AW155">
            <v>6085</v>
          </cell>
          <cell r="AX155">
            <v>57</v>
          </cell>
          <cell r="AY155">
            <v>6978</v>
          </cell>
          <cell r="AZ155">
            <v>1</v>
          </cell>
          <cell r="BA155">
            <v>127</v>
          </cell>
        </row>
        <row r="156">
          <cell r="B156" t="str">
            <v>TAMPA DOWNTOWN-AIRPORT</v>
          </cell>
          <cell r="C156">
            <v>2</v>
          </cell>
          <cell r="D156">
            <v>826</v>
          </cell>
          <cell r="E156">
            <v>4</v>
          </cell>
          <cell r="F156">
            <v>458</v>
          </cell>
          <cell r="G156">
            <v>14</v>
          </cell>
          <cell r="H156">
            <v>2390</v>
          </cell>
          <cell r="I156">
            <v>2</v>
          </cell>
          <cell r="J156">
            <v>309</v>
          </cell>
          <cell r="K156">
            <v>1</v>
          </cell>
          <cell r="L156">
            <v>85</v>
          </cell>
          <cell r="M156">
            <v>4</v>
          </cell>
          <cell r="N156">
            <v>673</v>
          </cell>
          <cell r="O156">
            <v>5</v>
          </cell>
          <cell r="P156">
            <v>758</v>
          </cell>
          <cell r="Q156">
            <v>2</v>
          </cell>
          <cell r="R156">
            <v>355</v>
          </cell>
          <cell r="S156">
            <v>0</v>
          </cell>
          <cell r="T156">
            <v>0</v>
          </cell>
          <cell r="U156">
            <v>1</v>
          </cell>
          <cell r="V156">
            <v>85</v>
          </cell>
          <cell r="W156">
            <v>1</v>
          </cell>
          <cell r="X156">
            <v>152</v>
          </cell>
          <cell r="Y156">
            <v>5</v>
          </cell>
          <cell r="Z156">
            <v>876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5</v>
          </cell>
          <cell r="AJ156">
            <v>876</v>
          </cell>
          <cell r="AK156">
            <v>0</v>
          </cell>
          <cell r="AL156">
            <v>0</v>
          </cell>
          <cell r="AM156">
            <v>1</v>
          </cell>
          <cell r="AN156">
            <v>85</v>
          </cell>
          <cell r="AO156">
            <v>1</v>
          </cell>
          <cell r="AP156">
            <v>152</v>
          </cell>
          <cell r="AQ156" t="str">
            <v>TAMPA DOWNTOWN-AIRPORT</v>
          </cell>
          <cell r="AR156">
            <v>51</v>
          </cell>
          <cell r="AS156">
            <v>9869</v>
          </cell>
          <cell r="AT156">
            <v>47</v>
          </cell>
          <cell r="AU156">
            <v>9411</v>
          </cell>
          <cell r="AV156">
            <v>45</v>
          </cell>
          <cell r="AW156">
            <v>8585</v>
          </cell>
          <cell r="AX156">
            <v>46</v>
          </cell>
          <cell r="AY156">
            <v>9696</v>
          </cell>
          <cell r="AZ156">
            <v>3</v>
          </cell>
          <cell r="BA156">
            <v>521</v>
          </cell>
        </row>
        <row r="157">
          <cell r="B157" t="str">
            <v>TAMPA EAST</v>
          </cell>
          <cell r="C157">
            <v>2</v>
          </cell>
          <cell r="D157">
            <v>220</v>
          </cell>
          <cell r="E157">
            <v>0</v>
          </cell>
          <cell r="F157">
            <v>0</v>
          </cell>
          <cell r="G157">
            <v>13</v>
          </cell>
          <cell r="H157">
            <v>1337</v>
          </cell>
          <cell r="I157">
            <v>1</v>
          </cell>
          <cell r="J157">
            <v>152</v>
          </cell>
          <cell r="K157">
            <v>0</v>
          </cell>
          <cell r="L157">
            <v>0</v>
          </cell>
          <cell r="M157">
            <v>3</v>
          </cell>
          <cell r="N157">
            <v>413</v>
          </cell>
          <cell r="O157">
            <v>3</v>
          </cell>
          <cell r="P157">
            <v>413</v>
          </cell>
          <cell r="Q157">
            <v>3</v>
          </cell>
          <cell r="R157">
            <v>268</v>
          </cell>
          <cell r="S157">
            <v>1</v>
          </cell>
          <cell r="T157">
            <v>152</v>
          </cell>
          <cell r="U157">
            <v>0</v>
          </cell>
          <cell r="V157">
            <v>0</v>
          </cell>
          <cell r="W157">
            <v>2</v>
          </cell>
          <cell r="X157">
            <v>330</v>
          </cell>
          <cell r="Y157">
            <v>4</v>
          </cell>
          <cell r="Z157">
            <v>351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4</v>
          </cell>
          <cell r="AJ157">
            <v>351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2</v>
          </cell>
          <cell r="AP157">
            <v>330</v>
          </cell>
          <cell r="AQ157" t="str">
            <v>TAMPA EAST</v>
          </cell>
          <cell r="AR157">
            <v>43</v>
          </cell>
          <cell r="AS157">
            <v>4669</v>
          </cell>
          <cell r="AT157">
            <v>43</v>
          </cell>
          <cell r="AU157">
            <v>4669</v>
          </cell>
          <cell r="AV157">
            <v>41</v>
          </cell>
          <cell r="AW157">
            <v>4449</v>
          </cell>
          <cell r="AX157">
            <v>39</v>
          </cell>
          <cell r="AY157">
            <v>4109</v>
          </cell>
          <cell r="AZ157">
            <v>1</v>
          </cell>
          <cell r="BA157">
            <v>83</v>
          </cell>
        </row>
        <row r="158">
          <cell r="B158" t="str">
            <v>TAMPA NORTH-BUSCH GARDENS</v>
          </cell>
          <cell r="C158">
            <v>1</v>
          </cell>
          <cell r="D158">
            <v>150</v>
          </cell>
          <cell r="E158">
            <v>0</v>
          </cell>
          <cell r="F158">
            <v>0</v>
          </cell>
          <cell r="G158">
            <v>15</v>
          </cell>
          <cell r="H158">
            <v>1604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1</v>
          </cell>
          <cell r="N158">
            <v>100</v>
          </cell>
          <cell r="O158">
            <v>1</v>
          </cell>
          <cell r="P158">
            <v>100</v>
          </cell>
          <cell r="Q158">
            <v>2</v>
          </cell>
          <cell r="R158">
            <v>135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1</v>
          </cell>
          <cell r="X158">
            <v>100</v>
          </cell>
          <cell r="Y158">
            <v>2</v>
          </cell>
          <cell r="Z158">
            <v>135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2</v>
          </cell>
          <cell r="AJ158">
            <v>135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1</v>
          </cell>
          <cell r="AP158">
            <v>100</v>
          </cell>
          <cell r="AQ158" t="str">
            <v>TAMPA NORTH-BUSCH GARDENS</v>
          </cell>
          <cell r="AR158">
            <v>41</v>
          </cell>
          <cell r="AS158">
            <v>5451</v>
          </cell>
          <cell r="AT158">
            <v>41</v>
          </cell>
          <cell r="AU158">
            <v>5451</v>
          </cell>
          <cell r="AV158">
            <v>40</v>
          </cell>
          <cell r="AW158">
            <v>5301</v>
          </cell>
          <cell r="AX158">
            <v>43</v>
          </cell>
          <cell r="AY158">
            <v>5604</v>
          </cell>
          <cell r="AZ158">
            <v>0</v>
          </cell>
          <cell r="BA158">
            <v>0</v>
          </cell>
        </row>
        <row r="159">
          <cell r="B159" t="str">
            <v>TARPON SPRINGS/NEW PORT RICHEY</v>
          </cell>
          <cell r="C159">
            <v>0</v>
          </cell>
          <cell r="D159">
            <v>0</v>
          </cell>
          <cell r="E159">
            <v>1</v>
          </cell>
          <cell r="F159">
            <v>82</v>
          </cell>
          <cell r="G159">
            <v>3</v>
          </cell>
          <cell r="H159">
            <v>253</v>
          </cell>
          <cell r="I159">
            <v>1</v>
          </cell>
          <cell r="J159">
            <v>82</v>
          </cell>
          <cell r="K159">
            <v>2</v>
          </cell>
          <cell r="L159">
            <v>183</v>
          </cell>
          <cell r="M159">
            <v>0</v>
          </cell>
          <cell r="N159">
            <v>0</v>
          </cell>
          <cell r="O159">
            <v>2</v>
          </cell>
          <cell r="P159">
            <v>183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2</v>
          </cell>
          <cell r="X159">
            <v>183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2</v>
          </cell>
          <cell r="AP159">
            <v>183</v>
          </cell>
          <cell r="AQ159" t="str">
            <v>TARPON SPRINGS/NEW PORT RICHEY</v>
          </cell>
          <cell r="AR159">
            <v>30</v>
          </cell>
          <cell r="AS159">
            <v>3776</v>
          </cell>
          <cell r="AT159">
            <v>29</v>
          </cell>
          <cell r="AU159">
            <v>3694</v>
          </cell>
          <cell r="AV159">
            <v>29</v>
          </cell>
          <cell r="AW159">
            <v>3694</v>
          </cell>
          <cell r="AX159">
            <v>27</v>
          </cell>
          <cell r="AY159">
            <v>3278</v>
          </cell>
          <cell r="AZ159">
            <v>0</v>
          </cell>
          <cell r="BA159">
            <v>0</v>
          </cell>
        </row>
        <row r="160">
          <cell r="B160" t="str">
            <v>TEMPE</v>
          </cell>
          <cell r="C160">
            <v>2</v>
          </cell>
          <cell r="D160">
            <v>266</v>
          </cell>
          <cell r="E160">
            <v>0</v>
          </cell>
          <cell r="F160">
            <v>0</v>
          </cell>
          <cell r="G160">
            <v>17</v>
          </cell>
          <cell r="H160">
            <v>1878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1</v>
          </cell>
          <cell r="R160">
            <v>125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1</v>
          </cell>
          <cell r="Z160">
            <v>125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1</v>
          </cell>
          <cell r="AJ160">
            <v>125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 t="str">
            <v>TEMPE</v>
          </cell>
          <cell r="AR160">
            <v>45</v>
          </cell>
          <cell r="AS160">
            <v>5518</v>
          </cell>
          <cell r="AT160">
            <v>45</v>
          </cell>
          <cell r="AU160">
            <v>5518</v>
          </cell>
          <cell r="AV160">
            <v>43</v>
          </cell>
          <cell r="AW160">
            <v>5252</v>
          </cell>
          <cell r="AX160">
            <v>44</v>
          </cell>
          <cell r="AY160">
            <v>5530</v>
          </cell>
          <cell r="AZ160">
            <v>0</v>
          </cell>
          <cell r="BA160">
            <v>0</v>
          </cell>
        </row>
        <row r="161">
          <cell r="B161" t="str">
            <v>VIRGINIA BEACH CITY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2</v>
          </cell>
          <cell r="H161">
            <v>233</v>
          </cell>
          <cell r="I161">
            <v>0</v>
          </cell>
          <cell r="J161">
            <v>0</v>
          </cell>
          <cell r="K161">
            <v>1</v>
          </cell>
          <cell r="L161">
            <v>86</v>
          </cell>
          <cell r="M161">
            <v>2</v>
          </cell>
          <cell r="N161">
            <v>218</v>
          </cell>
          <cell r="O161">
            <v>3</v>
          </cell>
          <cell r="P161">
            <v>304</v>
          </cell>
          <cell r="Q161">
            <v>2</v>
          </cell>
          <cell r="R161">
            <v>560</v>
          </cell>
          <cell r="S161">
            <v>0</v>
          </cell>
          <cell r="T161">
            <v>0</v>
          </cell>
          <cell r="U161">
            <v>1</v>
          </cell>
          <cell r="V161">
            <v>86</v>
          </cell>
          <cell r="W161">
            <v>1</v>
          </cell>
          <cell r="X161">
            <v>100</v>
          </cell>
          <cell r="Y161">
            <v>2</v>
          </cell>
          <cell r="Z161">
            <v>378</v>
          </cell>
          <cell r="AA161">
            <v>1</v>
          </cell>
          <cell r="AB161">
            <v>300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3</v>
          </cell>
          <cell r="AJ161">
            <v>678</v>
          </cell>
          <cell r="AK161">
            <v>0</v>
          </cell>
          <cell r="AL161">
            <v>0</v>
          </cell>
          <cell r="AM161">
            <v>1</v>
          </cell>
          <cell r="AN161">
            <v>86</v>
          </cell>
          <cell r="AO161">
            <v>1</v>
          </cell>
          <cell r="AP161">
            <v>100</v>
          </cell>
          <cell r="AQ161" t="str">
            <v>VIRGINIA BEACH CITY</v>
          </cell>
          <cell r="AR161">
            <v>92</v>
          </cell>
          <cell r="AS161">
            <v>9825</v>
          </cell>
          <cell r="AT161">
            <v>92</v>
          </cell>
          <cell r="AU161">
            <v>9825</v>
          </cell>
          <cell r="AV161">
            <v>92</v>
          </cell>
          <cell r="AW161">
            <v>9825</v>
          </cell>
          <cell r="AX161">
            <v>103</v>
          </cell>
          <cell r="AY161">
            <v>10373</v>
          </cell>
          <cell r="AZ161">
            <v>1</v>
          </cell>
          <cell r="BA161">
            <v>118</v>
          </cell>
        </row>
        <row r="162">
          <cell r="B162" t="str">
            <v>WAIKIKI</v>
          </cell>
          <cell r="C162">
            <v>0</v>
          </cell>
          <cell r="D162">
            <v>0</v>
          </cell>
          <cell r="E162">
            <v>1</v>
          </cell>
          <cell r="F162">
            <v>453</v>
          </cell>
          <cell r="G162">
            <v>1</v>
          </cell>
          <cell r="H162">
            <v>453</v>
          </cell>
          <cell r="I162">
            <v>1</v>
          </cell>
          <cell r="J162">
            <v>453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 t="str">
            <v>WAIKIKI</v>
          </cell>
          <cell r="AR162">
            <v>95</v>
          </cell>
          <cell r="AS162">
            <v>32742</v>
          </cell>
          <cell r="AT162">
            <v>94</v>
          </cell>
          <cell r="AU162">
            <v>32289</v>
          </cell>
          <cell r="AV162">
            <v>94</v>
          </cell>
          <cell r="AW162">
            <v>32289</v>
          </cell>
          <cell r="AX162">
            <v>97</v>
          </cell>
          <cell r="AY162">
            <v>31207</v>
          </cell>
          <cell r="AZ162">
            <v>0</v>
          </cell>
          <cell r="BA162">
            <v>0</v>
          </cell>
        </row>
        <row r="163">
          <cell r="B163" t="str">
            <v>WASHINGTON, DC-CBD</v>
          </cell>
          <cell r="C163">
            <v>5</v>
          </cell>
          <cell r="D163">
            <v>1126</v>
          </cell>
          <cell r="E163">
            <v>1</v>
          </cell>
          <cell r="F163">
            <v>175</v>
          </cell>
          <cell r="G163">
            <v>9</v>
          </cell>
          <cell r="H163">
            <v>1849</v>
          </cell>
          <cell r="I163">
            <v>1</v>
          </cell>
          <cell r="J163">
            <v>175</v>
          </cell>
          <cell r="K163">
            <v>3</v>
          </cell>
          <cell r="L163">
            <v>490</v>
          </cell>
          <cell r="M163">
            <v>2</v>
          </cell>
          <cell r="N163">
            <v>783</v>
          </cell>
          <cell r="O163">
            <v>5</v>
          </cell>
          <cell r="P163">
            <v>1273</v>
          </cell>
          <cell r="Q163">
            <v>3</v>
          </cell>
          <cell r="R163">
            <v>867</v>
          </cell>
          <cell r="S163">
            <v>0</v>
          </cell>
          <cell r="T163">
            <v>0</v>
          </cell>
          <cell r="U163">
            <v>3</v>
          </cell>
          <cell r="V163">
            <v>490</v>
          </cell>
          <cell r="W163">
            <v>0</v>
          </cell>
          <cell r="X163">
            <v>0</v>
          </cell>
          <cell r="Y163">
            <v>5</v>
          </cell>
          <cell r="Z163">
            <v>1650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5</v>
          </cell>
          <cell r="AJ163">
            <v>1650</v>
          </cell>
          <cell r="AK163">
            <v>0</v>
          </cell>
          <cell r="AL163">
            <v>0</v>
          </cell>
          <cell r="AM163">
            <v>3</v>
          </cell>
          <cell r="AN163">
            <v>490</v>
          </cell>
          <cell r="AO163">
            <v>0</v>
          </cell>
          <cell r="AP163">
            <v>0</v>
          </cell>
          <cell r="AQ163" t="str">
            <v>WASHINGTON, DC-CBD</v>
          </cell>
          <cell r="AR163">
            <v>113</v>
          </cell>
          <cell r="AS163">
            <v>26343</v>
          </cell>
          <cell r="AT163">
            <v>112</v>
          </cell>
          <cell r="AU163">
            <v>26168</v>
          </cell>
          <cell r="AV163">
            <v>107</v>
          </cell>
          <cell r="AW163">
            <v>25042</v>
          </cell>
          <cell r="AX163">
            <v>105</v>
          </cell>
          <cell r="AY163">
            <v>25318</v>
          </cell>
          <cell r="AZ163">
            <v>2</v>
          </cell>
          <cell r="BA163">
            <v>783</v>
          </cell>
        </row>
        <row r="164">
          <cell r="B164" t="str">
            <v>WASHINGTON, DC-OTHER</v>
          </cell>
          <cell r="C164">
            <v>4</v>
          </cell>
          <cell r="D164">
            <v>488</v>
          </cell>
          <cell r="E164">
            <v>1</v>
          </cell>
          <cell r="F164">
            <v>80</v>
          </cell>
          <cell r="G164">
            <v>12</v>
          </cell>
          <cell r="H164">
            <v>1292</v>
          </cell>
          <cell r="I164">
            <v>1</v>
          </cell>
          <cell r="J164">
            <v>80</v>
          </cell>
          <cell r="K164">
            <v>2</v>
          </cell>
          <cell r="L164">
            <v>360</v>
          </cell>
          <cell r="M164">
            <v>3</v>
          </cell>
          <cell r="N164">
            <v>496</v>
          </cell>
          <cell r="O164">
            <v>5</v>
          </cell>
          <cell r="P164">
            <v>856</v>
          </cell>
          <cell r="Q164">
            <v>4</v>
          </cell>
          <cell r="R164">
            <v>467</v>
          </cell>
          <cell r="S164">
            <v>0</v>
          </cell>
          <cell r="T164">
            <v>0</v>
          </cell>
          <cell r="U164">
            <v>1</v>
          </cell>
          <cell r="V164">
            <v>120</v>
          </cell>
          <cell r="W164">
            <v>3</v>
          </cell>
          <cell r="X164">
            <v>486</v>
          </cell>
          <cell r="Y164">
            <v>5</v>
          </cell>
          <cell r="Z164">
            <v>717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5</v>
          </cell>
          <cell r="AJ164">
            <v>717</v>
          </cell>
          <cell r="AK164">
            <v>0</v>
          </cell>
          <cell r="AL164">
            <v>0</v>
          </cell>
          <cell r="AM164">
            <v>1</v>
          </cell>
          <cell r="AN164">
            <v>120</v>
          </cell>
          <cell r="AO164">
            <v>3</v>
          </cell>
          <cell r="AP164">
            <v>486</v>
          </cell>
          <cell r="AQ164" t="str">
            <v>WASHINGTON, DC-OTHER</v>
          </cell>
          <cell r="AR164">
            <v>124</v>
          </cell>
          <cell r="AS164">
            <v>16516</v>
          </cell>
          <cell r="AT164">
            <v>123</v>
          </cell>
          <cell r="AU164">
            <v>16436</v>
          </cell>
          <cell r="AV164">
            <v>119</v>
          </cell>
          <cell r="AW164">
            <v>15948</v>
          </cell>
          <cell r="AX164">
            <v>122</v>
          </cell>
          <cell r="AY164">
            <v>16480</v>
          </cell>
          <cell r="AZ164">
            <v>1</v>
          </cell>
          <cell r="BA164">
            <v>250</v>
          </cell>
        </row>
        <row r="165">
          <cell r="B165" t="str">
            <v>WESTCHESTER-ROCKLAND</v>
          </cell>
          <cell r="C165">
            <v>4</v>
          </cell>
          <cell r="D165">
            <v>506</v>
          </cell>
          <cell r="E165">
            <v>1</v>
          </cell>
          <cell r="F165">
            <v>124</v>
          </cell>
          <cell r="G165">
            <v>5</v>
          </cell>
          <cell r="H165">
            <v>630</v>
          </cell>
          <cell r="I165">
            <v>1</v>
          </cell>
          <cell r="J165">
            <v>124</v>
          </cell>
          <cell r="K165">
            <v>0</v>
          </cell>
          <cell r="L165">
            <v>0</v>
          </cell>
          <cell r="M165">
            <v>4</v>
          </cell>
          <cell r="N165">
            <v>474</v>
          </cell>
          <cell r="O165">
            <v>4</v>
          </cell>
          <cell r="P165">
            <v>474</v>
          </cell>
          <cell r="Q165">
            <v>2</v>
          </cell>
          <cell r="R165">
            <v>232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3</v>
          </cell>
          <cell r="X165">
            <v>334</v>
          </cell>
          <cell r="Y165">
            <v>3</v>
          </cell>
          <cell r="Z165">
            <v>372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3</v>
          </cell>
          <cell r="AJ165">
            <v>372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3</v>
          </cell>
          <cell r="AP165">
            <v>334</v>
          </cell>
          <cell r="AQ165" t="str">
            <v>WESTCHESTER-ROCKLAND</v>
          </cell>
          <cell r="AR165">
            <v>40</v>
          </cell>
          <cell r="AS165">
            <v>6289</v>
          </cell>
          <cell r="AT165">
            <v>39</v>
          </cell>
          <cell r="AU165">
            <v>6165</v>
          </cell>
          <cell r="AV165">
            <v>35</v>
          </cell>
          <cell r="AW165">
            <v>5659</v>
          </cell>
          <cell r="AX165">
            <v>45</v>
          </cell>
          <cell r="AY165">
            <v>6744</v>
          </cell>
          <cell r="AZ165">
            <v>1</v>
          </cell>
          <cell r="BA165">
            <v>140</v>
          </cell>
        </row>
        <row r="166">
          <cell r="B166" t="str">
            <v>WILLIAMSBURG</v>
          </cell>
          <cell r="C166">
            <v>4</v>
          </cell>
          <cell r="D166">
            <v>370</v>
          </cell>
          <cell r="E166">
            <v>1</v>
          </cell>
          <cell r="F166">
            <v>300</v>
          </cell>
          <cell r="G166">
            <v>9</v>
          </cell>
          <cell r="H166">
            <v>1017</v>
          </cell>
          <cell r="I166">
            <v>1</v>
          </cell>
          <cell r="J166">
            <v>300</v>
          </cell>
          <cell r="K166">
            <v>0</v>
          </cell>
          <cell r="L166">
            <v>0</v>
          </cell>
          <cell r="M166">
            <v>2</v>
          </cell>
          <cell r="N166">
            <v>225</v>
          </cell>
          <cell r="O166">
            <v>2</v>
          </cell>
          <cell r="P166">
            <v>225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2</v>
          </cell>
          <cell r="X166">
            <v>225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2</v>
          </cell>
          <cell r="AP166">
            <v>225</v>
          </cell>
          <cell r="AQ166" t="str">
            <v>WILLIAMSBURG</v>
          </cell>
          <cell r="AR166">
            <v>83</v>
          </cell>
          <cell r="AS166">
            <v>9752</v>
          </cell>
          <cell r="AT166">
            <v>82</v>
          </cell>
          <cell r="AU166">
            <v>9452</v>
          </cell>
          <cell r="AV166">
            <v>78</v>
          </cell>
          <cell r="AW166">
            <v>9082</v>
          </cell>
          <cell r="AX166">
            <v>82</v>
          </cell>
          <cell r="AY166">
            <v>9957</v>
          </cell>
          <cell r="AZ166">
            <v>0</v>
          </cell>
          <cell r="BA166">
            <v>0</v>
          </cell>
        </row>
      </sheetData>
      <sheetData sheetId="7" refreshError="1"/>
      <sheetData sheetId="8" refreshError="1">
        <row r="10">
          <cell r="B10" t="str">
            <v>ANAHEIM-SANTA ANA, CA</v>
          </cell>
          <cell r="C10">
            <v>4</v>
          </cell>
          <cell r="D10">
            <v>1289</v>
          </cell>
          <cell r="E10">
            <v>2</v>
          </cell>
          <cell r="F10">
            <v>890</v>
          </cell>
          <cell r="G10">
            <v>1</v>
          </cell>
          <cell r="H10">
            <v>254</v>
          </cell>
          <cell r="I10">
            <v>3</v>
          </cell>
          <cell r="J10">
            <v>1144</v>
          </cell>
          <cell r="K10">
            <v>0</v>
          </cell>
          <cell r="L10">
            <v>0</v>
          </cell>
          <cell r="M10">
            <v>1</v>
          </cell>
          <cell r="N10">
            <v>174</v>
          </cell>
          <cell r="O10">
            <v>3</v>
          </cell>
          <cell r="P10">
            <v>373</v>
          </cell>
          <cell r="Q10">
            <v>2</v>
          </cell>
          <cell r="R10">
            <v>357</v>
          </cell>
          <cell r="S10">
            <v>5</v>
          </cell>
          <cell r="T10">
            <v>730</v>
          </cell>
          <cell r="U10">
            <v>1</v>
          </cell>
          <cell r="V10">
            <v>162</v>
          </cell>
          <cell r="W10">
            <v>1</v>
          </cell>
          <cell r="X10">
            <v>264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1</v>
          </cell>
          <cell r="AH10">
            <v>143</v>
          </cell>
          <cell r="AI10">
            <v>1</v>
          </cell>
          <cell r="AJ10">
            <v>103</v>
          </cell>
          <cell r="AK10">
            <v>1</v>
          </cell>
          <cell r="AL10">
            <v>140</v>
          </cell>
          <cell r="AM10">
            <v>2</v>
          </cell>
          <cell r="AN10">
            <v>243</v>
          </cell>
          <cell r="AO10">
            <v>2</v>
          </cell>
          <cell r="AP10">
            <v>400</v>
          </cell>
          <cell r="AQ10">
            <v>2</v>
          </cell>
          <cell r="AR10">
            <v>241</v>
          </cell>
          <cell r="AS10">
            <v>0</v>
          </cell>
          <cell r="AT10">
            <v>0</v>
          </cell>
          <cell r="AU10">
            <v>1</v>
          </cell>
          <cell r="AV10">
            <v>112</v>
          </cell>
          <cell r="AW10">
            <v>1</v>
          </cell>
          <cell r="AX10">
            <v>112</v>
          </cell>
          <cell r="AY10">
            <v>1</v>
          </cell>
          <cell r="AZ10">
            <v>75</v>
          </cell>
          <cell r="BA10">
            <v>3</v>
          </cell>
          <cell r="BB10">
            <v>304</v>
          </cell>
          <cell r="BC10">
            <v>2</v>
          </cell>
          <cell r="BD10">
            <v>405</v>
          </cell>
          <cell r="BE10">
            <v>0</v>
          </cell>
          <cell r="BF10">
            <v>0</v>
          </cell>
          <cell r="BG10">
            <v>2</v>
          </cell>
          <cell r="BH10">
            <v>405</v>
          </cell>
          <cell r="BI10">
            <v>1</v>
          </cell>
          <cell r="BJ10">
            <v>1050</v>
          </cell>
          <cell r="BK10" t="str">
            <v>ANAHEIM-SANTA ANA, CA</v>
          </cell>
        </row>
        <row r="11">
          <cell r="B11" t="str">
            <v>ATLANTA, GA</v>
          </cell>
          <cell r="C11">
            <v>2</v>
          </cell>
          <cell r="D11">
            <v>236</v>
          </cell>
          <cell r="E11">
            <v>1</v>
          </cell>
          <cell r="F11">
            <v>593</v>
          </cell>
          <cell r="G11">
            <v>0</v>
          </cell>
          <cell r="H11">
            <v>0</v>
          </cell>
          <cell r="I11">
            <v>1</v>
          </cell>
          <cell r="J11">
            <v>593</v>
          </cell>
          <cell r="K11">
            <v>2</v>
          </cell>
          <cell r="L11">
            <v>671</v>
          </cell>
          <cell r="M11">
            <v>3</v>
          </cell>
          <cell r="N11">
            <v>391</v>
          </cell>
          <cell r="O11">
            <v>1</v>
          </cell>
          <cell r="P11">
            <v>153</v>
          </cell>
          <cell r="Q11">
            <v>4</v>
          </cell>
          <cell r="R11">
            <v>574</v>
          </cell>
          <cell r="S11">
            <v>5</v>
          </cell>
          <cell r="T11">
            <v>727</v>
          </cell>
          <cell r="U11">
            <v>3</v>
          </cell>
          <cell r="V11">
            <v>428</v>
          </cell>
          <cell r="W11">
            <v>2</v>
          </cell>
          <cell r="X11">
            <v>158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1</v>
          </cell>
          <cell r="AF11">
            <v>52</v>
          </cell>
          <cell r="AG11">
            <v>9</v>
          </cell>
          <cell r="AH11">
            <v>674</v>
          </cell>
          <cell r="AI11">
            <v>7</v>
          </cell>
          <cell r="AJ11">
            <v>478</v>
          </cell>
          <cell r="AK11">
            <v>6</v>
          </cell>
          <cell r="AL11">
            <v>571</v>
          </cell>
          <cell r="AM11">
            <v>13</v>
          </cell>
          <cell r="AN11">
            <v>1049</v>
          </cell>
          <cell r="AO11">
            <v>3</v>
          </cell>
          <cell r="AP11">
            <v>241</v>
          </cell>
          <cell r="AQ11">
            <v>8</v>
          </cell>
          <cell r="AR11">
            <v>460</v>
          </cell>
          <cell r="AS11">
            <v>4</v>
          </cell>
          <cell r="AT11">
            <v>253</v>
          </cell>
          <cell r="AU11">
            <v>1</v>
          </cell>
          <cell r="AV11">
            <v>86</v>
          </cell>
          <cell r="AW11">
            <v>5</v>
          </cell>
          <cell r="AX11">
            <v>339</v>
          </cell>
          <cell r="AY11">
            <v>4</v>
          </cell>
          <cell r="AZ11">
            <v>498</v>
          </cell>
          <cell r="BA11">
            <v>1</v>
          </cell>
          <cell r="BB11">
            <v>200</v>
          </cell>
          <cell r="BC11">
            <v>1</v>
          </cell>
          <cell r="BD11">
            <v>250</v>
          </cell>
          <cell r="BE11">
            <v>2</v>
          </cell>
          <cell r="BF11">
            <v>445</v>
          </cell>
          <cell r="BG11">
            <v>3</v>
          </cell>
          <cell r="BH11">
            <v>695</v>
          </cell>
          <cell r="BI11">
            <v>1</v>
          </cell>
          <cell r="BJ11">
            <v>100</v>
          </cell>
          <cell r="BK11" t="str">
            <v>ATLANTA, GA</v>
          </cell>
        </row>
        <row r="12">
          <cell r="B12" t="str">
            <v>BOSTON, MA</v>
          </cell>
          <cell r="C12">
            <v>2</v>
          </cell>
          <cell r="D12">
            <v>657</v>
          </cell>
          <cell r="E12">
            <v>2</v>
          </cell>
          <cell r="F12">
            <v>523</v>
          </cell>
          <cell r="G12">
            <v>4</v>
          </cell>
          <cell r="H12">
            <v>1681</v>
          </cell>
          <cell r="I12">
            <v>6</v>
          </cell>
          <cell r="J12">
            <v>2204</v>
          </cell>
          <cell r="K12">
            <v>0</v>
          </cell>
          <cell r="L12">
            <v>0</v>
          </cell>
          <cell r="M12">
            <v>5</v>
          </cell>
          <cell r="N12">
            <v>633</v>
          </cell>
          <cell r="O12">
            <v>7</v>
          </cell>
          <cell r="P12">
            <v>1068</v>
          </cell>
          <cell r="Q12">
            <v>1</v>
          </cell>
          <cell r="R12">
            <v>150</v>
          </cell>
          <cell r="S12">
            <v>8</v>
          </cell>
          <cell r="T12">
            <v>1218</v>
          </cell>
          <cell r="U12">
            <v>2</v>
          </cell>
          <cell r="V12">
            <v>213</v>
          </cell>
          <cell r="W12">
            <v>2</v>
          </cell>
          <cell r="X12">
            <v>218</v>
          </cell>
          <cell r="Y12">
            <v>2</v>
          </cell>
          <cell r="Z12">
            <v>123</v>
          </cell>
          <cell r="AA12">
            <v>1</v>
          </cell>
          <cell r="AB12">
            <v>80</v>
          </cell>
          <cell r="AC12">
            <v>3</v>
          </cell>
          <cell r="AD12">
            <v>203</v>
          </cell>
          <cell r="AE12">
            <v>0</v>
          </cell>
          <cell r="AF12">
            <v>0</v>
          </cell>
          <cell r="AG12">
            <v>1</v>
          </cell>
          <cell r="AH12">
            <v>65</v>
          </cell>
          <cell r="AI12">
            <v>1</v>
          </cell>
          <cell r="AJ12">
            <v>114</v>
          </cell>
          <cell r="AK12">
            <v>2</v>
          </cell>
          <cell r="AL12">
            <v>287</v>
          </cell>
          <cell r="AM12">
            <v>3</v>
          </cell>
          <cell r="AN12">
            <v>401</v>
          </cell>
          <cell r="AO12">
            <v>0</v>
          </cell>
          <cell r="AP12">
            <v>0</v>
          </cell>
          <cell r="AQ12">
            <v>2</v>
          </cell>
          <cell r="AR12">
            <v>195</v>
          </cell>
          <cell r="AS12">
            <v>1</v>
          </cell>
          <cell r="AT12">
            <v>117</v>
          </cell>
          <cell r="AU12">
            <v>0</v>
          </cell>
          <cell r="AV12">
            <v>0</v>
          </cell>
          <cell r="AW12">
            <v>1</v>
          </cell>
          <cell r="AX12">
            <v>117</v>
          </cell>
          <cell r="AY12">
            <v>0</v>
          </cell>
          <cell r="AZ12">
            <v>0</v>
          </cell>
          <cell r="BA12">
            <v>1</v>
          </cell>
          <cell r="BB12">
            <v>33</v>
          </cell>
          <cell r="BC12">
            <v>5</v>
          </cell>
          <cell r="BD12">
            <v>683</v>
          </cell>
          <cell r="BE12">
            <v>5</v>
          </cell>
          <cell r="BF12">
            <v>1145</v>
          </cell>
          <cell r="BG12">
            <v>10</v>
          </cell>
          <cell r="BH12">
            <v>1828</v>
          </cell>
          <cell r="BI12">
            <v>8</v>
          </cell>
          <cell r="BJ12">
            <v>1565</v>
          </cell>
          <cell r="BK12" t="str">
            <v>BOSTON, MA</v>
          </cell>
        </row>
        <row r="13">
          <cell r="B13" t="str">
            <v>CHICAGO, IL</v>
          </cell>
          <cell r="C13">
            <v>2</v>
          </cell>
          <cell r="D13">
            <v>767</v>
          </cell>
          <cell r="E13">
            <v>3</v>
          </cell>
          <cell r="F13">
            <v>1069</v>
          </cell>
          <cell r="G13">
            <v>0</v>
          </cell>
          <cell r="H13">
            <v>0</v>
          </cell>
          <cell r="I13">
            <v>3</v>
          </cell>
          <cell r="J13">
            <v>1069</v>
          </cell>
          <cell r="K13">
            <v>1</v>
          </cell>
          <cell r="L13">
            <v>954</v>
          </cell>
          <cell r="M13">
            <v>4</v>
          </cell>
          <cell r="N13">
            <v>680</v>
          </cell>
          <cell r="O13">
            <v>3</v>
          </cell>
          <cell r="P13">
            <v>346</v>
          </cell>
          <cell r="Q13">
            <v>12</v>
          </cell>
          <cell r="R13">
            <v>1930</v>
          </cell>
          <cell r="S13">
            <v>15</v>
          </cell>
          <cell r="T13">
            <v>2276</v>
          </cell>
          <cell r="U13">
            <v>4</v>
          </cell>
          <cell r="V13">
            <v>694</v>
          </cell>
          <cell r="W13">
            <v>1</v>
          </cell>
          <cell r="X13">
            <v>85</v>
          </cell>
          <cell r="Y13">
            <v>1</v>
          </cell>
          <cell r="Z13">
            <v>202</v>
          </cell>
          <cell r="AA13">
            <v>1</v>
          </cell>
          <cell r="AB13">
            <v>100</v>
          </cell>
          <cell r="AC13">
            <v>2</v>
          </cell>
          <cell r="AD13">
            <v>302</v>
          </cell>
          <cell r="AE13">
            <v>2</v>
          </cell>
          <cell r="AF13">
            <v>390</v>
          </cell>
          <cell r="AG13">
            <v>6</v>
          </cell>
          <cell r="AH13">
            <v>723</v>
          </cell>
          <cell r="AI13">
            <v>3</v>
          </cell>
          <cell r="AJ13">
            <v>271</v>
          </cell>
          <cell r="AK13">
            <v>6</v>
          </cell>
          <cell r="AL13">
            <v>477</v>
          </cell>
          <cell r="AM13">
            <v>9</v>
          </cell>
          <cell r="AN13">
            <v>748</v>
          </cell>
          <cell r="AO13">
            <v>3</v>
          </cell>
          <cell r="AP13">
            <v>419</v>
          </cell>
          <cell r="AQ13">
            <v>2</v>
          </cell>
          <cell r="AR13">
            <v>178</v>
          </cell>
          <cell r="AS13">
            <v>0</v>
          </cell>
          <cell r="AT13">
            <v>0</v>
          </cell>
          <cell r="AU13">
            <v>1</v>
          </cell>
          <cell r="AV13">
            <v>59</v>
          </cell>
          <cell r="AW13">
            <v>1</v>
          </cell>
          <cell r="AX13">
            <v>59</v>
          </cell>
          <cell r="AY13">
            <v>1</v>
          </cell>
          <cell r="AZ13">
            <v>80</v>
          </cell>
          <cell r="BA13">
            <v>1</v>
          </cell>
          <cell r="BB13">
            <v>339</v>
          </cell>
          <cell r="BC13">
            <v>1</v>
          </cell>
          <cell r="BD13">
            <v>67</v>
          </cell>
          <cell r="BE13">
            <v>1</v>
          </cell>
          <cell r="BF13">
            <v>385</v>
          </cell>
          <cell r="BG13">
            <v>2</v>
          </cell>
          <cell r="BH13">
            <v>452</v>
          </cell>
          <cell r="BI13">
            <v>1</v>
          </cell>
          <cell r="BJ13">
            <v>200</v>
          </cell>
          <cell r="BK13" t="str">
            <v>CHICAGO, IL</v>
          </cell>
        </row>
        <row r="14">
          <cell r="B14" t="str">
            <v>DALLAS, TX</v>
          </cell>
          <cell r="C14">
            <v>1</v>
          </cell>
          <cell r="D14">
            <v>337</v>
          </cell>
          <cell r="E14">
            <v>2</v>
          </cell>
          <cell r="F14">
            <v>558</v>
          </cell>
          <cell r="G14">
            <v>2</v>
          </cell>
          <cell r="H14">
            <v>650</v>
          </cell>
          <cell r="I14">
            <v>4</v>
          </cell>
          <cell r="J14">
            <v>1208</v>
          </cell>
          <cell r="K14">
            <v>0</v>
          </cell>
          <cell r="L14">
            <v>0</v>
          </cell>
          <cell r="M14">
            <v>1</v>
          </cell>
          <cell r="N14">
            <v>139</v>
          </cell>
          <cell r="O14">
            <v>2</v>
          </cell>
          <cell r="P14">
            <v>303</v>
          </cell>
          <cell r="Q14">
            <v>3</v>
          </cell>
          <cell r="R14">
            <v>364</v>
          </cell>
          <cell r="S14">
            <v>5</v>
          </cell>
          <cell r="T14">
            <v>667</v>
          </cell>
          <cell r="U14">
            <v>1</v>
          </cell>
          <cell r="V14">
            <v>102</v>
          </cell>
          <cell r="W14">
            <v>1</v>
          </cell>
          <cell r="X14">
            <v>65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7</v>
          </cell>
          <cell r="AH14">
            <v>574</v>
          </cell>
          <cell r="AI14">
            <v>2</v>
          </cell>
          <cell r="AJ14">
            <v>273</v>
          </cell>
          <cell r="AK14">
            <v>5</v>
          </cell>
          <cell r="AL14">
            <v>366</v>
          </cell>
          <cell r="AM14">
            <v>7</v>
          </cell>
          <cell r="AN14">
            <v>639</v>
          </cell>
          <cell r="AO14">
            <v>1</v>
          </cell>
          <cell r="AP14">
            <v>100</v>
          </cell>
          <cell r="AQ14">
            <v>3</v>
          </cell>
          <cell r="AR14">
            <v>242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2</v>
          </cell>
          <cell r="AZ14">
            <v>160</v>
          </cell>
          <cell r="BA14">
            <v>0</v>
          </cell>
          <cell r="BB14">
            <v>0</v>
          </cell>
          <cell r="BC14">
            <v>1</v>
          </cell>
          <cell r="BD14">
            <v>148</v>
          </cell>
          <cell r="BE14">
            <v>0</v>
          </cell>
          <cell r="BF14">
            <v>0</v>
          </cell>
          <cell r="BG14">
            <v>1</v>
          </cell>
          <cell r="BH14">
            <v>148</v>
          </cell>
          <cell r="BI14">
            <v>2</v>
          </cell>
          <cell r="BJ14">
            <v>600</v>
          </cell>
          <cell r="BK14" t="str">
            <v>DALLAS, TX</v>
          </cell>
        </row>
        <row r="15">
          <cell r="B15" t="str">
            <v>DENVER, CO</v>
          </cell>
          <cell r="C15">
            <v>0</v>
          </cell>
          <cell r="D15">
            <v>0</v>
          </cell>
          <cell r="E15">
            <v>3</v>
          </cell>
          <cell r="F15">
            <v>685</v>
          </cell>
          <cell r="G15">
            <v>3</v>
          </cell>
          <cell r="H15">
            <v>1925</v>
          </cell>
          <cell r="I15">
            <v>6</v>
          </cell>
          <cell r="J15">
            <v>2610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164</v>
          </cell>
          <cell r="Q15">
            <v>2</v>
          </cell>
          <cell r="R15">
            <v>243</v>
          </cell>
          <cell r="S15">
            <v>3</v>
          </cell>
          <cell r="T15">
            <v>407</v>
          </cell>
          <cell r="U15">
            <v>0</v>
          </cell>
          <cell r="V15">
            <v>0</v>
          </cell>
          <cell r="W15">
            <v>1</v>
          </cell>
          <cell r="X15">
            <v>68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150</v>
          </cell>
          <cell r="AG15">
            <v>3</v>
          </cell>
          <cell r="AH15">
            <v>257</v>
          </cell>
          <cell r="AI15">
            <v>0</v>
          </cell>
          <cell r="AJ15">
            <v>0</v>
          </cell>
          <cell r="AK15">
            <v>4</v>
          </cell>
          <cell r="AL15">
            <v>502</v>
          </cell>
          <cell r="AM15">
            <v>4</v>
          </cell>
          <cell r="AN15">
            <v>502</v>
          </cell>
          <cell r="AO15">
            <v>4</v>
          </cell>
          <cell r="AP15">
            <v>402</v>
          </cell>
          <cell r="AQ15">
            <v>0</v>
          </cell>
          <cell r="AR15">
            <v>0</v>
          </cell>
          <cell r="AS15">
            <v>1</v>
          </cell>
          <cell r="AT15">
            <v>74</v>
          </cell>
          <cell r="AU15">
            <v>3</v>
          </cell>
          <cell r="AV15">
            <v>326</v>
          </cell>
          <cell r="AW15">
            <v>4</v>
          </cell>
          <cell r="AX15">
            <v>400</v>
          </cell>
          <cell r="AY15">
            <v>3</v>
          </cell>
          <cell r="AZ15">
            <v>303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str">
            <v>DENVER, CO</v>
          </cell>
        </row>
        <row r="16">
          <cell r="B16" t="str">
            <v>DETROIT, MI</v>
          </cell>
          <cell r="C16">
            <v>0</v>
          </cell>
          <cell r="D16">
            <v>0</v>
          </cell>
          <cell r="E16">
            <v>1</v>
          </cell>
          <cell r="F16">
            <v>404</v>
          </cell>
          <cell r="G16">
            <v>0</v>
          </cell>
          <cell r="H16">
            <v>0</v>
          </cell>
          <cell r="I16">
            <v>1</v>
          </cell>
          <cell r="J16">
            <v>404</v>
          </cell>
          <cell r="K16">
            <v>1</v>
          </cell>
          <cell r="L16">
            <v>250</v>
          </cell>
          <cell r="M16">
            <v>1</v>
          </cell>
          <cell r="N16">
            <v>124</v>
          </cell>
          <cell r="O16">
            <v>3</v>
          </cell>
          <cell r="P16">
            <v>319</v>
          </cell>
          <cell r="Q16">
            <v>6</v>
          </cell>
          <cell r="R16">
            <v>670</v>
          </cell>
          <cell r="S16">
            <v>9</v>
          </cell>
          <cell r="T16">
            <v>989</v>
          </cell>
          <cell r="U16">
            <v>2</v>
          </cell>
          <cell r="V16">
            <v>186</v>
          </cell>
          <cell r="W16">
            <v>1</v>
          </cell>
          <cell r="X16">
            <v>90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</v>
          </cell>
          <cell r="AF16">
            <v>100</v>
          </cell>
          <cell r="AG16">
            <v>9</v>
          </cell>
          <cell r="AH16">
            <v>769</v>
          </cell>
          <cell r="AI16">
            <v>4</v>
          </cell>
          <cell r="AJ16">
            <v>333</v>
          </cell>
          <cell r="AK16">
            <v>8</v>
          </cell>
          <cell r="AL16">
            <v>686</v>
          </cell>
          <cell r="AM16">
            <v>12</v>
          </cell>
          <cell r="AN16">
            <v>1019</v>
          </cell>
          <cell r="AO16">
            <v>0</v>
          </cell>
          <cell r="AP16">
            <v>0</v>
          </cell>
          <cell r="AQ16">
            <v>5</v>
          </cell>
          <cell r="AR16">
            <v>467</v>
          </cell>
          <cell r="AS16">
            <v>0</v>
          </cell>
          <cell r="AT16">
            <v>0</v>
          </cell>
          <cell r="AU16">
            <v>1</v>
          </cell>
          <cell r="AV16">
            <v>80</v>
          </cell>
          <cell r="AW16">
            <v>1</v>
          </cell>
          <cell r="AX16">
            <v>80</v>
          </cell>
          <cell r="AY16">
            <v>1</v>
          </cell>
          <cell r="AZ16">
            <v>66</v>
          </cell>
          <cell r="BA16">
            <v>1</v>
          </cell>
          <cell r="BB16">
            <v>77</v>
          </cell>
          <cell r="BC16">
            <v>1</v>
          </cell>
          <cell r="BD16">
            <v>8</v>
          </cell>
          <cell r="BE16">
            <v>0</v>
          </cell>
          <cell r="BF16">
            <v>0</v>
          </cell>
          <cell r="BG16">
            <v>1</v>
          </cell>
          <cell r="BH16">
            <v>8</v>
          </cell>
          <cell r="BI16">
            <v>1</v>
          </cell>
          <cell r="BJ16">
            <v>100</v>
          </cell>
          <cell r="BK16" t="str">
            <v>DETROIT, MI</v>
          </cell>
        </row>
        <row r="17">
          <cell r="B17" t="str">
            <v>HOUSTON, TX</v>
          </cell>
          <cell r="C17">
            <v>0</v>
          </cell>
          <cell r="D17">
            <v>0</v>
          </cell>
          <cell r="E17">
            <v>2</v>
          </cell>
          <cell r="F17">
            <v>1545</v>
          </cell>
          <cell r="G17">
            <v>1</v>
          </cell>
          <cell r="H17">
            <v>301</v>
          </cell>
          <cell r="I17">
            <v>3</v>
          </cell>
          <cell r="J17">
            <v>1846</v>
          </cell>
          <cell r="K17">
            <v>1</v>
          </cell>
          <cell r="L17">
            <v>291</v>
          </cell>
          <cell r="M17">
            <v>6</v>
          </cell>
          <cell r="N17">
            <v>777</v>
          </cell>
          <cell r="O17">
            <v>5</v>
          </cell>
          <cell r="P17">
            <v>725</v>
          </cell>
          <cell r="Q17">
            <v>4</v>
          </cell>
          <cell r="R17">
            <v>311</v>
          </cell>
          <cell r="S17">
            <v>9</v>
          </cell>
          <cell r="T17">
            <v>1036</v>
          </cell>
          <cell r="U17">
            <v>0</v>
          </cell>
          <cell r="V17">
            <v>0</v>
          </cell>
          <cell r="W17">
            <v>2</v>
          </cell>
          <cell r="X17">
            <v>136</v>
          </cell>
          <cell r="Y17">
            <v>2</v>
          </cell>
          <cell r="Z17">
            <v>151</v>
          </cell>
          <cell r="AA17">
            <v>0</v>
          </cell>
          <cell r="AB17">
            <v>0</v>
          </cell>
          <cell r="AC17">
            <v>2</v>
          </cell>
          <cell r="AD17">
            <v>151</v>
          </cell>
          <cell r="AE17">
            <v>0</v>
          </cell>
          <cell r="AF17">
            <v>0</v>
          </cell>
          <cell r="AG17">
            <v>8</v>
          </cell>
          <cell r="AH17">
            <v>584</v>
          </cell>
          <cell r="AI17">
            <v>1</v>
          </cell>
          <cell r="AJ17">
            <v>50</v>
          </cell>
          <cell r="AK17">
            <v>4</v>
          </cell>
          <cell r="AL17">
            <v>248</v>
          </cell>
          <cell r="AM17">
            <v>5</v>
          </cell>
          <cell r="AN17">
            <v>298</v>
          </cell>
          <cell r="AO17">
            <v>6</v>
          </cell>
          <cell r="AP17">
            <v>550</v>
          </cell>
          <cell r="AQ17">
            <v>6</v>
          </cell>
          <cell r="AR17">
            <v>279</v>
          </cell>
          <cell r="AS17">
            <v>3</v>
          </cell>
          <cell r="AT17">
            <v>124</v>
          </cell>
          <cell r="AU17">
            <v>3</v>
          </cell>
          <cell r="AV17">
            <v>172</v>
          </cell>
          <cell r="AW17">
            <v>6</v>
          </cell>
          <cell r="AX17">
            <v>296</v>
          </cell>
          <cell r="AY17">
            <v>3</v>
          </cell>
          <cell r="AZ17">
            <v>375</v>
          </cell>
          <cell r="BA17">
            <v>0</v>
          </cell>
          <cell r="BB17">
            <v>0</v>
          </cell>
          <cell r="BC17">
            <v>3</v>
          </cell>
          <cell r="BD17">
            <v>642</v>
          </cell>
          <cell r="BE17">
            <v>2</v>
          </cell>
          <cell r="BF17">
            <v>205</v>
          </cell>
          <cell r="BG17">
            <v>5</v>
          </cell>
          <cell r="BH17">
            <v>847</v>
          </cell>
          <cell r="BI17">
            <v>2</v>
          </cell>
          <cell r="BJ17">
            <v>300</v>
          </cell>
          <cell r="BK17" t="str">
            <v>HOUSTON, TX</v>
          </cell>
        </row>
        <row r="18">
          <cell r="B18" t="str">
            <v>LAS VEGAS, NV</v>
          </cell>
          <cell r="C18">
            <v>0</v>
          </cell>
          <cell r="D18">
            <v>0</v>
          </cell>
          <cell r="E18">
            <v>1</v>
          </cell>
          <cell r="F18">
            <v>350</v>
          </cell>
          <cell r="G18">
            <v>1</v>
          </cell>
          <cell r="H18">
            <v>463</v>
          </cell>
          <cell r="I18">
            <v>2</v>
          </cell>
          <cell r="J18">
            <v>813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3</v>
          </cell>
          <cell r="R18">
            <v>429</v>
          </cell>
          <cell r="S18">
            <v>3</v>
          </cell>
          <cell r="T18">
            <v>429</v>
          </cell>
          <cell r="U18">
            <v>1</v>
          </cell>
          <cell r="V18">
            <v>82</v>
          </cell>
          <cell r="W18">
            <v>0</v>
          </cell>
          <cell r="X18">
            <v>0</v>
          </cell>
          <cell r="Y18">
            <v>1</v>
          </cell>
          <cell r="Z18">
            <v>128</v>
          </cell>
          <cell r="AA18">
            <v>0</v>
          </cell>
          <cell r="AB18">
            <v>0</v>
          </cell>
          <cell r="AC18">
            <v>1</v>
          </cell>
          <cell r="AD18">
            <v>128</v>
          </cell>
          <cell r="AE18">
            <v>0</v>
          </cell>
          <cell r="AF18">
            <v>0</v>
          </cell>
          <cell r="AG18">
            <v>2</v>
          </cell>
          <cell r="AH18">
            <v>187</v>
          </cell>
          <cell r="AI18">
            <v>0</v>
          </cell>
          <cell r="AJ18">
            <v>0</v>
          </cell>
          <cell r="AK18">
            <v>2</v>
          </cell>
          <cell r="AL18">
            <v>281</v>
          </cell>
          <cell r="AM18">
            <v>2</v>
          </cell>
          <cell r="AN18">
            <v>281</v>
          </cell>
          <cell r="AO18">
            <v>3</v>
          </cell>
          <cell r="AP18">
            <v>350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2</v>
          </cell>
          <cell r="AZ18">
            <v>360</v>
          </cell>
          <cell r="BA18">
            <v>4</v>
          </cell>
          <cell r="BB18">
            <v>2390</v>
          </cell>
          <cell r="BC18">
            <v>3</v>
          </cell>
          <cell r="BD18">
            <v>653</v>
          </cell>
          <cell r="BE18">
            <v>1</v>
          </cell>
          <cell r="BF18">
            <v>2455</v>
          </cell>
          <cell r="BG18">
            <v>4</v>
          </cell>
          <cell r="BH18">
            <v>3108</v>
          </cell>
          <cell r="BI18">
            <v>2</v>
          </cell>
          <cell r="BJ18">
            <v>2250</v>
          </cell>
          <cell r="BK18" t="str">
            <v>LAS VEGAS, NV</v>
          </cell>
        </row>
        <row r="19">
          <cell r="B19" t="str">
            <v>LOS ANGELES-LONG BEACH, CA</v>
          </cell>
          <cell r="C19">
            <v>1</v>
          </cell>
          <cell r="D19">
            <v>240</v>
          </cell>
          <cell r="E19">
            <v>0</v>
          </cell>
          <cell r="F19">
            <v>0</v>
          </cell>
          <cell r="G19">
            <v>2</v>
          </cell>
          <cell r="H19">
            <v>457</v>
          </cell>
          <cell r="I19">
            <v>2</v>
          </cell>
          <cell r="J19">
            <v>457</v>
          </cell>
          <cell r="K19">
            <v>1</v>
          </cell>
          <cell r="L19">
            <v>430</v>
          </cell>
          <cell r="M19">
            <v>3</v>
          </cell>
          <cell r="N19">
            <v>508</v>
          </cell>
          <cell r="O19">
            <v>4</v>
          </cell>
          <cell r="P19">
            <v>506</v>
          </cell>
          <cell r="Q19">
            <v>1</v>
          </cell>
          <cell r="R19">
            <v>253</v>
          </cell>
          <cell r="S19">
            <v>5</v>
          </cell>
          <cell r="T19">
            <v>759</v>
          </cell>
          <cell r="U19">
            <v>1</v>
          </cell>
          <cell r="V19">
            <v>192</v>
          </cell>
          <cell r="W19">
            <v>0</v>
          </cell>
          <cell r="X19">
            <v>0</v>
          </cell>
          <cell r="Y19">
            <v>1</v>
          </cell>
          <cell r="Z19">
            <v>214</v>
          </cell>
          <cell r="AA19">
            <v>1</v>
          </cell>
          <cell r="AB19">
            <v>60</v>
          </cell>
          <cell r="AC19">
            <v>2</v>
          </cell>
          <cell r="AD19">
            <v>274</v>
          </cell>
          <cell r="AE19">
            <v>1</v>
          </cell>
          <cell r="AF19">
            <v>69</v>
          </cell>
          <cell r="AG19">
            <v>2</v>
          </cell>
          <cell r="AH19">
            <v>191</v>
          </cell>
          <cell r="AI19">
            <v>3</v>
          </cell>
          <cell r="AJ19">
            <v>283</v>
          </cell>
          <cell r="AK19">
            <v>0</v>
          </cell>
          <cell r="AL19">
            <v>0</v>
          </cell>
          <cell r="AM19">
            <v>3</v>
          </cell>
          <cell r="AN19">
            <v>283</v>
          </cell>
          <cell r="AO19">
            <v>2</v>
          </cell>
          <cell r="AP19">
            <v>400</v>
          </cell>
          <cell r="AQ19">
            <v>1</v>
          </cell>
          <cell r="AR19">
            <v>140</v>
          </cell>
          <cell r="AS19">
            <v>0</v>
          </cell>
          <cell r="AT19">
            <v>0</v>
          </cell>
          <cell r="AU19">
            <v>1</v>
          </cell>
          <cell r="AV19">
            <v>50</v>
          </cell>
          <cell r="AW19">
            <v>1</v>
          </cell>
          <cell r="AX19">
            <v>50</v>
          </cell>
          <cell r="AY19">
            <v>1</v>
          </cell>
          <cell r="AZ19">
            <v>250</v>
          </cell>
          <cell r="BA19">
            <v>0</v>
          </cell>
          <cell r="BB19">
            <v>0</v>
          </cell>
          <cell r="BC19">
            <v>1</v>
          </cell>
          <cell r="BD19">
            <v>207</v>
          </cell>
          <cell r="BE19">
            <v>5</v>
          </cell>
          <cell r="BF19">
            <v>1220</v>
          </cell>
          <cell r="BG19">
            <v>6</v>
          </cell>
          <cell r="BH19">
            <v>1427</v>
          </cell>
          <cell r="BI19">
            <v>0</v>
          </cell>
          <cell r="BJ19">
            <v>0</v>
          </cell>
          <cell r="BK19" t="str">
            <v>LOS ANGELES-LONG BEACH, CA</v>
          </cell>
        </row>
        <row r="20">
          <cell r="B20" t="str">
            <v>MIAMI-HIALEAH, FL</v>
          </cell>
          <cell r="C20">
            <v>1</v>
          </cell>
          <cell r="D20">
            <v>490</v>
          </cell>
          <cell r="E20">
            <v>3</v>
          </cell>
          <cell r="F20">
            <v>711</v>
          </cell>
          <cell r="G20">
            <v>2</v>
          </cell>
          <cell r="H20">
            <v>270</v>
          </cell>
          <cell r="I20">
            <v>5</v>
          </cell>
          <cell r="J20">
            <v>981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5</v>
          </cell>
          <cell r="P20">
            <v>1010</v>
          </cell>
          <cell r="Q20">
            <v>4</v>
          </cell>
          <cell r="R20">
            <v>557</v>
          </cell>
          <cell r="S20">
            <v>9</v>
          </cell>
          <cell r="T20">
            <v>1567</v>
          </cell>
          <cell r="U20">
            <v>3</v>
          </cell>
          <cell r="V20">
            <v>411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1</v>
          </cell>
          <cell r="AB20">
            <v>100</v>
          </cell>
          <cell r="AC20">
            <v>1</v>
          </cell>
          <cell r="AD20">
            <v>100</v>
          </cell>
          <cell r="AE20">
            <v>0</v>
          </cell>
          <cell r="AF20">
            <v>0</v>
          </cell>
          <cell r="AG20">
            <v>1</v>
          </cell>
          <cell r="AH20">
            <v>131</v>
          </cell>
          <cell r="AI20">
            <v>0</v>
          </cell>
          <cell r="AJ20">
            <v>0</v>
          </cell>
          <cell r="AK20">
            <v>2</v>
          </cell>
          <cell r="AL20">
            <v>196</v>
          </cell>
          <cell r="AM20">
            <v>2</v>
          </cell>
          <cell r="AN20">
            <v>196</v>
          </cell>
          <cell r="AO20">
            <v>1</v>
          </cell>
          <cell r="AP20">
            <v>200</v>
          </cell>
          <cell r="AQ20">
            <v>3</v>
          </cell>
          <cell r="AR20">
            <v>301</v>
          </cell>
          <cell r="AS20">
            <v>0</v>
          </cell>
          <cell r="AT20">
            <v>0</v>
          </cell>
          <cell r="AU20">
            <v>1</v>
          </cell>
          <cell r="AV20">
            <v>162</v>
          </cell>
          <cell r="AW20">
            <v>1</v>
          </cell>
          <cell r="AX20">
            <v>162</v>
          </cell>
          <cell r="AY20">
            <v>0</v>
          </cell>
          <cell r="AZ20">
            <v>0</v>
          </cell>
          <cell r="BA20">
            <v>1</v>
          </cell>
          <cell r="BB20">
            <v>324</v>
          </cell>
          <cell r="BC20">
            <v>6</v>
          </cell>
          <cell r="BD20">
            <v>988</v>
          </cell>
          <cell r="BE20">
            <v>1</v>
          </cell>
          <cell r="BF20">
            <v>100</v>
          </cell>
          <cell r="BG20">
            <v>7</v>
          </cell>
          <cell r="BH20">
            <v>1088</v>
          </cell>
          <cell r="BI20">
            <v>2</v>
          </cell>
          <cell r="BJ20">
            <v>177</v>
          </cell>
          <cell r="BK20" t="str">
            <v>MIAMI-HIALEAH, FL</v>
          </cell>
        </row>
        <row r="21">
          <cell r="B21" t="str">
            <v>MINNEAPOLIS-SAINT PAUL, MN-WI</v>
          </cell>
          <cell r="C21">
            <v>0</v>
          </cell>
          <cell r="D21">
            <v>0</v>
          </cell>
          <cell r="E21">
            <v>1</v>
          </cell>
          <cell r="F21">
            <v>256</v>
          </cell>
          <cell r="G21">
            <v>0</v>
          </cell>
          <cell r="H21">
            <v>0</v>
          </cell>
          <cell r="I21">
            <v>1</v>
          </cell>
          <cell r="J21">
            <v>256</v>
          </cell>
          <cell r="K21">
            <v>0</v>
          </cell>
          <cell r="L21">
            <v>0</v>
          </cell>
          <cell r="M21">
            <v>4</v>
          </cell>
          <cell r="N21">
            <v>591</v>
          </cell>
          <cell r="O21">
            <v>2</v>
          </cell>
          <cell r="P21">
            <v>224</v>
          </cell>
          <cell r="Q21">
            <v>0</v>
          </cell>
          <cell r="R21">
            <v>0</v>
          </cell>
          <cell r="S21">
            <v>2</v>
          </cell>
          <cell r="T21">
            <v>224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2</v>
          </cell>
          <cell r="AB21">
            <v>240</v>
          </cell>
          <cell r="AC21">
            <v>2</v>
          </cell>
          <cell r="AD21">
            <v>240</v>
          </cell>
          <cell r="AE21">
            <v>0</v>
          </cell>
          <cell r="AF21">
            <v>0</v>
          </cell>
          <cell r="AG21">
            <v>2</v>
          </cell>
          <cell r="AH21">
            <v>233</v>
          </cell>
          <cell r="AI21">
            <v>2</v>
          </cell>
          <cell r="AJ21">
            <v>169</v>
          </cell>
          <cell r="AK21">
            <v>0</v>
          </cell>
          <cell r="AL21">
            <v>0</v>
          </cell>
          <cell r="AM21">
            <v>2</v>
          </cell>
          <cell r="AN21">
            <v>169</v>
          </cell>
          <cell r="AO21">
            <v>1</v>
          </cell>
          <cell r="AP21">
            <v>100</v>
          </cell>
          <cell r="AQ21">
            <v>1</v>
          </cell>
          <cell r="AR21">
            <v>41</v>
          </cell>
          <cell r="AS21">
            <v>2</v>
          </cell>
          <cell r="AT21">
            <v>136</v>
          </cell>
          <cell r="AU21">
            <v>3</v>
          </cell>
          <cell r="AV21">
            <v>228</v>
          </cell>
          <cell r="AW21">
            <v>5</v>
          </cell>
          <cell r="AX21">
            <v>364</v>
          </cell>
          <cell r="AY21">
            <v>3</v>
          </cell>
          <cell r="AZ21">
            <v>196</v>
          </cell>
          <cell r="BA21">
            <v>0</v>
          </cell>
          <cell r="BB21">
            <v>0</v>
          </cell>
          <cell r="BC21">
            <v>1</v>
          </cell>
          <cell r="BD21">
            <v>120</v>
          </cell>
          <cell r="BE21">
            <v>1</v>
          </cell>
          <cell r="BF21">
            <v>400</v>
          </cell>
          <cell r="BG21">
            <v>2</v>
          </cell>
          <cell r="BH21">
            <v>520</v>
          </cell>
          <cell r="BI21">
            <v>0</v>
          </cell>
          <cell r="BJ21">
            <v>0</v>
          </cell>
          <cell r="BK21" t="str">
            <v>MINNEAPOLIS-SAINT PAUL, MN-WI</v>
          </cell>
        </row>
        <row r="22">
          <cell r="B22" t="str">
            <v>NASHVILLE, TN</v>
          </cell>
          <cell r="C22">
            <v>3</v>
          </cell>
          <cell r="D22">
            <v>762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110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6</v>
          </cell>
          <cell r="AH22">
            <v>532</v>
          </cell>
          <cell r="AI22">
            <v>2</v>
          </cell>
          <cell r="AJ22">
            <v>187</v>
          </cell>
          <cell r="AK22">
            <v>2</v>
          </cell>
          <cell r="AL22">
            <v>159</v>
          </cell>
          <cell r="AM22">
            <v>4</v>
          </cell>
          <cell r="AN22">
            <v>346</v>
          </cell>
          <cell r="AO22">
            <v>2</v>
          </cell>
          <cell r="AP22">
            <v>200</v>
          </cell>
          <cell r="AQ22">
            <v>0</v>
          </cell>
          <cell r="AR22">
            <v>0</v>
          </cell>
          <cell r="AS22">
            <v>2</v>
          </cell>
          <cell r="AT22">
            <v>169</v>
          </cell>
          <cell r="AU22">
            <v>0</v>
          </cell>
          <cell r="AV22">
            <v>0</v>
          </cell>
          <cell r="AW22">
            <v>2</v>
          </cell>
          <cell r="AX22">
            <v>169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str">
            <v>NASHVILLE, TN</v>
          </cell>
        </row>
        <row r="23">
          <cell r="B23" t="str">
            <v>NEW ORLEANS, LA</v>
          </cell>
          <cell r="C23">
            <v>1</v>
          </cell>
          <cell r="D23">
            <v>280</v>
          </cell>
          <cell r="E23">
            <v>1</v>
          </cell>
          <cell r="F23">
            <v>182</v>
          </cell>
          <cell r="G23">
            <v>2</v>
          </cell>
          <cell r="H23">
            <v>401</v>
          </cell>
          <cell r="I23">
            <v>3</v>
          </cell>
          <cell r="J23">
            <v>583</v>
          </cell>
          <cell r="K23">
            <v>1</v>
          </cell>
          <cell r="L23">
            <v>500</v>
          </cell>
          <cell r="M23">
            <v>1</v>
          </cell>
          <cell r="N23">
            <v>208</v>
          </cell>
          <cell r="O23">
            <v>2</v>
          </cell>
          <cell r="P23">
            <v>682</v>
          </cell>
          <cell r="Q23">
            <v>1</v>
          </cell>
          <cell r="R23">
            <v>142</v>
          </cell>
          <cell r="S23">
            <v>3</v>
          </cell>
          <cell r="T23">
            <v>824</v>
          </cell>
          <cell r="U23">
            <v>0</v>
          </cell>
          <cell r="V23">
            <v>0</v>
          </cell>
          <cell r="W23">
            <v>3</v>
          </cell>
          <cell r="X23">
            <v>261</v>
          </cell>
          <cell r="Y23">
            <v>2</v>
          </cell>
          <cell r="Z23">
            <v>221</v>
          </cell>
          <cell r="AA23">
            <v>0</v>
          </cell>
          <cell r="AB23">
            <v>0</v>
          </cell>
          <cell r="AC23">
            <v>2</v>
          </cell>
          <cell r="AD23">
            <v>221</v>
          </cell>
          <cell r="AE23">
            <v>0</v>
          </cell>
          <cell r="AF23">
            <v>0</v>
          </cell>
          <cell r="AG23">
            <v>4</v>
          </cell>
          <cell r="AH23">
            <v>241</v>
          </cell>
          <cell r="AI23">
            <v>3</v>
          </cell>
          <cell r="AJ23">
            <v>283</v>
          </cell>
          <cell r="AK23">
            <v>3</v>
          </cell>
          <cell r="AL23">
            <v>345</v>
          </cell>
          <cell r="AM23">
            <v>6</v>
          </cell>
          <cell r="AN23">
            <v>628</v>
          </cell>
          <cell r="AO23">
            <v>2</v>
          </cell>
          <cell r="AP23">
            <v>234</v>
          </cell>
          <cell r="AQ23">
            <v>1</v>
          </cell>
          <cell r="AR23">
            <v>59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3</v>
          </cell>
          <cell r="AZ23">
            <v>315</v>
          </cell>
          <cell r="BA23">
            <v>5</v>
          </cell>
          <cell r="BB23">
            <v>618</v>
          </cell>
          <cell r="BC23">
            <v>2</v>
          </cell>
          <cell r="BD23">
            <v>422</v>
          </cell>
          <cell r="BE23">
            <v>2</v>
          </cell>
          <cell r="BF23">
            <v>925</v>
          </cell>
          <cell r="BG23">
            <v>4</v>
          </cell>
          <cell r="BH23">
            <v>1347</v>
          </cell>
          <cell r="BI23">
            <v>1</v>
          </cell>
          <cell r="BJ23">
            <v>175</v>
          </cell>
          <cell r="BK23" t="str">
            <v>NEW ORLEANS, LA</v>
          </cell>
        </row>
        <row r="24">
          <cell r="B24" t="str">
            <v>NEW YORK, NY</v>
          </cell>
          <cell r="C24">
            <v>2</v>
          </cell>
          <cell r="D24">
            <v>807</v>
          </cell>
          <cell r="E24">
            <v>1</v>
          </cell>
          <cell r="F24">
            <v>863</v>
          </cell>
          <cell r="G24">
            <v>0</v>
          </cell>
          <cell r="H24">
            <v>0</v>
          </cell>
          <cell r="I24">
            <v>1</v>
          </cell>
          <cell r="J24">
            <v>863</v>
          </cell>
          <cell r="K24">
            <v>2</v>
          </cell>
          <cell r="L24">
            <v>430</v>
          </cell>
          <cell r="M24">
            <v>2</v>
          </cell>
          <cell r="N24">
            <v>314</v>
          </cell>
          <cell r="O24">
            <v>0</v>
          </cell>
          <cell r="P24">
            <v>0</v>
          </cell>
          <cell r="Q24">
            <v>3</v>
          </cell>
          <cell r="R24">
            <v>384</v>
          </cell>
          <cell r="S24">
            <v>3</v>
          </cell>
          <cell r="T24">
            <v>384</v>
          </cell>
          <cell r="U24">
            <v>1</v>
          </cell>
          <cell r="V24">
            <v>420</v>
          </cell>
          <cell r="W24">
            <v>3</v>
          </cell>
          <cell r="X24">
            <v>410</v>
          </cell>
          <cell r="Y24">
            <v>2</v>
          </cell>
          <cell r="Z24">
            <v>217</v>
          </cell>
          <cell r="AA24">
            <v>0</v>
          </cell>
          <cell r="AB24">
            <v>0</v>
          </cell>
          <cell r="AC24">
            <v>2</v>
          </cell>
          <cell r="AD24">
            <v>217</v>
          </cell>
          <cell r="AE24">
            <v>2</v>
          </cell>
          <cell r="AF24">
            <v>276</v>
          </cell>
          <cell r="AG24">
            <v>5</v>
          </cell>
          <cell r="AH24">
            <v>549</v>
          </cell>
          <cell r="AI24">
            <v>2</v>
          </cell>
          <cell r="AJ24">
            <v>274</v>
          </cell>
          <cell r="AK24">
            <v>2</v>
          </cell>
          <cell r="AL24">
            <v>310</v>
          </cell>
          <cell r="AM24">
            <v>4</v>
          </cell>
          <cell r="AN24">
            <v>584</v>
          </cell>
          <cell r="AO24">
            <v>4</v>
          </cell>
          <cell r="AP24">
            <v>332</v>
          </cell>
          <cell r="AQ24">
            <v>2</v>
          </cell>
          <cell r="AR24">
            <v>163</v>
          </cell>
          <cell r="AS24">
            <v>2</v>
          </cell>
          <cell r="AT24">
            <v>241</v>
          </cell>
          <cell r="AU24">
            <v>2</v>
          </cell>
          <cell r="AV24">
            <v>158</v>
          </cell>
          <cell r="AW24">
            <v>4</v>
          </cell>
          <cell r="AX24">
            <v>399</v>
          </cell>
          <cell r="AY24">
            <v>0</v>
          </cell>
          <cell r="AZ24">
            <v>0</v>
          </cell>
          <cell r="BA24">
            <v>2</v>
          </cell>
          <cell r="BB24">
            <v>208</v>
          </cell>
          <cell r="BC24">
            <v>1</v>
          </cell>
          <cell r="BD24">
            <v>251</v>
          </cell>
          <cell r="BE24">
            <v>2</v>
          </cell>
          <cell r="BF24">
            <v>340</v>
          </cell>
          <cell r="BG24">
            <v>3</v>
          </cell>
          <cell r="BH24">
            <v>591</v>
          </cell>
          <cell r="BI24">
            <v>4</v>
          </cell>
          <cell r="BJ24">
            <v>504</v>
          </cell>
          <cell r="BK24" t="str">
            <v>NEW YORK, NY</v>
          </cell>
        </row>
        <row r="25">
          <cell r="B25" t="str">
            <v>NORFOLK-VIRGINIA BEACH, VA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</v>
          </cell>
          <cell r="L25">
            <v>300</v>
          </cell>
          <cell r="M25">
            <v>0</v>
          </cell>
          <cell r="N25">
            <v>0</v>
          </cell>
          <cell r="O25">
            <v>2</v>
          </cell>
          <cell r="P25">
            <v>300</v>
          </cell>
          <cell r="Q25">
            <v>2</v>
          </cell>
          <cell r="R25">
            <v>208</v>
          </cell>
          <cell r="S25">
            <v>4</v>
          </cell>
          <cell r="T25">
            <v>508</v>
          </cell>
          <cell r="U25">
            <v>0</v>
          </cell>
          <cell r="V25">
            <v>0</v>
          </cell>
          <cell r="W25">
            <v>1</v>
          </cell>
          <cell r="X25">
            <v>127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1</v>
          </cell>
          <cell r="AH25">
            <v>107</v>
          </cell>
          <cell r="AI25">
            <v>0</v>
          </cell>
          <cell r="AJ25">
            <v>0</v>
          </cell>
          <cell r="AK25">
            <v>7</v>
          </cell>
          <cell r="AL25">
            <v>693</v>
          </cell>
          <cell r="AM25">
            <v>7</v>
          </cell>
          <cell r="AN25">
            <v>693</v>
          </cell>
          <cell r="AO25">
            <v>2</v>
          </cell>
          <cell r="AP25">
            <v>210</v>
          </cell>
          <cell r="AQ25">
            <v>1</v>
          </cell>
          <cell r="AR25">
            <v>91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2</v>
          </cell>
          <cell r="BB25">
            <v>429</v>
          </cell>
          <cell r="BC25">
            <v>1</v>
          </cell>
          <cell r="BD25">
            <v>86</v>
          </cell>
          <cell r="BE25">
            <v>0</v>
          </cell>
          <cell r="BF25">
            <v>0</v>
          </cell>
          <cell r="BG25">
            <v>1</v>
          </cell>
          <cell r="BH25">
            <v>86</v>
          </cell>
          <cell r="BI25">
            <v>2</v>
          </cell>
          <cell r="BJ25">
            <v>360</v>
          </cell>
          <cell r="BK25" t="str">
            <v>NORFOLK-VIRGINIA BEACH, VA</v>
          </cell>
        </row>
        <row r="26">
          <cell r="B26" t="str">
            <v>OAHU ISLAND</v>
          </cell>
          <cell r="C26">
            <v>1</v>
          </cell>
          <cell r="D26">
            <v>453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243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OAHU ISLAND</v>
          </cell>
        </row>
        <row r="27">
          <cell r="B27" t="str">
            <v>ORLANDO, FL</v>
          </cell>
          <cell r="C27">
            <v>1</v>
          </cell>
          <cell r="D27">
            <v>250</v>
          </cell>
          <cell r="E27">
            <v>4</v>
          </cell>
          <cell r="F27">
            <v>2889</v>
          </cell>
          <cell r="G27">
            <v>5</v>
          </cell>
          <cell r="H27">
            <v>3462</v>
          </cell>
          <cell r="I27">
            <v>9</v>
          </cell>
          <cell r="J27">
            <v>6351</v>
          </cell>
          <cell r="K27">
            <v>1</v>
          </cell>
          <cell r="L27">
            <v>1500</v>
          </cell>
          <cell r="M27">
            <v>3</v>
          </cell>
          <cell r="N27">
            <v>793</v>
          </cell>
          <cell r="O27">
            <v>3</v>
          </cell>
          <cell r="P27">
            <v>619</v>
          </cell>
          <cell r="Q27">
            <v>2</v>
          </cell>
          <cell r="R27">
            <v>220</v>
          </cell>
          <cell r="S27">
            <v>5</v>
          </cell>
          <cell r="T27">
            <v>839</v>
          </cell>
          <cell r="U27">
            <v>1</v>
          </cell>
          <cell r="V27">
            <v>125</v>
          </cell>
          <cell r="W27">
            <v>1</v>
          </cell>
          <cell r="X27">
            <v>150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4</v>
          </cell>
          <cell r="AH27">
            <v>453</v>
          </cell>
          <cell r="AI27">
            <v>5</v>
          </cell>
          <cell r="AJ27">
            <v>582</v>
          </cell>
          <cell r="AK27">
            <v>3</v>
          </cell>
          <cell r="AL27">
            <v>426</v>
          </cell>
          <cell r="AM27">
            <v>8</v>
          </cell>
          <cell r="AN27">
            <v>1008</v>
          </cell>
          <cell r="AO27">
            <v>1</v>
          </cell>
          <cell r="AP27">
            <v>220</v>
          </cell>
          <cell r="AQ27">
            <v>1</v>
          </cell>
          <cell r="AR27">
            <v>83</v>
          </cell>
          <cell r="AS27">
            <v>0</v>
          </cell>
          <cell r="AT27">
            <v>0</v>
          </cell>
          <cell r="AU27">
            <v>3</v>
          </cell>
          <cell r="AV27">
            <v>519</v>
          </cell>
          <cell r="AW27">
            <v>3</v>
          </cell>
          <cell r="AX27">
            <v>519</v>
          </cell>
          <cell r="AY27">
            <v>6</v>
          </cell>
          <cell r="AZ27">
            <v>1340</v>
          </cell>
          <cell r="BA27">
            <v>2</v>
          </cell>
          <cell r="BB27">
            <v>2699</v>
          </cell>
          <cell r="BC27">
            <v>1</v>
          </cell>
          <cell r="BD27">
            <v>2880</v>
          </cell>
          <cell r="BE27">
            <v>6</v>
          </cell>
          <cell r="BF27">
            <v>4174</v>
          </cell>
          <cell r="BG27">
            <v>7</v>
          </cell>
          <cell r="BH27">
            <v>7054</v>
          </cell>
          <cell r="BI27">
            <v>1</v>
          </cell>
          <cell r="BJ27">
            <v>350</v>
          </cell>
          <cell r="BK27" t="str">
            <v>ORLANDO, FL</v>
          </cell>
        </row>
        <row r="28">
          <cell r="B28" t="str">
            <v>PHILADELPHIA, PA-NJ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</v>
          </cell>
          <cell r="L28">
            <v>360</v>
          </cell>
          <cell r="M28">
            <v>6</v>
          </cell>
          <cell r="N28">
            <v>880</v>
          </cell>
          <cell r="O28">
            <v>2</v>
          </cell>
          <cell r="P28">
            <v>387</v>
          </cell>
          <cell r="Q28">
            <v>3</v>
          </cell>
          <cell r="R28">
            <v>322</v>
          </cell>
          <cell r="S28">
            <v>5</v>
          </cell>
          <cell r="T28">
            <v>709</v>
          </cell>
          <cell r="U28">
            <v>1</v>
          </cell>
          <cell r="V28">
            <v>114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4</v>
          </cell>
          <cell r="AH28">
            <v>471</v>
          </cell>
          <cell r="AI28">
            <v>3</v>
          </cell>
          <cell r="AJ28">
            <v>244</v>
          </cell>
          <cell r="AK28">
            <v>4</v>
          </cell>
          <cell r="AL28">
            <v>401</v>
          </cell>
          <cell r="AM28">
            <v>7</v>
          </cell>
          <cell r="AN28">
            <v>645</v>
          </cell>
          <cell r="AO28">
            <v>1</v>
          </cell>
          <cell r="AP28">
            <v>70</v>
          </cell>
          <cell r="AQ28">
            <v>1</v>
          </cell>
          <cell r="AR28">
            <v>116</v>
          </cell>
          <cell r="AS28">
            <v>0</v>
          </cell>
          <cell r="AT28">
            <v>0</v>
          </cell>
          <cell r="AU28">
            <v>1</v>
          </cell>
          <cell r="AV28">
            <v>134</v>
          </cell>
          <cell r="AW28">
            <v>1</v>
          </cell>
          <cell r="AX28">
            <v>134</v>
          </cell>
          <cell r="AY28">
            <v>1</v>
          </cell>
          <cell r="AZ28">
            <v>120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2</v>
          </cell>
          <cell r="BF28">
            <v>413</v>
          </cell>
          <cell r="BG28">
            <v>2</v>
          </cell>
          <cell r="BH28">
            <v>413</v>
          </cell>
          <cell r="BI28">
            <v>0</v>
          </cell>
          <cell r="BJ28">
            <v>0</v>
          </cell>
          <cell r="BK28" t="str">
            <v>PHILADELPHIA, PA-NJ</v>
          </cell>
        </row>
        <row r="29">
          <cell r="B29" t="str">
            <v>PHOENIX, AZ</v>
          </cell>
          <cell r="C29">
            <v>0</v>
          </cell>
          <cell r="D29">
            <v>0</v>
          </cell>
          <cell r="E29">
            <v>3</v>
          </cell>
          <cell r="F29">
            <v>2200</v>
          </cell>
          <cell r="G29">
            <v>1</v>
          </cell>
          <cell r="H29">
            <v>250</v>
          </cell>
          <cell r="I29">
            <v>4</v>
          </cell>
          <cell r="J29">
            <v>2450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</v>
          </cell>
          <cell r="P29">
            <v>120</v>
          </cell>
          <cell r="Q29">
            <v>0</v>
          </cell>
          <cell r="R29">
            <v>0</v>
          </cell>
          <cell r="S29">
            <v>1</v>
          </cell>
          <cell r="T29">
            <v>120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1</v>
          </cell>
          <cell r="AF29">
            <v>64</v>
          </cell>
          <cell r="AG29">
            <v>3</v>
          </cell>
          <cell r="AH29">
            <v>281</v>
          </cell>
          <cell r="AI29">
            <v>0</v>
          </cell>
          <cell r="AJ29">
            <v>0</v>
          </cell>
          <cell r="AK29">
            <v>1</v>
          </cell>
          <cell r="AL29">
            <v>80</v>
          </cell>
          <cell r="AM29">
            <v>1</v>
          </cell>
          <cell r="AN29">
            <v>80</v>
          </cell>
          <cell r="AO29">
            <v>3</v>
          </cell>
          <cell r="AP29">
            <v>325</v>
          </cell>
          <cell r="AQ29">
            <v>2</v>
          </cell>
          <cell r="AR29">
            <v>242</v>
          </cell>
          <cell r="AS29">
            <v>0</v>
          </cell>
          <cell r="AT29">
            <v>0</v>
          </cell>
          <cell r="AU29">
            <v>1</v>
          </cell>
          <cell r="AV29">
            <v>75</v>
          </cell>
          <cell r="AW29">
            <v>1</v>
          </cell>
          <cell r="AX29">
            <v>75</v>
          </cell>
          <cell r="AY29">
            <v>1</v>
          </cell>
          <cell r="AZ29">
            <v>60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3</v>
          </cell>
          <cell r="BF29">
            <v>1297</v>
          </cell>
          <cell r="BG29">
            <v>3</v>
          </cell>
          <cell r="BH29">
            <v>1297</v>
          </cell>
          <cell r="BI29">
            <v>1</v>
          </cell>
          <cell r="BJ29">
            <v>300</v>
          </cell>
          <cell r="BK29" t="str">
            <v>PHOENIX, AZ</v>
          </cell>
        </row>
        <row r="30">
          <cell r="B30" t="str">
            <v>SAINT LOUIS, MO-IL</v>
          </cell>
          <cell r="C30">
            <v>1</v>
          </cell>
          <cell r="D30">
            <v>288</v>
          </cell>
          <cell r="E30">
            <v>2</v>
          </cell>
          <cell r="F30">
            <v>1080</v>
          </cell>
          <cell r="G30">
            <v>2</v>
          </cell>
          <cell r="H30">
            <v>505</v>
          </cell>
          <cell r="I30">
            <v>4</v>
          </cell>
          <cell r="J30">
            <v>1585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</v>
          </cell>
          <cell r="P30">
            <v>104</v>
          </cell>
          <cell r="Q30">
            <v>0</v>
          </cell>
          <cell r="R30">
            <v>0</v>
          </cell>
          <cell r="S30">
            <v>1</v>
          </cell>
          <cell r="T30">
            <v>104</v>
          </cell>
          <cell r="U30">
            <v>1</v>
          </cell>
          <cell r="V30">
            <v>539</v>
          </cell>
          <cell r="W30">
            <v>0</v>
          </cell>
          <cell r="X30">
            <v>0</v>
          </cell>
          <cell r="Y30">
            <v>1</v>
          </cell>
          <cell r="Z30">
            <v>125</v>
          </cell>
          <cell r="AA30">
            <v>0</v>
          </cell>
          <cell r="AB30">
            <v>0</v>
          </cell>
          <cell r="AC30">
            <v>1</v>
          </cell>
          <cell r="AD30">
            <v>125</v>
          </cell>
          <cell r="AE30">
            <v>0</v>
          </cell>
          <cell r="AF30">
            <v>0</v>
          </cell>
          <cell r="AG30">
            <v>2</v>
          </cell>
          <cell r="AH30">
            <v>142</v>
          </cell>
          <cell r="AI30">
            <v>1</v>
          </cell>
          <cell r="AJ30">
            <v>80</v>
          </cell>
          <cell r="AK30">
            <v>5</v>
          </cell>
          <cell r="AL30">
            <v>560</v>
          </cell>
          <cell r="AM30">
            <v>6</v>
          </cell>
          <cell r="AN30">
            <v>640</v>
          </cell>
          <cell r="AO30">
            <v>1</v>
          </cell>
          <cell r="AP30">
            <v>80</v>
          </cell>
          <cell r="AQ30">
            <v>0</v>
          </cell>
          <cell r="AR30">
            <v>0</v>
          </cell>
          <cell r="AS30">
            <v>1</v>
          </cell>
          <cell r="AT30">
            <v>100</v>
          </cell>
          <cell r="AU30">
            <v>2</v>
          </cell>
          <cell r="AV30">
            <v>179</v>
          </cell>
          <cell r="AW30">
            <v>3</v>
          </cell>
          <cell r="AX30">
            <v>279</v>
          </cell>
          <cell r="AY30">
            <v>0</v>
          </cell>
          <cell r="AZ30">
            <v>0</v>
          </cell>
          <cell r="BA30">
            <v>1</v>
          </cell>
          <cell r="BB30">
            <v>61</v>
          </cell>
          <cell r="BC30">
            <v>0</v>
          </cell>
          <cell r="BD30">
            <v>0</v>
          </cell>
          <cell r="BE30">
            <v>1</v>
          </cell>
          <cell r="BF30">
            <v>120</v>
          </cell>
          <cell r="BG30">
            <v>1</v>
          </cell>
          <cell r="BH30">
            <v>120</v>
          </cell>
          <cell r="BI30">
            <v>2</v>
          </cell>
          <cell r="BJ30">
            <v>200</v>
          </cell>
          <cell r="BK30" t="str">
            <v>SAINT LOUIS, MO-IL</v>
          </cell>
        </row>
        <row r="31">
          <cell r="B31" t="str">
            <v>SAN DIEGO, CA</v>
          </cell>
          <cell r="C31">
            <v>2</v>
          </cell>
          <cell r="D31">
            <v>314</v>
          </cell>
          <cell r="E31">
            <v>2</v>
          </cell>
          <cell r="F31">
            <v>1011</v>
          </cell>
          <cell r="G31">
            <v>2</v>
          </cell>
          <cell r="H31">
            <v>584</v>
          </cell>
          <cell r="I31">
            <v>4</v>
          </cell>
          <cell r="J31">
            <v>1595</v>
          </cell>
          <cell r="K31">
            <v>1</v>
          </cell>
          <cell r="L31">
            <v>500</v>
          </cell>
          <cell r="M31">
            <v>1</v>
          </cell>
          <cell r="N31">
            <v>245</v>
          </cell>
          <cell r="O31">
            <v>1</v>
          </cell>
          <cell r="P31">
            <v>137</v>
          </cell>
          <cell r="Q31">
            <v>4</v>
          </cell>
          <cell r="R31">
            <v>474</v>
          </cell>
          <cell r="S31">
            <v>5</v>
          </cell>
          <cell r="T31">
            <v>611</v>
          </cell>
          <cell r="U31">
            <v>4</v>
          </cell>
          <cell r="V31">
            <v>399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1</v>
          </cell>
          <cell r="AB31">
            <v>28</v>
          </cell>
          <cell r="AC31">
            <v>1</v>
          </cell>
          <cell r="AD31">
            <v>28</v>
          </cell>
          <cell r="AE31">
            <v>1</v>
          </cell>
          <cell r="AF31">
            <v>100</v>
          </cell>
          <cell r="AG31">
            <v>4</v>
          </cell>
          <cell r="AH31">
            <v>495</v>
          </cell>
          <cell r="AI31">
            <v>1</v>
          </cell>
          <cell r="AJ31">
            <v>100</v>
          </cell>
          <cell r="AK31">
            <v>2</v>
          </cell>
          <cell r="AL31">
            <v>246</v>
          </cell>
          <cell r="AM31">
            <v>3</v>
          </cell>
          <cell r="AN31">
            <v>346</v>
          </cell>
          <cell r="AO31">
            <v>3</v>
          </cell>
          <cell r="AP31">
            <v>391</v>
          </cell>
          <cell r="AQ31">
            <v>0</v>
          </cell>
          <cell r="AR31">
            <v>0</v>
          </cell>
          <cell r="AS31">
            <v>2</v>
          </cell>
          <cell r="AT31">
            <v>253</v>
          </cell>
          <cell r="AU31">
            <v>0</v>
          </cell>
          <cell r="AV31">
            <v>0</v>
          </cell>
          <cell r="AW31">
            <v>2</v>
          </cell>
          <cell r="AX31">
            <v>253</v>
          </cell>
          <cell r="AY31">
            <v>3</v>
          </cell>
          <cell r="AZ31">
            <v>275</v>
          </cell>
          <cell r="BA31">
            <v>1</v>
          </cell>
          <cell r="BB31">
            <v>150</v>
          </cell>
          <cell r="BC31">
            <v>2</v>
          </cell>
          <cell r="BD31">
            <v>566</v>
          </cell>
          <cell r="BE31">
            <v>3</v>
          </cell>
          <cell r="BF31">
            <v>521</v>
          </cell>
          <cell r="BG31">
            <v>5</v>
          </cell>
          <cell r="BH31">
            <v>1087</v>
          </cell>
          <cell r="BI31">
            <v>6</v>
          </cell>
          <cell r="BJ31">
            <v>2342</v>
          </cell>
          <cell r="BK31" t="str">
            <v>SAN DIEGO, CA</v>
          </cell>
        </row>
        <row r="32">
          <cell r="B32" t="str">
            <v>SAN FRANCISCO/SAN MATEO</v>
          </cell>
          <cell r="C32">
            <v>2</v>
          </cell>
          <cell r="D32">
            <v>639</v>
          </cell>
          <cell r="E32">
            <v>1</v>
          </cell>
          <cell r="F32">
            <v>269</v>
          </cell>
          <cell r="G32">
            <v>3</v>
          </cell>
          <cell r="H32">
            <v>1282</v>
          </cell>
          <cell r="I32">
            <v>4</v>
          </cell>
          <cell r="J32">
            <v>1551</v>
          </cell>
          <cell r="K32">
            <v>1</v>
          </cell>
          <cell r="L32">
            <v>430</v>
          </cell>
          <cell r="M32">
            <v>1</v>
          </cell>
          <cell r="N32">
            <v>405</v>
          </cell>
          <cell r="O32">
            <v>1</v>
          </cell>
          <cell r="P32">
            <v>177</v>
          </cell>
          <cell r="Q32">
            <v>2</v>
          </cell>
          <cell r="R32">
            <v>394</v>
          </cell>
          <cell r="S32">
            <v>3</v>
          </cell>
          <cell r="T32">
            <v>571</v>
          </cell>
          <cell r="U32">
            <v>1</v>
          </cell>
          <cell r="V32">
            <v>160</v>
          </cell>
          <cell r="W32">
            <v>2</v>
          </cell>
          <cell r="X32">
            <v>186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3</v>
          </cell>
          <cell r="AH32">
            <v>237</v>
          </cell>
          <cell r="AI32">
            <v>3</v>
          </cell>
          <cell r="AJ32">
            <v>272</v>
          </cell>
          <cell r="AK32">
            <v>1</v>
          </cell>
          <cell r="AL32">
            <v>103</v>
          </cell>
          <cell r="AM32">
            <v>4</v>
          </cell>
          <cell r="AN32">
            <v>375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2</v>
          </cell>
          <cell r="AT32">
            <v>78</v>
          </cell>
          <cell r="AU32">
            <v>2</v>
          </cell>
          <cell r="AV32">
            <v>203</v>
          </cell>
          <cell r="AW32">
            <v>4</v>
          </cell>
          <cell r="AX32">
            <v>281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4</v>
          </cell>
          <cell r="BD32">
            <v>381</v>
          </cell>
          <cell r="BE32">
            <v>2</v>
          </cell>
          <cell r="BF32">
            <v>304</v>
          </cell>
          <cell r="BG32">
            <v>6</v>
          </cell>
          <cell r="BH32">
            <v>685</v>
          </cell>
          <cell r="BI32">
            <v>3</v>
          </cell>
          <cell r="BJ32">
            <v>805</v>
          </cell>
          <cell r="BK32" t="str">
            <v>SAN FRANCISCO/SAN MATEO</v>
          </cell>
        </row>
        <row r="33">
          <cell r="B33" t="str">
            <v>SEATTLE, WA</v>
          </cell>
          <cell r="C33">
            <v>1</v>
          </cell>
          <cell r="D33">
            <v>425</v>
          </cell>
          <cell r="E33">
            <v>2</v>
          </cell>
          <cell r="F33">
            <v>643</v>
          </cell>
          <cell r="G33">
            <v>0</v>
          </cell>
          <cell r="H33">
            <v>0</v>
          </cell>
          <cell r="I33">
            <v>2</v>
          </cell>
          <cell r="J33">
            <v>643</v>
          </cell>
          <cell r="K33">
            <v>2</v>
          </cell>
          <cell r="L33">
            <v>812</v>
          </cell>
          <cell r="M33">
            <v>1</v>
          </cell>
          <cell r="N33">
            <v>234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2</v>
          </cell>
          <cell r="V33">
            <v>351</v>
          </cell>
          <cell r="W33">
            <v>1</v>
          </cell>
          <cell r="X33">
            <v>200</v>
          </cell>
          <cell r="Y33">
            <v>1</v>
          </cell>
          <cell r="Z33">
            <v>65</v>
          </cell>
          <cell r="AA33">
            <v>0</v>
          </cell>
          <cell r="AB33">
            <v>0</v>
          </cell>
          <cell r="AC33">
            <v>1</v>
          </cell>
          <cell r="AD33">
            <v>65</v>
          </cell>
          <cell r="AE33">
            <v>0</v>
          </cell>
          <cell r="AF33">
            <v>0</v>
          </cell>
          <cell r="AG33">
            <v>2</v>
          </cell>
          <cell r="AH33">
            <v>164</v>
          </cell>
          <cell r="AI33">
            <v>1</v>
          </cell>
          <cell r="AJ33">
            <v>137</v>
          </cell>
          <cell r="AK33">
            <v>0</v>
          </cell>
          <cell r="AL33">
            <v>0</v>
          </cell>
          <cell r="AM33">
            <v>1</v>
          </cell>
          <cell r="AN33">
            <v>137</v>
          </cell>
          <cell r="AO33">
            <v>2</v>
          </cell>
          <cell r="AP33">
            <v>261</v>
          </cell>
          <cell r="AQ33">
            <v>1</v>
          </cell>
          <cell r="AR33">
            <v>101</v>
          </cell>
          <cell r="AS33">
            <v>1</v>
          </cell>
          <cell r="AT33">
            <v>107</v>
          </cell>
          <cell r="AU33">
            <v>0</v>
          </cell>
          <cell r="AV33">
            <v>0</v>
          </cell>
          <cell r="AW33">
            <v>1</v>
          </cell>
          <cell r="AX33">
            <v>107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4</v>
          </cell>
          <cell r="BD33">
            <v>515</v>
          </cell>
          <cell r="BE33">
            <v>3</v>
          </cell>
          <cell r="BF33">
            <v>235</v>
          </cell>
          <cell r="BG33">
            <v>7</v>
          </cell>
          <cell r="BH33">
            <v>750</v>
          </cell>
          <cell r="BI33">
            <v>1</v>
          </cell>
          <cell r="BJ33">
            <v>152</v>
          </cell>
          <cell r="BK33" t="str">
            <v>SEATTLE, WA</v>
          </cell>
        </row>
        <row r="34">
          <cell r="B34" t="str">
            <v>TAMPA-SAINT PETERSBURG, FL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</v>
          </cell>
          <cell r="H34">
            <v>300</v>
          </cell>
          <cell r="I34">
            <v>1</v>
          </cell>
          <cell r="J34">
            <v>300</v>
          </cell>
          <cell r="K34">
            <v>0</v>
          </cell>
          <cell r="L34">
            <v>0</v>
          </cell>
          <cell r="M34">
            <v>4</v>
          </cell>
          <cell r="N34">
            <v>666</v>
          </cell>
          <cell r="O34">
            <v>1</v>
          </cell>
          <cell r="P34">
            <v>99</v>
          </cell>
          <cell r="Q34">
            <v>0</v>
          </cell>
          <cell r="R34">
            <v>0</v>
          </cell>
          <cell r="S34">
            <v>1</v>
          </cell>
          <cell r="T34">
            <v>99</v>
          </cell>
          <cell r="U34">
            <v>2</v>
          </cell>
          <cell r="V34">
            <v>199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1</v>
          </cell>
          <cell r="AF34">
            <v>70</v>
          </cell>
          <cell r="AG34">
            <v>3</v>
          </cell>
          <cell r="AH34">
            <v>285</v>
          </cell>
          <cell r="AI34">
            <v>4</v>
          </cell>
          <cell r="AJ34">
            <v>311</v>
          </cell>
          <cell r="AK34">
            <v>2</v>
          </cell>
          <cell r="AL34">
            <v>180</v>
          </cell>
          <cell r="AM34">
            <v>6</v>
          </cell>
          <cell r="AN34">
            <v>491</v>
          </cell>
          <cell r="AO34">
            <v>2</v>
          </cell>
          <cell r="AP34">
            <v>195</v>
          </cell>
          <cell r="AQ34">
            <v>1</v>
          </cell>
          <cell r="AR34">
            <v>121</v>
          </cell>
          <cell r="AS34">
            <v>0</v>
          </cell>
          <cell r="AT34">
            <v>0</v>
          </cell>
          <cell r="AU34">
            <v>3</v>
          </cell>
          <cell r="AV34">
            <v>304</v>
          </cell>
          <cell r="AW34">
            <v>3</v>
          </cell>
          <cell r="AX34">
            <v>304</v>
          </cell>
          <cell r="AY34">
            <v>3</v>
          </cell>
          <cell r="AZ34">
            <v>298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2</v>
          </cell>
          <cell r="BF34">
            <v>402</v>
          </cell>
          <cell r="BG34">
            <v>2</v>
          </cell>
          <cell r="BH34">
            <v>402</v>
          </cell>
          <cell r="BI34">
            <v>2</v>
          </cell>
          <cell r="BJ34">
            <v>285</v>
          </cell>
          <cell r="BK34" t="str">
            <v>TAMPA-SAINT PETERSBURG, FL</v>
          </cell>
        </row>
        <row r="35">
          <cell r="B35" t="str">
            <v>WASHINGTON, DC-MD-VA</v>
          </cell>
          <cell r="C35">
            <v>0</v>
          </cell>
          <cell r="D35">
            <v>0</v>
          </cell>
          <cell r="E35">
            <v>3</v>
          </cell>
          <cell r="F35">
            <v>654</v>
          </cell>
          <cell r="G35">
            <v>3</v>
          </cell>
          <cell r="H35">
            <v>783</v>
          </cell>
          <cell r="I35">
            <v>6</v>
          </cell>
          <cell r="J35">
            <v>1437</v>
          </cell>
          <cell r="K35">
            <v>1</v>
          </cell>
          <cell r="L35">
            <v>512</v>
          </cell>
          <cell r="M35">
            <v>4</v>
          </cell>
          <cell r="N35">
            <v>639</v>
          </cell>
          <cell r="O35">
            <v>4</v>
          </cell>
          <cell r="P35">
            <v>639</v>
          </cell>
          <cell r="Q35">
            <v>5</v>
          </cell>
          <cell r="R35">
            <v>628</v>
          </cell>
          <cell r="S35">
            <v>9</v>
          </cell>
          <cell r="T35">
            <v>1267</v>
          </cell>
          <cell r="U35">
            <v>11</v>
          </cell>
          <cell r="V35">
            <v>1975</v>
          </cell>
          <cell r="W35">
            <v>0</v>
          </cell>
          <cell r="X35">
            <v>0</v>
          </cell>
          <cell r="Y35">
            <v>1</v>
          </cell>
          <cell r="Z35">
            <v>233</v>
          </cell>
          <cell r="AA35">
            <v>0</v>
          </cell>
          <cell r="AB35">
            <v>0</v>
          </cell>
          <cell r="AC35">
            <v>1</v>
          </cell>
          <cell r="AD35">
            <v>233</v>
          </cell>
          <cell r="AE35">
            <v>0</v>
          </cell>
          <cell r="AF35">
            <v>0</v>
          </cell>
          <cell r="AG35">
            <v>6</v>
          </cell>
          <cell r="AH35">
            <v>586</v>
          </cell>
          <cell r="AI35">
            <v>2</v>
          </cell>
          <cell r="AJ35">
            <v>262</v>
          </cell>
          <cell r="AK35">
            <v>8</v>
          </cell>
          <cell r="AL35">
            <v>844</v>
          </cell>
          <cell r="AM35">
            <v>10</v>
          </cell>
          <cell r="AN35">
            <v>1106</v>
          </cell>
          <cell r="AO35">
            <v>4</v>
          </cell>
          <cell r="AP35">
            <v>409</v>
          </cell>
          <cell r="AQ35">
            <v>0</v>
          </cell>
          <cell r="AR35">
            <v>0</v>
          </cell>
          <cell r="AS35">
            <v>1</v>
          </cell>
          <cell r="AT35">
            <v>60</v>
          </cell>
          <cell r="AU35">
            <v>0</v>
          </cell>
          <cell r="AV35">
            <v>0</v>
          </cell>
          <cell r="AW35">
            <v>1</v>
          </cell>
          <cell r="AX35">
            <v>60</v>
          </cell>
          <cell r="AY35">
            <v>2</v>
          </cell>
          <cell r="AZ35">
            <v>372</v>
          </cell>
          <cell r="BA35">
            <v>0</v>
          </cell>
          <cell r="BB35">
            <v>0</v>
          </cell>
          <cell r="BC35">
            <v>1</v>
          </cell>
          <cell r="BD35">
            <v>172</v>
          </cell>
          <cell r="BE35">
            <v>2</v>
          </cell>
          <cell r="BF35">
            <v>620</v>
          </cell>
          <cell r="BG35">
            <v>3</v>
          </cell>
          <cell r="BH35">
            <v>792</v>
          </cell>
          <cell r="BI35">
            <v>2</v>
          </cell>
          <cell r="BJ35">
            <v>555</v>
          </cell>
          <cell r="BK35" t="str">
            <v>WASHINGTON, DC-MD-VA</v>
          </cell>
        </row>
        <row r="57">
          <cell r="B57" t="str">
            <v>ANAHEIM-SANTA ANA, CA</v>
          </cell>
          <cell r="C57">
            <v>3</v>
          </cell>
          <cell r="D57">
            <v>1033</v>
          </cell>
          <cell r="E57">
            <v>1</v>
          </cell>
          <cell r="F57">
            <v>371</v>
          </cell>
          <cell r="G57">
            <v>1</v>
          </cell>
          <cell r="H57">
            <v>519</v>
          </cell>
          <cell r="I57">
            <v>1</v>
          </cell>
          <cell r="J57">
            <v>254</v>
          </cell>
          <cell r="K57">
            <v>1</v>
          </cell>
          <cell r="L57">
            <v>174</v>
          </cell>
          <cell r="M57">
            <v>3</v>
          </cell>
          <cell r="N57">
            <v>373</v>
          </cell>
          <cell r="O57">
            <v>0</v>
          </cell>
          <cell r="P57">
            <v>0</v>
          </cell>
          <cell r="Q57">
            <v>3</v>
          </cell>
          <cell r="R57">
            <v>519</v>
          </cell>
          <cell r="S57">
            <v>1</v>
          </cell>
          <cell r="T57">
            <v>264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2</v>
          </cell>
          <cell r="AB57">
            <v>367</v>
          </cell>
          <cell r="AC57">
            <v>1</v>
          </cell>
          <cell r="AD57">
            <v>103</v>
          </cell>
          <cell r="AE57">
            <v>0</v>
          </cell>
          <cell r="AF57">
            <v>0</v>
          </cell>
          <cell r="AG57">
            <v>3</v>
          </cell>
          <cell r="AH57">
            <v>540</v>
          </cell>
          <cell r="AI57">
            <v>3</v>
          </cell>
          <cell r="AJ57">
            <v>412</v>
          </cell>
          <cell r="AK57">
            <v>0</v>
          </cell>
          <cell r="AL57">
            <v>0</v>
          </cell>
          <cell r="AM57">
            <v>1</v>
          </cell>
          <cell r="AN57">
            <v>112</v>
          </cell>
          <cell r="AO57">
            <v>1</v>
          </cell>
          <cell r="AP57">
            <v>75</v>
          </cell>
          <cell r="AQ57">
            <v>5</v>
          </cell>
          <cell r="AR57">
            <v>1198</v>
          </cell>
          <cell r="AS57">
            <v>0</v>
          </cell>
          <cell r="AT57">
            <v>0</v>
          </cell>
          <cell r="AU57">
            <v>2</v>
          </cell>
          <cell r="AV57">
            <v>405</v>
          </cell>
          <cell r="AW57">
            <v>1</v>
          </cell>
          <cell r="AX57">
            <v>1050</v>
          </cell>
          <cell r="AY57">
            <v>1</v>
          </cell>
          <cell r="AZ57">
            <v>371</v>
          </cell>
          <cell r="BA57">
            <v>1</v>
          </cell>
          <cell r="BB57">
            <v>519</v>
          </cell>
          <cell r="BC57">
            <v>1</v>
          </cell>
          <cell r="BD57">
            <v>254</v>
          </cell>
          <cell r="BE57">
            <v>3</v>
          </cell>
          <cell r="BF57">
            <v>373</v>
          </cell>
          <cell r="BG57">
            <v>0</v>
          </cell>
          <cell r="BH57">
            <v>0</v>
          </cell>
          <cell r="BI57">
            <v>2</v>
          </cell>
          <cell r="BJ57">
            <v>357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1</v>
          </cell>
          <cell r="BR57">
            <v>103</v>
          </cell>
          <cell r="BS57">
            <v>0</v>
          </cell>
          <cell r="BT57">
            <v>0</v>
          </cell>
          <cell r="BU57">
            <v>1</v>
          </cell>
          <cell r="BV57">
            <v>140</v>
          </cell>
          <cell r="BW57">
            <v>0</v>
          </cell>
          <cell r="BX57">
            <v>0</v>
          </cell>
          <cell r="BY57">
            <v>1</v>
          </cell>
          <cell r="BZ57">
            <v>112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2</v>
          </cell>
          <cell r="CF57">
            <v>405</v>
          </cell>
          <cell r="CG57">
            <v>0</v>
          </cell>
          <cell r="CH57">
            <v>0</v>
          </cell>
          <cell r="CI57" t="str">
            <v>ANAHEIM-SANTA ANA, CA</v>
          </cell>
        </row>
        <row r="58">
          <cell r="B58" t="str">
            <v>ATLANTA, GA</v>
          </cell>
          <cell r="C58">
            <v>2</v>
          </cell>
          <cell r="D58">
            <v>236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3</v>
          </cell>
          <cell r="J58">
            <v>1264</v>
          </cell>
          <cell r="K58">
            <v>4</v>
          </cell>
          <cell r="L58">
            <v>516</v>
          </cell>
          <cell r="M58">
            <v>1</v>
          </cell>
          <cell r="N58">
            <v>153</v>
          </cell>
          <cell r="O58">
            <v>3</v>
          </cell>
          <cell r="P58">
            <v>425</v>
          </cell>
          <cell r="Q58">
            <v>4</v>
          </cell>
          <cell r="R58">
            <v>577</v>
          </cell>
          <cell r="S58">
            <v>3</v>
          </cell>
          <cell r="T58">
            <v>202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1</v>
          </cell>
          <cell r="Z58">
            <v>52</v>
          </cell>
          <cell r="AA58">
            <v>7</v>
          </cell>
          <cell r="AB58">
            <v>513</v>
          </cell>
          <cell r="AC58">
            <v>7</v>
          </cell>
          <cell r="AD58">
            <v>478</v>
          </cell>
          <cell r="AE58">
            <v>5</v>
          </cell>
          <cell r="AF58">
            <v>471</v>
          </cell>
          <cell r="AG58">
            <v>4</v>
          </cell>
          <cell r="AH58">
            <v>341</v>
          </cell>
          <cell r="AI58">
            <v>8</v>
          </cell>
          <cell r="AJ58">
            <v>460</v>
          </cell>
          <cell r="AK58">
            <v>4</v>
          </cell>
          <cell r="AL58">
            <v>253</v>
          </cell>
          <cell r="AM58">
            <v>1</v>
          </cell>
          <cell r="AN58">
            <v>86</v>
          </cell>
          <cell r="AO58">
            <v>4</v>
          </cell>
          <cell r="AP58">
            <v>498</v>
          </cell>
          <cell r="AQ58">
            <v>2</v>
          </cell>
          <cell r="AR58">
            <v>616</v>
          </cell>
          <cell r="AS58">
            <v>0</v>
          </cell>
          <cell r="AT58">
            <v>0</v>
          </cell>
          <cell r="AU58">
            <v>1</v>
          </cell>
          <cell r="AV58">
            <v>250</v>
          </cell>
          <cell r="AW58">
            <v>3</v>
          </cell>
          <cell r="AX58">
            <v>545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1</v>
          </cell>
          <cell r="BD58">
            <v>593</v>
          </cell>
          <cell r="BE58">
            <v>1</v>
          </cell>
          <cell r="BF58">
            <v>153</v>
          </cell>
          <cell r="BG58">
            <v>3</v>
          </cell>
          <cell r="BH58">
            <v>425</v>
          </cell>
          <cell r="BI58">
            <v>1</v>
          </cell>
          <cell r="BJ58">
            <v>149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7</v>
          </cell>
          <cell r="BR58">
            <v>478</v>
          </cell>
          <cell r="BS58">
            <v>5</v>
          </cell>
          <cell r="BT58">
            <v>471</v>
          </cell>
          <cell r="BU58">
            <v>1</v>
          </cell>
          <cell r="BV58">
            <v>100</v>
          </cell>
          <cell r="BW58">
            <v>4</v>
          </cell>
          <cell r="BX58">
            <v>253</v>
          </cell>
          <cell r="BY58">
            <v>1</v>
          </cell>
          <cell r="BZ58">
            <v>86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1</v>
          </cell>
          <cell r="CF58">
            <v>250</v>
          </cell>
          <cell r="CG58">
            <v>2</v>
          </cell>
          <cell r="CH58">
            <v>445</v>
          </cell>
          <cell r="CI58" t="str">
            <v>ATLANTA, GA</v>
          </cell>
        </row>
        <row r="59">
          <cell r="B59" t="str">
            <v>BOSTON, MA</v>
          </cell>
          <cell r="C59">
            <v>3</v>
          </cell>
          <cell r="D59">
            <v>837</v>
          </cell>
          <cell r="E59">
            <v>0</v>
          </cell>
          <cell r="F59">
            <v>0</v>
          </cell>
          <cell r="G59">
            <v>1</v>
          </cell>
          <cell r="H59">
            <v>273</v>
          </cell>
          <cell r="I59">
            <v>5</v>
          </cell>
          <cell r="J59">
            <v>1931</v>
          </cell>
          <cell r="K59">
            <v>6</v>
          </cell>
          <cell r="L59">
            <v>741</v>
          </cell>
          <cell r="M59">
            <v>5</v>
          </cell>
          <cell r="N59">
            <v>713</v>
          </cell>
          <cell r="O59">
            <v>3</v>
          </cell>
          <cell r="P59">
            <v>505</v>
          </cell>
          <cell r="Q59">
            <v>2</v>
          </cell>
          <cell r="R59">
            <v>213</v>
          </cell>
          <cell r="S59">
            <v>3</v>
          </cell>
          <cell r="T59">
            <v>310</v>
          </cell>
          <cell r="U59">
            <v>2</v>
          </cell>
          <cell r="V59">
            <v>123</v>
          </cell>
          <cell r="W59">
            <v>1</v>
          </cell>
          <cell r="X59">
            <v>80</v>
          </cell>
          <cell r="Y59">
            <v>0</v>
          </cell>
          <cell r="Z59">
            <v>0</v>
          </cell>
          <cell r="AA59">
            <v>3</v>
          </cell>
          <cell r="AB59">
            <v>395</v>
          </cell>
          <cell r="AC59">
            <v>1</v>
          </cell>
          <cell r="AD59">
            <v>114</v>
          </cell>
          <cell r="AE59">
            <v>1</v>
          </cell>
          <cell r="AF59">
            <v>112</v>
          </cell>
          <cell r="AG59">
            <v>1</v>
          </cell>
          <cell r="AH59">
            <v>175</v>
          </cell>
          <cell r="AI59">
            <v>1</v>
          </cell>
          <cell r="AJ59">
            <v>92</v>
          </cell>
          <cell r="AK59">
            <v>1</v>
          </cell>
          <cell r="AL59">
            <v>117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4</v>
          </cell>
          <cell r="AT59">
            <v>447</v>
          </cell>
          <cell r="AU59">
            <v>2</v>
          </cell>
          <cell r="AV59">
            <v>398</v>
          </cell>
          <cell r="AW59">
            <v>12</v>
          </cell>
          <cell r="AX59">
            <v>2548</v>
          </cell>
          <cell r="AY59">
            <v>0</v>
          </cell>
          <cell r="AZ59">
            <v>0</v>
          </cell>
          <cell r="BA59">
            <v>1</v>
          </cell>
          <cell r="BB59">
            <v>273</v>
          </cell>
          <cell r="BC59">
            <v>5</v>
          </cell>
          <cell r="BD59">
            <v>1931</v>
          </cell>
          <cell r="BE59">
            <v>5</v>
          </cell>
          <cell r="BF59">
            <v>713</v>
          </cell>
          <cell r="BG59">
            <v>3</v>
          </cell>
          <cell r="BH59">
            <v>505</v>
          </cell>
          <cell r="BI59">
            <v>0</v>
          </cell>
          <cell r="BJ59">
            <v>0</v>
          </cell>
          <cell r="BK59">
            <v>2</v>
          </cell>
          <cell r="BL59">
            <v>123</v>
          </cell>
          <cell r="BM59">
            <v>1</v>
          </cell>
          <cell r="BN59">
            <v>80</v>
          </cell>
          <cell r="BO59">
            <v>0</v>
          </cell>
          <cell r="BP59">
            <v>0</v>
          </cell>
          <cell r="BQ59">
            <v>1</v>
          </cell>
          <cell r="BR59">
            <v>114</v>
          </cell>
          <cell r="BS59">
            <v>1</v>
          </cell>
          <cell r="BT59">
            <v>112</v>
          </cell>
          <cell r="BU59">
            <v>1</v>
          </cell>
          <cell r="BV59">
            <v>175</v>
          </cell>
          <cell r="BW59">
            <v>1</v>
          </cell>
          <cell r="BX59">
            <v>117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4</v>
          </cell>
          <cell r="CD59">
            <v>447</v>
          </cell>
          <cell r="CE59">
            <v>2</v>
          </cell>
          <cell r="CF59">
            <v>398</v>
          </cell>
          <cell r="CG59">
            <v>4</v>
          </cell>
          <cell r="CH59">
            <v>983</v>
          </cell>
          <cell r="CI59" t="str">
            <v>BOSTON, MA</v>
          </cell>
        </row>
        <row r="60">
          <cell r="B60" t="str">
            <v>CHICAGO, IL</v>
          </cell>
          <cell r="C60">
            <v>2</v>
          </cell>
          <cell r="D60">
            <v>767</v>
          </cell>
          <cell r="E60">
            <v>3</v>
          </cell>
          <cell r="F60">
            <v>1069</v>
          </cell>
          <cell r="G60">
            <v>0</v>
          </cell>
          <cell r="H60">
            <v>0</v>
          </cell>
          <cell r="I60">
            <v>1</v>
          </cell>
          <cell r="J60">
            <v>954</v>
          </cell>
          <cell r="K60">
            <v>4</v>
          </cell>
          <cell r="L60">
            <v>680</v>
          </cell>
          <cell r="M60">
            <v>2</v>
          </cell>
          <cell r="N60">
            <v>190</v>
          </cell>
          <cell r="O60">
            <v>5</v>
          </cell>
          <cell r="P60">
            <v>628</v>
          </cell>
          <cell r="Q60">
            <v>12</v>
          </cell>
          <cell r="R60">
            <v>2152</v>
          </cell>
          <cell r="S60">
            <v>1</v>
          </cell>
          <cell r="T60">
            <v>50</v>
          </cell>
          <cell r="U60">
            <v>1</v>
          </cell>
          <cell r="V60">
            <v>202</v>
          </cell>
          <cell r="W60">
            <v>1</v>
          </cell>
          <cell r="X60">
            <v>100</v>
          </cell>
          <cell r="Y60">
            <v>2</v>
          </cell>
          <cell r="Z60">
            <v>390</v>
          </cell>
          <cell r="AA60">
            <v>7</v>
          </cell>
          <cell r="AB60">
            <v>781</v>
          </cell>
          <cell r="AC60">
            <v>4</v>
          </cell>
          <cell r="AD60">
            <v>331</v>
          </cell>
          <cell r="AE60">
            <v>5</v>
          </cell>
          <cell r="AF60">
            <v>417</v>
          </cell>
          <cell r="AG60">
            <v>3</v>
          </cell>
          <cell r="AH60">
            <v>419</v>
          </cell>
          <cell r="AI60">
            <v>2</v>
          </cell>
          <cell r="AJ60">
            <v>110</v>
          </cell>
          <cell r="AK60">
            <v>0</v>
          </cell>
          <cell r="AL60">
            <v>0</v>
          </cell>
          <cell r="AM60">
            <v>1</v>
          </cell>
          <cell r="AN60">
            <v>59</v>
          </cell>
          <cell r="AO60">
            <v>1</v>
          </cell>
          <cell r="AP60">
            <v>80</v>
          </cell>
          <cell r="AQ60">
            <v>1</v>
          </cell>
          <cell r="AR60">
            <v>339</v>
          </cell>
          <cell r="AS60">
            <v>1</v>
          </cell>
          <cell r="AT60">
            <v>67</v>
          </cell>
          <cell r="AU60">
            <v>0</v>
          </cell>
          <cell r="AV60">
            <v>0</v>
          </cell>
          <cell r="AW60">
            <v>2</v>
          </cell>
          <cell r="AX60">
            <v>585</v>
          </cell>
          <cell r="AY60">
            <v>3</v>
          </cell>
          <cell r="AZ60">
            <v>1069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2</v>
          </cell>
          <cell r="BF60">
            <v>190</v>
          </cell>
          <cell r="BG60">
            <v>5</v>
          </cell>
          <cell r="BH60">
            <v>628</v>
          </cell>
          <cell r="BI60">
            <v>8</v>
          </cell>
          <cell r="BJ60">
            <v>1458</v>
          </cell>
          <cell r="BK60">
            <v>1</v>
          </cell>
          <cell r="BL60">
            <v>202</v>
          </cell>
          <cell r="BM60">
            <v>1</v>
          </cell>
          <cell r="BN60">
            <v>100</v>
          </cell>
          <cell r="BO60">
            <v>0</v>
          </cell>
          <cell r="BP60">
            <v>0</v>
          </cell>
          <cell r="BQ60">
            <v>4</v>
          </cell>
          <cell r="BR60">
            <v>331</v>
          </cell>
          <cell r="BS60">
            <v>5</v>
          </cell>
          <cell r="BT60">
            <v>417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1</v>
          </cell>
          <cell r="BZ60">
            <v>59</v>
          </cell>
          <cell r="CA60">
            <v>0</v>
          </cell>
          <cell r="CB60">
            <v>0</v>
          </cell>
          <cell r="CC60">
            <v>1</v>
          </cell>
          <cell r="CD60">
            <v>67</v>
          </cell>
          <cell r="CE60">
            <v>0</v>
          </cell>
          <cell r="CF60">
            <v>0</v>
          </cell>
          <cell r="CG60">
            <v>1</v>
          </cell>
          <cell r="CH60">
            <v>385</v>
          </cell>
          <cell r="CI60" t="str">
            <v>CHICAGO, IL</v>
          </cell>
        </row>
        <row r="61">
          <cell r="B61" t="str">
            <v>DALLAS, TX</v>
          </cell>
          <cell r="C61">
            <v>3</v>
          </cell>
          <cell r="D61">
            <v>985</v>
          </cell>
          <cell r="E61">
            <v>1</v>
          </cell>
          <cell r="F61">
            <v>258</v>
          </cell>
          <cell r="G61">
            <v>0</v>
          </cell>
          <cell r="H61">
            <v>0</v>
          </cell>
          <cell r="I61">
            <v>3</v>
          </cell>
          <cell r="J61">
            <v>950</v>
          </cell>
          <cell r="K61">
            <v>2</v>
          </cell>
          <cell r="L61">
            <v>221</v>
          </cell>
          <cell r="M61">
            <v>2</v>
          </cell>
          <cell r="N61">
            <v>303</v>
          </cell>
          <cell r="O61">
            <v>3</v>
          </cell>
          <cell r="P61">
            <v>364</v>
          </cell>
          <cell r="Q61">
            <v>1</v>
          </cell>
          <cell r="R61">
            <v>102</v>
          </cell>
          <cell r="S61">
            <v>1</v>
          </cell>
          <cell r="T61">
            <v>65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5</v>
          </cell>
          <cell r="AB61">
            <v>437</v>
          </cell>
          <cell r="AC61">
            <v>2</v>
          </cell>
          <cell r="AD61">
            <v>243</v>
          </cell>
          <cell r="AE61">
            <v>5</v>
          </cell>
          <cell r="AF61">
            <v>396</v>
          </cell>
          <cell r="AG61">
            <v>1</v>
          </cell>
          <cell r="AH61">
            <v>100</v>
          </cell>
          <cell r="AI61">
            <v>6</v>
          </cell>
          <cell r="AJ61">
            <v>446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2</v>
          </cell>
          <cell r="AP61">
            <v>160</v>
          </cell>
          <cell r="AQ61">
            <v>0</v>
          </cell>
          <cell r="AR61">
            <v>0</v>
          </cell>
          <cell r="AS61">
            <v>1</v>
          </cell>
          <cell r="AT61">
            <v>148</v>
          </cell>
          <cell r="AU61">
            <v>0</v>
          </cell>
          <cell r="AV61">
            <v>0</v>
          </cell>
          <cell r="AW61">
            <v>2</v>
          </cell>
          <cell r="AX61">
            <v>600</v>
          </cell>
          <cell r="AY61">
            <v>1</v>
          </cell>
          <cell r="AZ61">
            <v>258</v>
          </cell>
          <cell r="BA61">
            <v>0</v>
          </cell>
          <cell r="BB61">
            <v>0</v>
          </cell>
          <cell r="BC61">
            <v>3</v>
          </cell>
          <cell r="BD61">
            <v>950</v>
          </cell>
          <cell r="BE61">
            <v>2</v>
          </cell>
          <cell r="BF61">
            <v>303</v>
          </cell>
          <cell r="BG61">
            <v>3</v>
          </cell>
          <cell r="BH61">
            <v>364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2</v>
          </cell>
          <cell r="BR61">
            <v>243</v>
          </cell>
          <cell r="BS61">
            <v>5</v>
          </cell>
          <cell r="BT61">
            <v>396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1</v>
          </cell>
          <cell r="CD61">
            <v>148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 t="str">
            <v>DALLAS, TX</v>
          </cell>
        </row>
        <row r="62">
          <cell r="B62" t="str">
            <v>DENVER, CO</v>
          </cell>
          <cell r="C62">
            <v>0</v>
          </cell>
          <cell r="D62">
            <v>0</v>
          </cell>
          <cell r="E62">
            <v>1</v>
          </cell>
          <cell r="F62">
            <v>232</v>
          </cell>
          <cell r="G62">
            <v>2</v>
          </cell>
          <cell r="H62">
            <v>453</v>
          </cell>
          <cell r="I62">
            <v>3</v>
          </cell>
          <cell r="J62">
            <v>1925</v>
          </cell>
          <cell r="K62">
            <v>0</v>
          </cell>
          <cell r="L62">
            <v>0</v>
          </cell>
          <cell r="M62">
            <v>1</v>
          </cell>
          <cell r="N62">
            <v>164</v>
          </cell>
          <cell r="O62">
            <v>2</v>
          </cell>
          <cell r="P62">
            <v>243</v>
          </cell>
          <cell r="Q62">
            <v>0</v>
          </cell>
          <cell r="R62">
            <v>0</v>
          </cell>
          <cell r="S62">
            <v>1</v>
          </cell>
          <cell r="T62">
            <v>68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1</v>
          </cell>
          <cell r="Z62">
            <v>150</v>
          </cell>
          <cell r="AA62">
            <v>4</v>
          </cell>
          <cell r="AB62">
            <v>325</v>
          </cell>
          <cell r="AC62">
            <v>0</v>
          </cell>
          <cell r="AD62">
            <v>0</v>
          </cell>
          <cell r="AE62">
            <v>4</v>
          </cell>
          <cell r="AF62">
            <v>422</v>
          </cell>
          <cell r="AG62">
            <v>4</v>
          </cell>
          <cell r="AH62">
            <v>482</v>
          </cell>
          <cell r="AI62">
            <v>0</v>
          </cell>
          <cell r="AJ62">
            <v>0</v>
          </cell>
          <cell r="AK62">
            <v>1</v>
          </cell>
          <cell r="AL62">
            <v>74</v>
          </cell>
          <cell r="AM62">
            <v>3</v>
          </cell>
          <cell r="AN62">
            <v>326</v>
          </cell>
          <cell r="AO62">
            <v>3</v>
          </cell>
          <cell r="AP62">
            <v>303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1</v>
          </cell>
          <cell r="AZ62">
            <v>232</v>
          </cell>
          <cell r="BA62">
            <v>2</v>
          </cell>
          <cell r="BB62">
            <v>453</v>
          </cell>
          <cell r="BC62">
            <v>3</v>
          </cell>
          <cell r="BD62">
            <v>1925</v>
          </cell>
          <cell r="BE62">
            <v>1</v>
          </cell>
          <cell r="BF62">
            <v>164</v>
          </cell>
          <cell r="BG62">
            <v>2</v>
          </cell>
          <cell r="BH62">
            <v>243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3</v>
          </cell>
          <cell r="BT62">
            <v>322</v>
          </cell>
          <cell r="BU62">
            <v>1</v>
          </cell>
          <cell r="BV62">
            <v>180</v>
          </cell>
          <cell r="BW62">
            <v>1</v>
          </cell>
          <cell r="BX62">
            <v>74</v>
          </cell>
          <cell r="BY62">
            <v>3</v>
          </cell>
          <cell r="BZ62">
            <v>326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 t="str">
            <v>DENVER, CO</v>
          </cell>
        </row>
        <row r="63">
          <cell r="B63" t="str">
            <v>DETROIT, MI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1</v>
          </cell>
          <cell r="H63">
            <v>404</v>
          </cell>
          <cell r="I63">
            <v>1</v>
          </cell>
          <cell r="J63">
            <v>250</v>
          </cell>
          <cell r="K63">
            <v>1</v>
          </cell>
          <cell r="L63">
            <v>124</v>
          </cell>
          <cell r="M63">
            <v>3</v>
          </cell>
          <cell r="N63">
            <v>319</v>
          </cell>
          <cell r="O63">
            <v>2</v>
          </cell>
          <cell r="P63">
            <v>168</v>
          </cell>
          <cell r="Q63">
            <v>6</v>
          </cell>
          <cell r="R63">
            <v>688</v>
          </cell>
          <cell r="S63">
            <v>1</v>
          </cell>
          <cell r="T63">
            <v>90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1</v>
          </cell>
          <cell r="Z63">
            <v>100</v>
          </cell>
          <cell r="AA63">
            <v>8</v>
          </cell>
          <cell r="AB63">
            <v>736</v>
          </cell>
          <cell r="AC63">
            <v>2</v>
          </cell>
          <cell r="AD63">
            <v>165</v>
          </cell>
          <cell r="AE63">
            <v>7</v>
          </cell>
          <cell r="AF63">
            <v>602</v>
          </cell>
          <cell r="AG63">
            <v>3</v>
          </cell>
          <cell r="AH63">
            <v>252</v>
          </cell>
          <cell r="AI63">
            <v>3</v>
          </cell>
          <cell r="AJ63">
            <v>264</v>
          </cell>
          <cell r="AK63">
            <v>0</v>
          </cell>
          <cell r="AL63">
            <v>0</v>
          </cell>
          <cell r="AM63">
            <v>1</v>
          </cell>
          <cell r="AN63">
            <v>80</v>
          </cell>
          <cell r="AO63">
            <v>1</v>
          </cell>
          <cell r="AP63">
            <v>66</v>
          </cell>
          <cell r="AQ63">
            <v>1</v>
          </cell>
          <cell r="AR63">
            <v>77</v>
          </cell>
          <cell r="AS63">
            <v>1</v>
          </cell>
          <cell r="AT63">
            <v>8</v>
          </cell>
          <cell r="AU63">
            <v>0</v>
          </cell>
          <cell r="AV63">
            <v>0</v>
          </cell>
          <cell r="AW63">
            <v>1</v>
          </cell>
          <cell r="AX63">
            <v>100</v>
          </cell>
          <cell r="AY63">
            <v>0</v>
          </cell>
          <cell r="AZ63">
            <v>0</v>
          </cell>
          <cell r="BA63">
            <v>1</v>
          </cell>
          <cell r="BB63">
            <v>404</v>
          </cell>
          <cell r="BC63">
            <v>0</v>
          </cell>
          <cell r="BD63">
            <v>0</v>
          </cell>
          <cell r="BE63">
            <v>3</v>
          </cell>
          <cell r="BF63">
            <v>319</v>
          </cell>
          <cell r="BG63">
            <v>2</v>
          </cell>
          <cell r="BH63">
            <v>168</v>
          </cell>
          <cell r="BI63">
            <v>4</v>
          </cell>
          <cell r="BJ63">
            <v>502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2</v>
          </cell>
          <cell r="BR63">
            <v>165</v>
          </cell>
          <cell r="BS63">
            <v>7</v>
          </cell>
          <cell r="BT63">
            <v>602</v>
          </cell>
          <cell r="BU63">
            <v>3</v>
          </cell>
          <cell r="BV63">
            <v>252</v>
          </cell>
          <cell r="BW63">
            <v>0</v>
          </cell>
          <cell r="BX63">
            <v>0</v>
          </cell>
          <cell r="BY63">
            <v>1</v>
          </cell>
          <cell r="BZ63">
            <v>80</v>
          </cell>
          <cell r="CA63">
            <v>0</v>
          </cell>
          <cell r="CB63">
            <v>0</v>
          </cell>
          <cell r="CC63">
            <v>1</v>
          </cell>
          <cell r="CD63">
            <v>8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 t="str">
            <v>DETROIT, MI</v>
          </cell>
        </row>
        <row r="64">
          <cell r="B64" t="str">
            <v>HOUSTON, TX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1</v>
          </cell>
          <cell r="H64">
            <v>345</v>
          </cell>
          <cell r="I64">
            <v>3</v>
          </cell>
          <cell r="J64">
            <v>1792</v>
          </cell>
          <cell r="K64">
            <v>4</v>
          </cell>
          <cell r="L64">
            <v>545</v>
          </cell>
          <cell r="M64">
            <v>5</v>
          </cell>
          <cell r="N64">
            <v>725</v>
          </cell>
          <cell r="O64">
            <v>3</v>
          </cell>
          <cell r="P64">
            <v>189</v>
          </cell>
          <cell r="Q64">
            <v>1</v>
          </cell>
          <cell r="R64">
            <v>122</v>
          </cell>
          <cell r="S64">
            <v>2</v>
          </cell>
          <cell r="T64">
            <v>134</v>
          </cell>
          <cell r="U64">
            <v>2</v>
          </cell>
          <cell r="V64">
            <v>151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9</v>
          </cell>
          <cell r="AB64">
            <v>625</v>
          </cell>
          <cell r="AC64">
            <v>3</v>
          </cell>
          <cell r="AD64">
            <v>170</v>
          </cell>
          <cell r="AE64">
            <v>2</v>
          </cell>
          <cell r="AF64">
            <v>128</v>
          </cell>
          <cell r="AG64">
            <v>6</v>
          </cell>
          <cell r="AH64">
            <v>550</v>
          </cell>
          <cell r="AI64">
            <v>11</v>
          </cell>
          <cell r="AJ64">
            <v>688</v>
          </cell>
          <cell r="AK64">
            <v>3</v>
          </cell>
          <cell r="AL64">
            <v>124</v>
          </cell>
          <cell r="AM64">
            <v>3</v>
          </cell>
          <cell r="AN64">
            <v>172</v>
          </cell>
          <cell r="AO64">
            <v>3</v>
          </cell>
          <cell r="AP64">
            <v>375</v>
          </cell>
          <cell r="AQ64">
            <v>0</v>
          </cell>
          <cell r="AR64">
            <v>0</v>
          </cell>
          <cell r="AS64">
            <v>2</v>
          </cell>
          <cell r="AT64">
            <v>327</v>
          </cell>
          <cell r="AU64">
            <v>3</v>
          </cell>
          <cell r="AV64">
            <v>520</v>
          </cell>
          <cell r="AW64">
            <v>2</v>
          </cell>
          <cell r="AX64">
            <v>300</v>
          </cell>
          <cell r="AY64">
            <v>0</v>
          </cell>
          <cell r="AZ64">
            <v>0</v>
          </cell>
          <cell r="BA64">
            <v>1</v>
          </cell>
          <cell r="BB64">
            <v>345</v>
          </cell>
          <cell r="BC64">
            <v>2</v>
          </cell>
          <cell r="BD64">
            <v>1501</v>
          </cell>
          <cell r="BE64">
            <v>5</v>
          </cell>
          <cell r="BF64">
            <v>725</v>
          </cell>
          <cell r="BG64">
            <v>3</v>
          </cell>
          <cell r="BH64">
            <v>189</v>
          </cell>
          <cell r="BI64">
            <v>1</v>
          </cell>
          <cell r="BJ64">
            <v>122</v>
          </cell>
          <cell r="BK64">
            <v>2</v>
          </cell>
          <cell r="BL64">
            <v>151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3</v>
          </cell>
          <cell r="BR64">
            <v>170</v>
          </cell>
          <cell r="BS64">
            <v>2</v>
          </cell>
          <cell r="BT64">
            <v>128</v>
          </cell>
          <cell r="BU64">
            <v>0</v>
          </cell>
          <cell r="BV64">
            <v>0</v>
          </cell>
          <cell r="BW64">
            <v>3</v>
          </cell>
          <cell r="BX64">
            <v>124</v>
          </cell>
          <cell r="BY64">
            <v>3</v>
          </cell>
          <cell r="BZ64">
            <v>172</v>
          </cell>
          <cell r="CA64">
            <v>0</v>
          </cell>
          <cell r="CB64">
            <v>0</v>
          </cell>
          <cell r="CC64">
            <v>2</v>
          </cell>
          <cell r="CD64">
            <v>327</v>
          </cell>
          <cell r="CE64">
            <v>3</v>
          </cell>
          <cell r="CF64">
            <v>520</v>
          </cell>
          <cell r="CG64">
            <v>0</v>
          </cell>
          <cell r="CH64">
            <v>0</v>
          </cell>
          <cell r="CI64" t="str">
            <v>HOUSTON, TX</v>
          </cell>
        </row>
        <row r="65">
          <cell r="B65" t="str">
            <v>LAS VEGAS, NV</v>
          </cell>
          <cell r="C65">
            <v>0</v>
          </cell>
          <cell r="D65">
            <v>0</v>
          </cell>
          <cell r="E65">
            <v>1</v>
          </cell>
          <cell r="F65">
            <v>350</v>
          </cell>
          <cell r="G65">
            <v>0</v>
          </cell>
          <cell r="H65">
            <v>0</v>
          </cell>
          <cell r="I65">
            <v>1</v>
          </cell>
          <cell r="J65">
            <v>463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2</v>
          </cell>
          <cell r="P65">
            <v>269</v>
          </cell>
          <cell r="Q65">
            <v>2</v>
          </cell>
          <cell r="R65">
            <v>242</v>
          </cell>
          <cell r="S65">
            <v>0</v>
          </cell>
          <cell r="T65">
            <v>0</v>
          </cell>
          <cell r="U65">
            <v>1</v>
          </cell>
          <cell r="V65">
            <v>128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3</v>
          </cell>
          <cell r="AB65">
            <v>288</v>
          </cell>
          <cell r="AC65">
            <v>0</v>
          </cell>
          <cell r="AD65">
            <v>0</v>
          </cell>
          <cell r="AE65">
            <v>2</v>
          </cell>
          <cell r="AF65">
            <v>281</v>
          </cell>
          <cell r="AG65">
            <v>3</v>
          </cell>
          <cell r="AH65">
            <v>350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2</v>
          </cell>
          <cell r="AP65">
            <v>360</v>
          </cell>
          <cell r="AQ65">
            <v>3</v>
          </cell>
          <cell r="AR65">
            <v>1674</v>
          </cell>
          <cell r="AS65">
            <v>3</v>
          </cell>
          <cell r="AT65">
            <v>653</v>
          </cell>
          <cell r="AU65">
            <v>0</v>
          </cell>
          <cell r="AV65">
            <v>0</v>
          </cell>
          <cell r="AW65">
            <v>3</v>
          </cell>
          <cell r="AX65">
            <v>4705</v>
          </cell>
          <cell r="AY65">
            <v>1</v>
          </cell>
          <cell r="AZ65">
            <v>350</v>
          </cell>
          <cell r="BA65">
            <v>0</v>
          </cell>
          <cell r="BB65">
            <v>0</v>
          </cell>
          <cell r="BC65">
            <v>1</v>
          </cell>
          <cell r="BD65">
            <v>463</v>
          </cell>
          <cell r="BE65">
            <v>0</v>
          </cell>
          <cell r="BF65">
            <v>0</v>
          </cell>
          <cell r="BG65">
            <v>2</v>
          </cell>
          <cell r="BH65">
            <v>269</v>
          </cell>
          <cell r="BI65">
            <v>1</v>
          </cell>
          <cell r="BJ65">
            <v>160</v>
          </cell>
          <cell r="BK65">
            <v>1</v>
          </cell>
          <cell r="BL65">
            <v>128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2</v>
          </cell>
          <cell r="BT65">
            <v>281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3</v>
          </cell>
          <cell r="CD65">
            <v>653</v>
          </cell>
          <cell r="CE65">
            <v>0</v>
          </cell>
          <cell r="CF65">
            <v>0</v>
          </cell>
          <cell r="CG65">
            <v>1</v>
          </cell>
          <cell r="CH65">
            <v>2455</v>
          </cell>
          <cell r="CI65" t="str">
            <v>LAS VEGAS, NV</v>
          </cell>
        </row>
        <row r="66">
          <cell r="B66" t="str">
            <v>LOS ANGELES-LONG BEACH, CA</v>
          </cell>
          <cell r="C66">
            <v>1</v>
          </cell>
          <cell r="D66">
            <v>240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3</v>
          </cell>
          <cell r="J66">
            <v>887</v>
          </cell>
          <cell r="K66">
            <v>4</v>
          </cell>
          <cell r="L66">
            <v>598</v>
          </cell>
          <cell r="M66">
            <v>4</v>
          </cell>
          <cell r="N66">
            <v>506</v>
          </cell>
          <cell r="O66">
            <v>0</v>
          </cell>
          <cell r="P66">
            <v>0</v>
          </cell>
          <cell r="Q66">
            <v>2</v>
          </cell>
          <cell r="R66">
            <v>445</v>
          </cell>
          <cell r="S66">
            <v>1</v>
          </cell>
          <cell r="T66">
            <v>105</v>
          </cell>
          <cell r="U66">
            <v>0</v>
          </cell>
          <cell r="V66">
            <v>0</v>
          </cell>
          <cell r="W66">
            <v>2</v>
          </cell>
          <cell r="X66">
            <v>274</v>
          </cell>
          <cell r="Y66">
            <v>1</v>
          </cell>
          <cell r="Z66">
            <v>69</v>
          </cell>
          <cell r="AA66">
            <v>3</v>
          </cell>
          <cell r="AB66">
            <v>271</v>
          </cell>
          <cell r="AC66">
            <v>3</v>
          </cell>
          <cell r="AD66">
            <v>283</v>
          </cell>
          <cell r="AE66">
            <v>0</v>
          </cell>
          <cell r="AF66">
            <v>0</v>
          </cell>
          <cell r="AG66">
            <v>2</v>
          </cell>
          <cell r="AH66">
            <v>400</v>
          </cell>
          <cell r="AI66">
            <v>1</v>
          </cell>
          <cell r="AJ66">
            <v>30</v>
          </cell>
          <cell r="AK66">
            <v>0</v>
          </cell>
          <cell r="AL66">
            <v>0</v>
          </cell>
          <cell r="AM66">
            <v>1</v>
          </cell>
          <cell r="AN66">
            <v>50</v>
          </cell>
          <cell r="AO66">
            <v>1</v>
          </cell>
          <cell r="AP66">
            <v>250</v>
          </cell>
          <cell r="AQ66">
            <v>0</v>
          </cell>
          <cell r="AR66">
            <v>0</v>
          </cell>
          <cell r="AS66">
            <v>1</v>
          </cell>
          <cell r="AT66">
            <v>207</v>
          </cell>
          <cell r="AU66">
            <v>1</v>
          </cell>
          <cell r="AV66">
            <v>162</v>
          </cell>
          <cell r="AW66">
            <v>4</v>
          </cell>
          <cell r="AX66">
            <v>1058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2</v>
          </cell>
          <cell r="BD66">
            <v>457</v>
          </cell>
          <cell r="BE66">
            <v>4</v>
          </cell>
          <cell r="BF66">
            <v>506</v>
          </cell>
          <cell r="BG66">
            <v>0</v>
          </cell>
          <cell r="BH66">
            <v>0</v>
          </cell>
          <cell r="BI66">
            <v>1</v>
          </cell>
          <cell r="BJ66">
            <v>253</v>
          </cell>
          <cell r="BK66">
            <v>0</v>
          </cell>
          <cell r="BL66">
            <v>0</v>
          </cell>
          <cell r="BM66">
            <v>2</v>
          </cell>
          <cell r="BN66">
            <v>274</v>
          </cell>
          <cell r="BO66">
            <v>0</v>
          </cell>
          <cell r="BP66">
            <v>0</v>
          </cell>
          <cell r="BQ66">
            <v>3</v>
          </cell>
          <cell r="BR66">
            <v>283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1</v>
          </cell>
          <cell r="BZ66">
            <v>50</v>
          </cell>
          <cell r="CA66">
            <v>0</v>
          </cell>
          <cell r="CB66">
            <v>0</v>
          </cell>
          <cell r="CC66">
            <v>1</v>
          </cell>
          <cell r="CD66">
            <v>207</v>
          </cell>
          <cell r="CE66">
            <v>1</v>
          </cell>
          <cell r="CF66">
            <v>162</v>
          </cell>
          <cell r="CG66">
            <v>4</v>
          </cell>
          <cell r="CH66">
            <v>1058</v>
          </cell>
          <cell r="CI66" t="str">
            <v>LOS ANGELES-LONG BEACH, CA</v>
          </cell>
        </row>
        <row r="67">
          <cell r="B67" t="str">
            <v>MIAMI-HIALEAH, FL</v>
          </cell>
          <cell r="C67">
            <v>1</v>
          </cell>
          <cell r="D67">
            <v>490</v>
          </cell>
          <cell r="E67">
            <v>3</v>
          </cell>
          <cell r="F67">
            <v>711</v>
          </cell>
          <cell r="G67">
            <v>1</v>
          </cell>
          <cell r="H67">
            <v>118</v>
          </cell>
          <cell r="I67">
            <v>1</v>
          </cell>
          <cell r="J67">
            <v>152</v>
          </cell>
          <cell r="K67">
            <v>0</v>
          </cell>
          <cell r="L67">
            <v>0</v>
          </cell>
          <cell r="M67">
            <v>5</v>
          </cell>
          <cell r="N67">
            <v>1010</v>
          </cell>
          <cell r="O67">
            <v>3</v>
          </cell>
          <cell r="P67">
            <v>398</v>
          </cell>
          <cell r="Q67">
            <v>4</v>
          </cell>
          <cell r="R67">
            <v>570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1</v>
          </cell>
          <cell r="Z67">
            <v>100</v>
          </cell>
          <cell r="AA67">
            <v>1</v>
          </cell>
          <cell r="AB67">
            <v>131</v>
          </cell>
          <cell r="AC67">
            <v>0</v>
          </cell>
          <cell r="AD67">
            <v>0</v>
          </cell>
          <cell r="AE67">
            <v>1</v>
          </cell>
          <cell r="AF67">
            <v>96</v>
          </cell>
          <cell r="AG67">
            <v>2</v>
          </cell>
          <cell r="AH67">
            <v>300</v>
          </cell>
          <cell r="AI67">
            <v>3</v>
          </cell>
          <cell r="AJ67">
            <v>312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1</v>
          </cell>
          <cell r="AP67">
            <v>162</v>
          </cell>
          <cell r="AQ67">
            <v>2</v>
          </cell>
          <cell r="AR67">
            <v>528</v>
          </cell>
          <cell r="AS67">
            <v>3</v>
          </cell>
          <cell r="AT67">
            <v>614</v>
          </cell>
          <cell r="AU67">
            <v>3</v>
          </cell>
          <cell r="AV67">
            <v>394</v>
          </cell>
          <cell r="AW67">
            <v>3</v>
          </cell>
          <cell r="AX67">
            <v>257</v>
          </cell>
          <cell r="AY67">
            <v>3</v>
          </cell>
          <cell r="AZ67">
            <v>711</v>
          </cell>
          <cell r="BA67">
            <v>1</v>
          </cell>
          <cell r="BB67">
            <v>118</v>
          </cell>
          <cell r="BC67">
            <v>1</v>
          </cell>
          <cell r="BD67">
            <v>152</v>
          </cell>
          <cell r="BE67">
            <v>5</v>
          </cell>
          <cell r="BF67">
            <v>1010</v>
          </cell>
          <cell r="BG67">
            <v>3</v>
          </cell>
          <cell r="BH67">
            <v>398</v>
          </cell>
          <cell r="BI67">
            <v>1</v>
          </cell>
          <cell r="BJ67">
            <v>159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1</v>
          </cell>
          <cell r="BP67">
            <v>100</v>
          </cell>
          <cell r="BQ67">
            <v>0</v>
          </cell>
          <cell r="BR67">
            <v>0</v>
          </cell>
          <cell r="BS67">
            <v>1</v>
          </cell>
          <cell r="BT67">
            <v>96</v>
          </cell>
          <cell r="BU67">
            <v>1</v>
          </cell>
          <cell r="BV67">
            <v>100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1</v>
          </cell>
          <cell r="CB67">
            <v>162</v>
          </cell>
          <cell r="CC67">
            <v>3</v>
          </cell>
          <cell r="CD67">
            <v>614</v>
          </cell>
          <cell r="CE67">
            <v>3</v>
          </cell>
          <cell r="CF67">
            <v>394</v>
          </cell>
          <cell r="CG67">
            <v>1</v>
          </cell>
          <cell r="CH67">
            <v>80</v>
          </cell>
          <cell r="CI67" t="str">
            <v>MIAMI-HIALEAH, FL</v>
          </cell>
        </row>
        <row r="68">
          <cell r="B68" t="str">
            <v>MINNEAPOLIS-SAINT PAUL, MN-WI</v>
          </cell>
          <cell r="C68">
            <v>0</v>
          </cell>
          <cell r="D68">
            <v>0</v>
          </cell>
          <cell r="E68">
            <v>1</v>
          </cell>
          <cell r="F68">
            <v>256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4</v>
          </cell>
          <cell r="L68">
            <v>594</v>
          </cell>
          <cell r="M68">
            <v>2</v>
          </cell>
          <cell r="N68">
            <v>224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2</v>
          </cell>
          <cell r="X68">
            <v>240</v>
          </cell>
          <cell r="Y68">
            <v>0</v>
          </cell>
          <cell r="Z68">
            <v>0</v>
          </cell>
          <cell r="AA68">
            <v>2</v>
          </cell>
          <cell r="AB68">
            <v>233</v>
          </cell>
          <cell r="AC68">
            <v>2</v>
          </cell>
          <cell r="AD68">
            <v>169</v>
          </cell>
          <cell r="AE68">
            <v>0</v>
          </cell>
          <cell r="AF68">
            <v>0</v>
          </cell>
          <cell r="AG68">
            <v>1</v>
          </cell>
          <cell r="AH68">
            <v>100</v>
          </cell>
          <cell r="AI68">
            <v>3</v>
          </cell>
          <cell r="AJ68">
            <v>225</v>
          </cell>
          <cell r="AK68">
            <v>2</v>
          </cell>
          <cell r="AL68">
            <v>136</v>
          </cell>
          <cell r="AM68">
            <v>1</v>
          </cell>
          <cell r="AN68">
            <v>20</v>
          </cell>
          <cell r="AO68">
            <v>5</v>
          </cell>
          <cell r="AP68">
            <v>404</v>
          </cell>
          <cell r="AQ68">
            <v>0</v>
          </cell>
          <cell r="AR68">
            <v>0</v>
          </cell>
          <cell r="AS68">
            <v>1</v>
          </cell>
          <cell r="AT68">
            <v>120</v>
          </cell>
          <cell r="AU68">
            <v>0</v>
          </cell>
          <cell r="AV68">
            <v>0</v>
          </cell>
          <cell r="AW68">
            <v>1</v>
          </cell>
          <cell r="AX68">
            <v>400</v>
          </cell>
          <cell r="AY68">
            <v>1</v>
          </cell>
          <cell r="AZ68">
            <v>256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2</v>
          </cell>
          <cell r="BF68">
            <v>224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2</v>
          </cell>
          <cell r="BN68">
            <v>240</v>
          </cell>
          <cell r="BO68">
            <v>0</v>
          </cell>
          <cell r="BP68">
            <v>0</v>
          </cell>
          <cell r="BQ68">
            <v>2</v>
          </cell>
          <cell r="BR68">
            <v>169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2</v>
          </cell>
          <cell r="BX68">
            <v>136</v>
          </cell>
          <cell r="BY68">
            <v>1</v>
          </cell>
          <cell r="BZ68">
            <v>20</v>
          </cell>
          <cell r="CA68">
            <v>2</v>
          </cell>
          <cell r="CB68">
            <v>208</v>
          </cell>
          <cell r="CC68">
            <v>1</v>
          </cell>
          <cell r="CD68">
            <v>120</v>
          </cell>
          <cell r="CE68">
            <v>0</v>
          </cell>
          <cell r="CF68">
            <v>0</v>
          </cell>
          <cell r="CG68">
            <v>1</v>
          </cell>
          <cell r="CH68">
            <v>400</v>
          </cell>
          <cell r="CI68" t="str">
            <v>MINNEAPOLIS-SAINT PAUL, MN-WI</v>
          </cell>
        </row>
        <row r="69">
          <cell r="B69" t="str">
            <v>NASHVILLE, TN</v>
          </cell>
          <cell r="C69">
            <v>3</v>
          </cell>
          <cell r="D69">
            <v>762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  <cell r="L69">
            <v>110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6</v>
          </cell>
          <cell r="AB69">
            <v>522</v>
          </cell>
          <cell r="AC69">
            <v>2</v>
          </cell>
          <cell r="AD69">
            <v>187</v>
          </cell>
          <cell r="AE69">
            <v>1</v>
          </cell>
          <cell r="AF69">
            <v>59</v>
          </cell>
          <cell r="AG69">
            <v>3</v>
          </cell>
          <cell r="AH69">
            <v>300</v>
          </cell>
          <cell r="AI69">
            <v>0</v>
          </cell>
          <cell r="AJ69">
            <v>0</v>
          </cell>
          <cell r="AK69">
            <v>2</v>
          </cell>
          <cell r="AL69">
            <v>169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2</v>
          </cell>
          <cell r="BR69">
            <v>187</v>
          </cell>
          <cell r="BS69">
            <v>1</v>
          </cell>
          <cell r="BT69">
            <v>59</v>
          </cell>
          <cell r="BU69">
            <v>1</v>
          </cell>
          <cell r="BV69">
            <v>100</v>
          </cell>
          <cell r="BW69">
            <v>2</v>
          </cell>
          <cell r="BX69">
            <v>169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 t="str">
            <v>NASHVILLE, TN</v>
          </cell>
        </row>
        <row r="70">
          <cell r="B70" t="str">
            <v>NEW ORLEANS, LA</v>
          </cell>
          <cell r="C70">
            <v>1</v>
          </cell>
          <cell r="D70">
            <v>280</v>
          </cell>
          <cell r="E70">
            <v>1</v>
          </cell>
          <cell r="F70">
            <v>182</v>
          </cell>
          <cell r="G70">
            <v>0</v>
          </cell>
          <cell r="H70">
            <v>0</v>
          </cell>
          <cell r="I70">
            <v>3</v>
          </cell>
          <cell r="J70">
            <v>901</v>
          </cell>
          <cell r="K70">
            <v>1</v>
          </cell>
          <cell r="L70">
            <v>208</v>
          </cell>
          <cell r="M70">
            <v>2</v>
          </cell>
          <cell r="N70">
            <v>682</v>
          </cell>
          <cell r="O70">
            <v>0</v>
          </cell>
          <cell r="P70">
            <v>0</v>
          </cell>
          <cell r="Q70">
            <v>1</v>
          </cell>
          <cell r="R70">
            <v>142</v>
          </cell>
          <cell r="S70">
            <v>3</v>
          </cell>
          <cell r="T70">
            <v>320</v>
          </cell>
          <cell r="U70">
            <v>2</v>
          </cell>
          <cell r="V70">
            <v>221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4</v>
          </cell>
          <cell r="AB70">
            <v>253</v>
          </cell>
          <cell r="AC70">
            <v>2</v>
          </cell>
          <cell r="AD70">
            <v>221</v>
          </cell>
          <cell r="AE70">
            <v>3</v>
          </cell>
          <cell r="AF70">
            <v>222</v>
          </cell>
          <cell r="AG70">
            <v>3</v>
          </cell>
          <cell r="AH70">
            <v>419</v>
          </cell>
          <cell r="AI70">
            <v>2</v>
          </cell>
          <cell r="AJ70">
            <v>181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3</v>
          </cell>
          <cell r="AP70">
            <v>315</v>
          </cell>
          <cell r="AQ70">
            <v>6</v>
          </cell>
          <cell r="AR70">
            <v>868</v>
          </cell>
          <cell r="AS70">
            <v>2</v>
          </cell>
          <cell r="AT70">
            <v>422</v>
          </cell>
          <cell r="AU70">
            <v>0</v>
          </cell>
          <cell r="AV70">
            <v>0</v>
          </cell>
          <cell r="AW70">
            <v>3</v>
          </cell>
          <cell r="AX70">
            <v>1100</v>
          </cell>
          <cell r="AY70">
            <v>1</v>
          </cell>
          <cell r="AZ70">
            <v>182</v>
          </cell>
          <cell r="BA70">
            <v>0</v>
          </cell>
          <cell r="BB70">
            <v>0</v>
          </cell>
          <cell r="BC70">
            <v>2</v>
          </cell>
          <cell r="BD70">
            <v>401</v>
          </cell>
          <cell r="BE70">
            <v>2</v>
          </cell>
          <cell r="BF70">
            <v>682</v>
          </cell>
          <cell r="BG70">
            <v>0</v>
          </cell>
          <cell r="BH70">
            <v>0</v>
          </cell>
          <cell r="BI70">
            <v>1</v>
          </cell>
          <cell r="BJ70">
            <v>142</v>
          </cell>
          <cell r="BK70">
            <v>2</v>
          </cell>
          <cell r="BL70">
            <v>221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2</v>
          </cell>
          <cell r="BR70">
            <v>221</v>
          </cell>
          <cell r="BS70">
            <v>3</v>
          </cell>
          <cell r="BT70">
            <v>222</v>
          </cell>
          <cell r="BU70">
            <v>1</v>
          </cell>
          <cell r="BV70">
            <v>185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2</v>
          </cell>
          <cell r="CD70">
            <v>422</v>
          </cell>
          <cell r="CE70">
            <v>0</v>
          </cell>
          <cell r="CF70">
            <v>0</v>
          </cell>
          <cell r="CG70">
            <v>2</v>
          </cell>
          <cell r="CH70">
            <v>925</v>
          </cell>
          <cell r="CI70" t="str">
            <v>NEW ORLEANS, LA</v>
          </cell>
        </row>
        <row r="71">
          <cell r="B71" t="str">
            <v>NEW YORK, NY</v>
          </cell>
          <cell r="C71">
            <v>1</v>
          </cell>
          <cell r="D71">
            <v>509</v>
          </cell>
          <cell r="E71">
            <v>0</v>
          </cell>
          <cell r="F71">
            <v>0</v>
          </cell>
          <cell r="G71">
            <v>1</v>
          </cell>
          <cell r="H71">
            <v>863</v>
          </cell>
          <cell r="I71">
            <v>2</v>
          </cell>
          <cell r="J71">
            <v>430</v>
          </cell>
          <cell r="K71">
            <v>2</v>
          </cell>
          <cell r="L71">
            <v>314</v>
          </cell>
          <cell r="M71">
            <v>0</v>
          </cell>
          <cell r="N71">
            <v>0</v>
          </cell>
          <cell r="O71">
            <v>2</v>
          </cell>
          <cell r="P71">
            <v>244</v>
          </cell>
          <cell r="Q71">
            <v>2</v>
          </cell>
          <cell r="R71">
            <v>560</v>
          </cell>
          <cell r="S71">
            <v>2</v>
          </cell>
          <cell r="T71">
            <v>327</v>
          </cell>
          <cell r="U71">
            <v>1</v>
          </cell>
          <cell r="V71">
            <v>59</v>
          </cell>
          <cell r="W71">
            <v>1</v>
          </cell>
          <cell r="X71">
            <v>158</v>
          </cell>
          <cell r="Y71">
            <v>2</v>
          </cell>
          <cell r="Z71">
            <v>276</v>
          </cell>
          <cell r="AA71">
            <v>5</v>
          </cell>
          <cell r="AB71">
            <v>549</v>
          </cell>
          <cell r="AC71">
            <v>2</v>
          </cell>
          <cell r="AD71">
            <v>274</v>
          </cell>
          <cell r="AE71">
            <v>1</v>
          </cell>
          <cell r="AF71">
            <v>90</v>
          </cell>
          <cell r="AG71">
            <v>5</v>
          </cell>
          <cell r="AH71">
            <v>552</v>
          </cell>
          <cell r="AI71">
            <v>2</v>
          </cell>
          <cell r="AJ71">
            <v>163</v>
          </cell>
          <cell r="AK71">
            <v>2</v>
          </cell>
          <cell r="AL71">
            <v>241</v>
          </cell>
          <cell r="AM71">
            <v>2</v>
          </cell>
          <cell r="AN71">
            <v>158</v>
          </cell>
          <cell r="AO71">
            <v>0</v>
          </cell>
          <cell r="AP71">
            <v>0</v>
          </cell>
          <cell r="AQ71">
            <v>4</v>
          </cell>
          <cell r="AR71">
            <v>415</v>
          </cell>
          <cell r="AS71">
            <v>0</v>
          </cell>
          <cell r="AT71">
            <v>0</v>
          </cell>
          <cell r="AU71">
            <v>3</v>
          </cell>
          <cell r="AV71">
            <v>591</v>
          </cell>
          <cell r="AW71">
            <v>4</v>
          </cell>
          <cell r="AX71">
            <v>504</v>
          </cell>
          <cell r="AY71">
            <v>0</v>
          </cell>
          <cell r="AZ71">
            <v>0</v>
          </cell>
          <cell r="BA71">
            <v>1</v>
          </cell>
          <cell r="BB71">
            <v>863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2</v>
          </cell>
          <cell r="BH71">
            <v>244</v>
          </cell>
          <cell r="BI71">
            <v>1</v>
          </cell>
          <cell r="BJ71">
            <v>140</v>
          </cell>
          <cell r="BK71">
            <v>1</v>
          </cell>
          <cell r="BL71">
            <v>59</v>
          </cell>
          <cell r="BM71">
            <v>1</v>
          </cell>
          <cell r="BN71">
            <v>158</v>
          </cell>
          <cell r="BO71">
            <v>0</v>
          </cell>
          <cell r="BP71">
            <v>0</v>
          </cell>
          <cell r="BQ71">
            <v>2</v>
          </cell>
          <cell r="BR71">
            <v>274</v>
          </cell>
          <cell r="BS71">
            <v>1</v>
          </cell>
          <cell r="BT71">
            <v>90</v>
          </cell>
          <cell r="BU71">
            <v>1</v>
          </cell>
          <cell r="BV71">
            <v>220</v>
          </cell>
          <cell r="BW71">
            <v>2</v>
          </cell>
          <cell r="BX71">
            <v>241</v>
          </cell>
          <cell r="BY71">
            <v>2</v>
          </cell>
          <cell r="BZ71">
            <v>158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3</v>
          </cell>
          <cell r="CF71">
            <v>591</v>
          </cell>
          <cell r="CG71">
            <v>0</v>
          </cell>
          <cell r="CH71">
            <v>0</v>
          </cell>
          <cell r="CI71" t="str">
            <v>NEW YORK, NY</v>
          </cell>
        </row>
        <row r="72">
          <cell r="B72" t="str">
            <v>NORFOLK-VIRGINIA BEACH, VA</v>
          </cell>
          <cell r="C72">
            <v>1</v>
          </cell>
          <cell r="D72">
            <v>250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300</v>
          </cell>
          <cell r="K72">
            <v>0</v>
          </cell>
          <cell r="L72">
            <v>0</v>
          </cell>
          <cell r="M72">
            <v>1</v>
          </cell>
          <cell r="N72">
            <v>140</v>
          </cell>
          <cell r="O72">
            <v>2</v>
          </cell>
          <cell r="P72">
            <v>250</v>
          </cell>
          <cell r="Q72">
            <v>1</v>
          </cell>
          <cell r="R72">
            <v>118</v>
          </cell>
          <cell r="S72">
            <v>2</v>
          </cell>
          <cell r="T72">
            <v>295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1</v>
          </cell>
          <cell r="AB72">
            <v>107</v>
          </cell>
          <cell r="AC72">
            <v>0</v>
          </cell>
          <cell r="AD72">
            <v>0</v>
          </cell>
          <cell r="AE72">
            <v>7</v>
          </cell>
          <cell r="AF72">
            <v>693</v>
          </cell>
          <cell r="AG72">
            <v>2</v>
          </cell>
          <cell r="AH72">
            <v>210</v>
          </cell>
          <cell r="AI72">
            <v>1</v>
          </cell>
          <cell r="AJ72">
            <v>91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1</v>
          </cell>
          <cell r="AR72">
            <v>300</v>
          </cell>
          <cell r="AS72">
            <v>1</v>
          </cell>
          <cell r="AT72">
            <v>86</v>
          </cell>
          <cell r="AU72">
            <v>0</v>
          </cell>
          <cell r="AV72">
            <v>0</v>
          </cell>
          <cell r="AW72">
            <v>2</v>
          </cell>
          <cell r="AX72">
            <v>360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1</v>
          </cell>
          <cell r="BF72">
            <v>140</v>
          </cell>
          <cell r="BG72">
            <v>2</v>
          </cell>
          <cell r="BH72">
            <v>250</v>
          </cell>
          <cell r="BI72">
            <v>1</v>
          </cell>
          <cell r="BJ72">
            <v>118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7</v>
          </cell>
          <cell r="BT72">
            <v>693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1</v>
          </cell>
          <cell r="CD72">
            <v>86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 t="str">
            <v>NORFOLK-VIRGINIA BEACH, VA</v>
          </cell>
        </row>
        <row r="73">
          <cell r="B73" t="str">
            <v>OAHU ISLAND</v>
          </cell>
          <cell r="C73">
            <v>1</v>
          </cell>
          <cell r="D73">
            <v>453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</v>
          </cell>
          <cell r="R73">
            <v>243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 t="str">
            <v>OAHU ISLAND</v>
          </cell>
        </row>
        <row r="74">
          <cell r="B74" t="str">
            <v>ORLANDO, FL</v>
          </cell>
          <cell r="C74">
            <v>2</v>
          </cell>
          <cell r="D74">
            <v>900</v>
          </cell>
          <cell r="E74">
            <v>1</v>
          </cell>
          <cell r="F74">
            <v>305</v>
          </cell>
          <cell r="G74">
            <v>1</v>
          </cell>
          <cell r="H74">
            <v>584</v>
          </cell>
          <cell r="I74">
            <v>8</v>
          </cell>
          <cell r="J74">
            <v>6962</v>
          </cell>
          <cell r="K74">
            <v>3</v>
          </cell>
          <cell r="L74">
            <v>565</v>
          </cell>
          <cell r="M74">
            <v>2</v>
          </cell>
          <cell r="N74">
            <v>494</v>
          </cell>
          <cell r="O74">
            <v>3</v>
          </cell>
          <cell r="P74">
            <v>345</v>
          </cell>
          <cell r="Q74">
            <v>1</v>
          </cell>
          <cell r="R74">
            <v>125</v>
          </cell>
          <cell r="S74">
            <v>1</v>
          </cell>
          <cell r="T74">
            <v>150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5</v>
          </cell>
          <cell r="AB74">
            <v>653</v>
          </cell>
          <cell r="AC74">
            <v>4</v>
          </cell>
          <cell r="AD74">
            <v>457</v>
          </cell>
          <cell r="AE74">
            <v>4</v>
          </cell>
          <cell r="AF74">
            <v>551</v>
          </cell>
          <cell r="AG74">
            <v>1</v>
          </cell>
          <cell r="AH74">
            <v>220</v>
          </cell>
          <cell r="AI74">
            <v>1</v>
          </cell>
          <cell r="AJ74">
            <v>83</v>
          </cell>
          <cell r="AK74">
            <v>0</v>
          </cell>
          <cell r="AL74">
            <v>0</v>
          </cell>
          <cell r="AM74">
            <v>1</v>
          </cell>
          <cell r="AN74">
            <v>149</v>
          </cell>
          <cell r="AO74">
            <v>8</v>
          </cell>
          <cell r="AP74">
            <v>1710</v>
          </cell>
          <cell r="AQ74">
            <v>1</v>
          </cell>
          <cell r="AR74">
            <v>1293</v>
          </cell>
          <cell r="AS74">
            <v>0</v>
          </cell>
          <cell r="AT74">
            <v>0</v>
          </cell>
          <cell r="AU74">
            <v>1</v>
          </cell>
          <cell r="AV74">
            <v>2880</v>
          </cell>
          <cell r="AW74">
            <v>7</v>
          </cell>
          <cell r="AX74">
            <v>4524</v>
          </cell>
          <cell r="AY74">
            <v>1</v>
          </cell>
          <cell r="AZ74">
            <v>305</v>
          </cell>
          <cell r="BA74">
            <v>1</v>
          </cell>
          <cell r="BB74">
            <v>584</v>
          </cell>
          <cell r="BC74">
            <v>7</v>
          </cell>
          <cell r="BD74">
            <v>5462</v>
          </cell>
          <cell r="BE74">
            <v>2</v>
          </cell>
          <cell r="BF74">
            <v>494</v>
          </cell>
          <cell r="BG74">
            <v>3</v>
          </cell>
          <cell r="BH74">
            <v>345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4</v>
          </cell>
          <cell r="BR74">
            <v>457</v>
          </cell>
          <cell r="BS74">
            <v>4</v>
          </cell>
          <cell r="BT74">
            <v>551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1</v>
          </cell>
          <cell r="BZ74">
            <v>149</v>
          </cell>
          <cell r="CA74">
            <v>2</v>
          </cell>
          <cell r="CB74">
            <v>370</v>
          </cell>
          <cell r="CC74">
            <v>0</v>
          </cell>
          <cell r="CD74">
            <v>0</v>
          </cell>
          <cell r="CE74">
            <v>1</v>
          </cell>
          <cell r="CF74">
            <v>2880</v>
          </cell>
          <cell r="CG74">
            <v>6</v>
          </cell>
          <cell r="CH74">
            <v>4174</v>
          </cell>
          <cell r="CI74" t="str">
            <v>ORLANDO, FL</v>
          </cell>
        </row>
        <row r="75">
          <cell r="B75" t="str">
            <v>PHILADELPHIA, PA-NJ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</v>
          </cell>
          <cell r="J75">
            <v>360</v>
          </cell>
          <cell r="K75">
            <v>4</v>
          </cell>
          <cell r="L75">
            <v>555</v>
          </cell>
          <cell r="M75">
            <v>2</v>
          </cell>
          <cell r="N75">
            <v>387</v>
          </cell>
          <cell r="O75">
            <v>3</v>
          </cell>
          <cell r="P75">
            <v>322</v>
          </cell>
          <cell r="Q75">
            <v>1</v>
          </cell>
          <cell r="R75">
            <v>114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3</v>
          </cell>
          <cell r="AB75">
            <v>407</v>
          </cell>
          <cell r="AC75">
            <v>3</v>
          </cell>
          <cell r="AD75">
            <v>244</v>
          </cell>
          <cell r="AE75">
            <v>3</v>
          </cell>
          <cell r="AF75">
            <v>299</v>
          </cell>
          <cell r="AG75">
            <v>2</v>
          </cell>
          <cell r="AH75">
            <v>172</v>
          </cell>
          <cell r="AI75">
            <v>1</v>
          </cell>
          <cell r="AJ75">
            <v>116</v>
          </cell>
          <cell r="AK75">
            <v>0</v>
          </cell>
          <cell r="AL75">
            <v>0</v>
          </cell>
          <cell r="AM75">
            <v>1</v>
          </cell>
          <cell r="AN75">
            <v>134</v>
          </cell>
          <cell r="AO75">
            <v>1</v>
          </cell>
          <cell r="AP75">
            <v>120</v>
          </cell>
          <cell r="AQ75">
            <v>1</v>
          </cell>
          <cell r="AR75">
            <v>24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2</v>
          </cell>
          <cell r="AX75">
            <v>413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2</v>
          </cell>
          <cell r="BF75">
            <v>387</v>
          </cell>
          <cell r="BG75">
            <v>3</v>
          </cell>
          <cell r="BH75">
            <v>322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3</v>
          </cell>
          <cell r="BR75">
            <v>244</v>
          </cell>
          <cell r="BS75">
            <v>3</v>
          </cell>
          <cell r="BT75">
            <v>299</v>
          </cell>
          <cell r="BU75">
            <v>1</v>
          </cell>
          <cell r="BV75">
            <v>102</v>
          </cell>
          <cell r="BW75">
            <v>0</v>
          </cell>
          <cell r="BX75">
            <v>0</v>
          </cell>
          <cell r="BY75">
            <v>1</v>
          </cell>
          <cell r="BZ75">
            <v>134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2</v>
          </cell>
          <cell r="CH75">
            <v>413</v>
          </cell>
          <cell r="CI75" t="str">
            <v>PHILADELPHIA, PA-NJ</v>
          </cell>
        </row>
        <row r="76">
          <cell r="B76" t="str">
            <v>PHOENIX, AZ</v>
          </cell>
          <cell r="C76">
            <v>0</v>
          </cell>
          <cell r="D76">
            <v>0</v>
          </cell>
          <cell r="E76">
            <v>1</v>
          </cell>
          <cell r="F76">
            <v>500</v>
          </cell>
          <cell r="G76">
            <v>2</v>
          </cell>
          <cell r="H76">
            <v>1700</v>
          </cell>
          <cell r="I76">
            <v>1</v>
          </cell>
          <cell r="J76">
            <v>250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1</v>
          </cell>
          <cell r="P76">
            <v>120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  <cell r="Z76">
            <v>64</v>
          </cell>
          <cell r="AA76">
            <v>2</v>
          </cell>
          <cell r="AB76">
            <v>174</v>
          </cell>
          <cell r="AC76">
            <v>0</v>
          </cell>
          <cell r="AD76">
            <v>0</v>
          </cell>
          <cell r="AE76">
            <v>2</v>
          </cell>
          <cell r="AF76">
            <v>180</v>
          </cell>
          <cell r="AG76">
            <v>2</v>
          </cell>
          <cell r="AH76">
            <v>225</v>
          </cell>
          <cell r="AI76">
            <v>2</v>
          </cell>
          <cell r="AJ76">
            <v>242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2</v>
          </cell>
          <cell r="AP76">
            <v>135</v>
          </cell>
          <cell r="AQ76">
            <v>1</v>
          </cell>
          <cell r="AR76">
            <v>82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4</v>
          </cell>
          <cell r="AX76">
            <v>1597</v>
          </cell>
          <cell r="AY76">
            <v>1</v>
          </cell>
          <cell r="AZ76">
            <v>500</v>
          </cell>
          <cell r="BA76">
            <v>2</v>
          </cell>
          <cell r="BB76">
            <v>1700</v>
          </cell>
          <cell r="BC76">
            <v>1</v>
          </cell>
          <cell r="BD76">
            <v>250</v>
          </cell>
          <cell r="BE76">
            <v>0</v>
          </cell>
          <cell r="BF76">
            <v>0</v>
          </cell>
          <cell r="BG76">
            <v>1</v>
          </cell>
          <cell r="BH76">
            <v>120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80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1</v>
          </cell>
          <cell r="CB76">
            <v>75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3</v>
          </cell>
          <cell r="CH76">
            <v>1297</v>
          </cell>
          <cell r="CI76" t="str">
            <v>PHOENIX, AZ</v>
          </cell>
        </row>
        <row r="77">
          <cell r="B77" t="str">
            <v>SAINT LOUIS, MO-IL</v>
          </cell>
          <cell r="C77">
            <v>2</v>
          </cell>
          <cell r="D77">
            <v>545</v>
          </cell>
          <cell r="E77">
            <v>1</v>
          </cell>
          <cell r="F77">
            <v>163</v>
          </cell>
          <cell r="G77">
            <v>1</v>
          </cell>
          <cell r="H77">
            <v>917</v>
          </cell>
          <cell r="I77">
            <v>2</v>
          </cell>
          <cell r="J77">
            <v>505</v>
          </cell>
          <cell r="K77">
            <v>0</v>
          </cell>
          <cell r="L77">
            <v>0</v>
          </cell>
          <cell r="M77">
            <v>1</v>
          </cell>
          <cell r="N77">
            <v>104</v>
          </cell>
          <cell r="O77">
            <v>0</v>
          </cell>
          <cell r="P77">
            <v>0</v>
          </cell>
          <cell r="Q77">
            <v>1</v>
          </cell>
          <cell r="R77">
            <v>539</v>
          </cell>
          <cell r="S77">
            <v>0</v>
          </cell>
          <cell r="T77">
            <v>0</v>
          </cell>
          <cell r="U77">
            <v>1</v>
          </cell>
          <cell r="V77">
            <v>125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3</v>
          </cell>
          <cell r="AB77">
            <v>226</v>
          </cell>
          <cell r="AC77">
            <v>1</v>
          </cell>
          <cell r="AD77">
            <v>80</v>
          </cell>
          <cell r="AE77">
            <v>3</v>
          </cell>
          <cell r="AF77">
            <v>280</v>
          </cell>
          <cell r="AG77">
            <v>3</v>
          </cell>
          <cell r="AH77">
            <v>360</v>
          </cell>
          <cell r="AI77">
            <v>1</v>
          </cell>
          <cell r="AJ77">
            <v>65</v>
          </cell>
          <cell r="AK77">
            <v>1</v>
          </cell>
          <cell r="AL77">
            <v>100</v>
          </cell>
          <cell r="AM77">
            <v>2</v>
          </cell>
          <cell r="AN77">
            <v>179</v>
          </cell>
          <cell r="AO77">
            <v>0</v>
          </cell>
          <cell r="AP77">
            <v>0</v>
          </cell>
          <cell r="AQ77">
            <v>1</v>
          </cell>
          <cell r="AR77">
            <v>61</v>
          </cell>
          <cell r="AS77">
            <v>0</v>
          </cell>
          <cell r="AT77">
            <v>0</v>
          </cell>
          <cell r="AU77">
            <v>1</v>
          </cell>
          <cell r="AV77">
            <v>120</v>
          </cell>
          <cell r="AW77">
            <v>2</v>
          </cell>
          <cell r="AX77">
            <v>200</v>
          </cell>
          <cell r="AY77">
            <v>1</v>
          </cell>
          <cell r="AZ77">
            <v>163</v>
          </cell>
          <cell r="BA77">
            <v>1</v>
          </cell>
          <cell r="BB77">
            <v>917</v>
          </cell>
          <cell r="BC77">
            <v>2</v>
          </cell>
          <cell r="BD77">
            <v>505</v>
          </cell>
          <cell r="BE77">
            <v>1</v>
          </cell>
          <cell r="BF77">
            <v>104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1</v>
          </cell>
          <cell r="BL77">
            <v>125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1</v>
          </cell>
          <cell r="BR77">
            <v>80</v>
          </cell>
          <cell r="BS77">
            <v>3</v>
          </cell>
          <cell r="BT77">
            <v>280</v>
          </cell>
          <cell r="BU77">
            <v>2</v>
          </cell>
          <cell r="BV77">
            <v>280</v>
          </cell>
          <cell r="BW77">
            <v>1</v>
          </cell>
          <cell r="BX77">
            <v>100</v>
          </cell>
          <cell r="BY77">
            <v>2</v>
          </cell>
          <cell r="BZ77">
            <v>179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1</v>
          </cell>
          <cell r="CF77">
            <v>120</v>
          </cell>
          <cell r="CG77">
            <v>0</v>
          </cell>
          <cell r="CH77">
            <v>0</v>
          </cell>
          <cell r="CI77" t="str">
            <v>SAINT LOUIS, MO-IL</v>
          </cell>
        </row>
        <row r="78">
          <cell r="B78" t="str">
            <v>SAN DIEGO, CA</v>
          </cell>
          <cell r="C78">
            <v>1</v>
          </cell>
          <cell r="D78">
            <v>30</v>
          </cell>
          <cell r="E78">
            <v>1</v>
          </cell>
          <cell r="F78">
            <v>261</v>
          </cell>
          <cell r="G78">
            <v>1</v>
          </cell>
          <cell r="H78">
            <v>750</v>
          </cell>
          <cell r="I78">
            <v>3</v>
          </cell>
          <cell r="J78">
            <v>1084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4</v>
          </cell>
          <cell r="P78">
            <v>431</v>
          </cell>
          <cell r="Q78">
            <v>5</v>
          </cell>
          <cell r="R78">
            <v>579</v>
          </cell>
          <cell r="S78">
            <v>0</v>
          </cell>
          <cell r="T78">
            <v>0</v>
          </cell>
          <cell r="U78">
            <v>1</v>
          </cell>
          <cell r="V78">
            <v>28</v>
          </cell>
          <cell r="W78">
            <v>0</v>
          </cell>
          <cell r="X78">
            <v>0</v>
          </cell>
          <cell r="Y78">
            <v>1</v>
          </cell>
          <cell r="Z78">
            <v>100</v>
          </cell>
          <cell r="AA78">
            <v>2</v>
          </cell>
          <cell r="AB78">
            <v>247</v>
          </cell>
          <cell r="AC78">
            <v>1</v>
          </cell>
          <cell r="AD78">
            <v>100</v>
          </cell>
          <cell r="AE78">
            <v>2</v>
          </cell>
          <cell r="AF78">
            <v>246</v>
          </cell>
          <cell r="AG78">
            <v>3</v>
          </cell>
          <cell r="AH78">
            <v>391</v>
          </cell>
          <cell r="AI78">
            <v>0</v>
          </cell>
          <cell r="AJ78">
            <v>0</v>
          </cell>
          <cell r="AK78">
            <v>2</v>
          </cell>
          <cell r="AL78">
            <v>253</v>
          </cell>
          <cell r="AM78">
            <v>0</v>
          </cell>
          <cell r="AN78">
            <v>0</v>
          </cell>
          <cell r="AO78">
            <v>3</v>
          </cell>
          <cell r="AP78">
            <v>275</v>
          </cell>
          <cell r="AQ78">
            <v>1</v>
          </cell>
          <cell r="AR78">
            <v>150</v>
          </cell>
          <cell r="AS78">
            <v>1</v>
          </cell>
          <cell r="AT78">
            <v>175</v>
          </cell>
          <cell r="AU78">
            <v>2</v>
          </cell>
          <cell r="AV78">
            <v>499</v>
          </cell>
          <cell r="AW78">
            <v>8</v>
          </cell>
          <cell r="AX78">
            <v>2755</v>
          </cell>
          <cell r="AY78">
            <v>1</v>
          </cell>
          <cell r="AZ78">
            <v>261</v>
          </cell>
          <cell r="BA78">
            <v>1</v>
          </cell>
          <cell r="BB78">
            <v>750</v>
          </cell>
          <cell r="BC78">
            <v>2</v>
          </cell>
          <cell r="BD78">
            <v>584</v>
          </cell>
          <cell r="BE78">
            <v>0</v>
          </cell>
          <cell r="BF78">
            <v>0</v>
          </cell>
          <cell r="BG78">
            <v>4</v>
          </cell>
          <cell r="BH78">
            <v>431</v>
          </cell>
          <cell r="BI78">
            <v>1</v>
          </cell>
          <cell r="BJ78">
            <v>180</v>
          </cell>
          <cell r="BK78">
            <v>1</v>
          </cell>
          <cell r="BL78">
            <v>28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1</v>
          </cell>
          <cell r="BR78">
            <v>100</v>
          </cell>
          <cell r="BS78">
            <v>2</v>
          </cell>
          <cell r="BT78">
            <v>246</v>
          </cell>
          <cell r="BU78">
            <v>0</v>
          </cell>
          <cell r="BV78">
            <v>0</v>
          </cell>
          <cell r="BW78">
            <v>2</v>
          </cell>
          <cell r="BX78">
            <v>253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1</v>
          </cell>
          <cell r="CD78">
            <v>175</v>
          </cell>
          <cell r="CE78">
            <v>2</v>
          </cell>
          <cell r="CF78">
            <v>499</v>
          </cell>
          <cell r="CG78">
            <v>2</v>
          </cell>
          <cell r="CH78">
            <v>413</v>
          </cell>
          <cell r="CI78" t="str">
            <v>SAN DIEGO, CA</v>
          </cell>
        </row>
        <row r="79">
          <cell r="B79" t="str">
            <v>SAN FRANCISCO/SAN MATEO</v>
          </cell>
          <cell r="C79">
            <v>2</v>
          </cell>
          <cell r="D79">
            <v>538</v>
          </cell>
          <cell r="E79">
            <v>0</v>
          </cell>
          <cell r="F79">
            <v>0</v>
          </cell>
          <cell r="G79">
            <v>1</v>
          </cell>
          <cell r="H79">
            <v>269</v>
          </cell>
          <cell r="I79">
            <v>4</v>
          </cell>
          <cell r="J79">
            <v>1712</v>
          </cell>
          <cell r="K79">
            <v>2</v>
          </cell>
          <cell r="L79">
            <v>557</v>
          </cell>
          <cell r="M79">
            <v>0</v>
          </cell>
          <cell r="N79">
            <v>0</v>
          </cell>
          <cell r="O79">
            <v>1</v>
          </cell>
          <cell r="P79">
            <v>177</v>
          </cell>
          <cell r="Q79">
            <v>3</v>
          </cell>
          <cell r="R79">
            <v>554</v>
          </cell>
          <cell r="S79">
            <v>2</v>
          </cell>
          <cell r="T79">
            <v>186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4</v>
          </cell>
          <cell r="AB79">
            <v>489</v>
          </cell>
          <cell r="AC79">
            <v>3</v>
          </cell>
          <cell r="AD79">
            <v>272</v>
          </cell>
          <cell r="AE79">
            <v>1</v>
          </cell>
          <cell r="AF79">
            <v>103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2</v>
          </cell>
          <cell r="AL79">
            <v>78</v>
          </cell>
          <cell r="AM79">
            <v>1</v>
          </cell>
          <cell r="AN79">
            <v>95</v>
          </cell>
          <cell r="AO79">
            <v>1</v>
          </cell>
          <cell r="AP79">
            <v>108</v>
          </cell>
          <cell r="AQ79">
            <v>0</v>
          </cell>
          <cell r="AR79">
            <v>0</v>
          </cell>
          <cell r="AS79">
            <v>3</v>
          </cell>
          <cell r="AT79">
            <v>113</v>
          </cell>
          <cell r="AU79">
            <v>1</v>
          </cell>
          <cell r="AV79">
            <v>268</v>
          </cell>
          <cell r="AW79">
            <v>5</v>
          </cell>
          <cell r="AX79">
            <v>1109</v>
          </cell>
          <cell r="AY79">
            <v>0</v>
          </cell>
          <cell r="AZ79">
            <v>0</v>
          </cell>
          <cell r="BA79">
            <v>1</v>
          </cell>
          <cell r="BB79">
            <v>269</v>
          </cell>
          <cell r="BC79">
            <v>3</v>
          </cell>
          <cell r="BD79">
            <v>1282</v>
          </cell>
          <cell r="BE79">
            <v>0</v>
          </cell>
          <cell r="BF79">
            <v>0</v>
          </cell>
          <cell r="BG79">
            <v>1</v>
          </cell>
          <cell r="BH79">
            <v>177</v>
          </cell>
          <cell r="BI79">
            <v>2</v>
          </cell>
          <cell r="BJ79">
            <v>394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3</v>
          </cell>
          <cell r="BR79">
            <v>272</v>
          </cell>
          <cell r="BS79">
            <v>1</v>
          </cell>
          <cell r="BT79">
            <v>103</v>
          </cell>
          <cell r="BU79">
            <v>0</v>
          </cell>
          <cell r="BV79">
            <v>0</v>
          </cell>
          <cell r="BW79">
            <v>2</v>
          </cell>
          <cell r="BX79">
            <v>78</v>
          </cell>
          <cell r="BY79">
            <v>1</v>
          </cell>
          <cell r="BZ79">
            <v>95</v>
          </cell>
          <cell r="CA79">
            <v>1</v>
          </cell>
          <cell r="CB79">
            <v>108</v>
          </cell>
          <cell r="CC79">
            <v>3</v>
          </cell>
          <cell r="CD79">
            <v>113</v>
          </cell>
          <cell r="CE79">
            <v>1</v>
          </cell>
          <cell r="CF79">
            <v>268</v>
          </cell>
          <cell r="CG79">
            <v>2</v>
          </cell>
          <cell r="CH79">
            <v>304</v>
          </cell>
          <cell r="CI79" t="str">
            <v>SAN FRANCISCO/SAN MATEO</v>
          </cell>
        </row>
        <row r="80">
          <cell r="B80" t="str">
            <v>SEATTLE, WA</v>
          </cell>
          <cell r="C80">
            <v>2</v>
          </cell>
          <cell r="D80">
            <v>690</v>
          </cell>
          <cell r="E80">
            <v>0</v>
          </cell>
          <cell r="F80">
            <v>0</v>
          </cell>
          <cell r="G80">
            <v>2</v>
          </cell>
          <cell r="H80">
            <v>643</v>
          </cell>
          <cell r="I80">
            <v>2</v>
          </cell>
          <cell r="J80">
            <v>812</v>
          </cell>
          <cell r="K80">
            <v>1</v>
          </cell>
          <cell r="L80">
            <v>234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</v>
          </cell>
          <cell r="R80">
            <v>351</v>
          </cell>
          <cell r="S80">
            <v>2</v>
          </cell>
          <cell r="T80">
            <v>356</v>
          </cell>
          <cell r="U80">
            <v>1</v>
          </cell>
          <cell r="V80">
            <v>65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1</v>
          </cell>
          <cell r="AB80">
            <v>102</v>
          </cell>
          <cell r="AC80">
            <v>1</v>
          </cell>
          <cell r="AD80">
            <v>137</v>
          </cell>
          <cell r="AE80">
            <v>0</v>
          </cell>
          <cell r="AF80">
            <v>0</v>
          </cell>
          <cell r="AG80">
            <v>2</v>
          </cell>
          <cell r="AH80">
            <v>261</v>
          </cell>
          <cell r="AI80">
            <v>1</v>
          </cell>
          <cell r="AJ80">
            <v>101</v>
          </cell>
          <cell r="AK80">
            <v>1</v>
          </cell>
          <cell r="AL80">
            <v>107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3</v>
          </cell>
          <cell r="AT80">
            <v>202</v>
          </cell>
          <cell r="AU80">
            <v>4</v>
          </cell>
          <cell r="AV80">
            <v>548</v>
          </cell>
          <cell r="AW80">
            <v>1</v>
          </cell>
          <cell r="AX80">
            <v>152</v>
          </cell>
          <cell r="AY80">
            <v>0</v>
          </cell>
          <cell r="AZ80">
            <v>0</v>
          </cell>
          <cell r="BA80">
            <v>2</v>
          </cell>
          <cell r="BB80">
            <v>643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1</v>
          </cell>
          <cell r="BL80">
            <v>65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1</v>
          </cell>
          <cell r="BR80">
            <v>137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1</v>
          </cell>
          <cell r="BX80">
            <v>107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3</v>
          </cell>
          <cell r="CD80">
            <v>202</v>
          </cell>
          <cell r="CE80">
            <v>4</v>
          </cell>
          <cell r="CF80">
            <v>548</v>
          </cell>
          <cell r="CG80">
            <v>0</v>
          </cell>
          <cell r="CH80">
            <v>0</v>
          </cell>
          <cell r="CI80" t="str">
            <v>SEATTLE, WA</v>
          </cell>
        </row>
        <row r="81">
          <cell r="B81" t="str">
            <v>TAMPA-SAINT PETERSBURG, FL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1</v>
          </cell>
          <cell r="J81">
            <v>300</v>
          </cell>
          <cell r="K81">
            <v>3</v>
          </cell>
          <cell r="L81">
            <v>514</v>
          </cell>
          <cell r="M81">
            <v>0</v>
          </cell>
          <cell r="N81">
            <v>0</v>
          </cell>
          <cell r="O81">
            <v>1</v>
          </cell>
          <cell r="P81">
            <v>99</v>
          </cell>
          <cell r="Q81">
            <v>2</v>
          </cell>
          <cell r="R81">
            <v>199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1</v>
          </cell>
          <cell r="Z81">
            <v>70</v>
          </cell>
          <cell r="AA81">
            <v>4</v>
          </cell>
          <cell r="AB81">
            <v>371</v>
          </cell>
          <cell r="AC81">
            <v>2</v>
          </cell>
          <cell r="AD81">
            <v>135</v>
          </cell>
          <cell r="AE81">
            <v>4</v>
          </cell>
          <cell r="AF81">
            <v>356</v>
          </cell>
          <cell r="AG81">
            <v>2</v>
          </cell>
          <cell r="AH81">
            <v>195</v>
          </cell>
          <cell r="AI81">
            <v>2</v>
          </cell>
          <cell r="AJ81">
            <v>184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6</v>
          </cell>
          <cell r="AP81">
            <v>602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2</v>
          </cell>
          <cell r="AV81">
            <v>402</v>
          </cell>
          <cell r="AW81">
            <v>2</v>
          </cell>
          <cell r="AX81">
            <v>285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1</v>
          </cell>
          <cell r="BD81">
            <v>300</v>
          </cell>
          <cell r="BE81">
            <v>0</v>
          </cell>
          <cell r="BF81">
            <v>0</v>
          </cell>
          <cell r="BG81">
            <v>1</v>
          </cell>
          <cell r="BH81">
            <v>99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2</v>
          </cell>
          <cell r="BR81">
            <v>135</v>
          </cell>
          <cell r="BS81">
            <v>4</v>
          </cell>
          <cell r="BT81">
            <v>356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3</v>
          </cell>
          <cell r="CB81">
            <v>304</v>
          </cell>
          <cell r="CC81">
            <v>0</v>
          </cell>
          <cell r="CD81">
            <v>0</v>
          </cell>
          <cell r="CE81">
            <v>2</v>
          </cell>
          <cell r="CF81">
            <v>402</v>
          </cell>
          <cell r="CG81">
            <v>0</v>
          </cell>
          <cell r="CH81">
            <v>0</v>
          </cell>
          <cell r="CI81" t="str">
            <v>TAMPA-SAINT PETERSBURG, FL</v>
          </cell>
        </row>
        <row r="82">
          <cell r="B82" t="str">
            <v>WASHINGTON, DC-MD-VA</v>
          </cell>
          <cell r="C82">
            <v>0</v>
          </cell>
          <cell r="D82">
            <v>0</v>
          </cell>
          <cell r="E82">
            <v>2</v>
          </cell>
          <cell r="F82">
            <v>318</v>
          </cell>
          <cell r="G82">
            <v>2</v>
          </cell>
          <cell r="H82">
            <v>486</v>
          </cell>
          <cell r="I82">
            <v>3</v>
          </cell>
          <cell r="J82">
            <v>1145</v>
          </cell>
          <cell r="K82">
            <v>4</v>
          </cell>
          <cell r="L82">
            <v>644</v>
          </cell>
          <cell r="M82">
            <v>3</v>
          </cell>
          <cell r="N82">
            <v>399</v>
          </cell>
          <cell r="O82">
            <v>4</v>
          </cell>
          <cell r="P82">
            <v>592</v>
          </cell>
          <cell r="Q82">
            <v>13</v>
          </cell>
          <cell r="R82">
            <v>2251</v>
          </cell>
          <cell r="S82">
            <v>0</v>
          </cell>
          <cell r="T82">
            <v>0</v>
          </cell>
          <cell r="U82">
            <v>1</v>
          </cell>
          <cell r="V82">
            <v>233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8</v>
          </cell>
          <cell r="AB82">
            <v>752</v>
          </cell>
          <cell r="AC82">
            <v>2</v>
          </cell>
          <cell r="AD82">
            <v>262</v>
          </cell>
          <cell r="AE82">
            <v>7</v>
          </cell>
          <cell r="AF82">
            <v>695</v>
          </cell>
          <cell r="AG82">
            <v>5</v>
          </cell>
          <cell r="AH82">
            <v>558</v>
          </cell>
          <cell r="AI82">
            <v>1</v>
          </cell>
          <cell r="AJ82">
            <v>99</v>
          </cell>
          <cell r="AK82">
            <v>1</v>
          </cell>
          <cell r="AL82">
            <v>60</v>
          </cell>
          <cell r="AM82">
            <v>0</v>
          </cell>
          <cell r="AN82">
            <v>0</v>
          </cell>
          <cell r="AO82">
            <v>2</v>
          </cell>
          <cell r="AP82">
            <v>372</v>
          </cell>
          <cell r="AQ82">
            <v>0</v>
          </cell>
          <cell r="AR82">
            <v>0</v>
          </cell>
          <cell r="AS82">
            <v>1</v>
          </cell>
          <cell r="AT82">
            <v>172</v>
          </cell>
          <cell r="AU82">
            <v>0</v>
          </cell>
          <cell r="AV82">
            <v>0</v>
          </cell>
          <cell r="AW82">
            <v>4</v>
          </cell>
          <cell r="AX82">
            <v>1175</v>
          </cell>
          <cell r="AY82">
            <v>2</v>
          </cell>
          <cell r="AZ82">
            <v>318</v>
          </cell>
          <cell r="BA82">
            <v>2</v>
          </cell>
          <cell r="BB82">
            <v>486</v>
          </cell>
          <cell r="BC82">
            <v>2</v>
          </cell>
          <cell r="BD82">
            <v>633</v>
          </cell>
          <cell r="BE82">
            <v>3</v>
          </cell>
          <cell r="BF82">
            <v>399</v>
          </cell>
          <cell r="BG82">
            <v>4</v>
          </cell>
          <cell r="BH82">
            <v>592</v>
          </cell>
          <cell r="BI82">
            <v>2</v>
          </cell>
          <cell r="BJ82">
            <v>276</v>
          </cell>
          <cell r="BK82">
            <v>1</v>
          </cell>
          <cell r="BL82">
            <v>233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2</v>
          </cell>
          <cell r="BR82">
            <v>262</v>
          </cell>
          <cell r="BS82">
            <v>7</v>
          </cell>
          <cell r="BT82">
            <v>695</v>
          </cell>
          <cell r="BU82">
            <v>1</v>
          </cell>
          <cell r="BV82">
            <v>149</v>
          </cell>
          <cell r="BW82">
            <v>1</v>
          </cell>
          <cell r="BX82">
            <v>60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1</v>
          </cell>
          <cell r="CD82">
            <v>172</v>
          </cell>
          <cell r="CE82">
            <v>0</v>
          </cell>
          <cell r="CF82">
            <v>0</v>
          </cell>
          <cell r="CG82">
            <v>2</v>
          </cell>
          <cell r="CH82">
            <v>620</v>
          </cell>
          <cell r="CI82" t="str">
            <v>WASHINGTON, DC-MD-VA</v>
          </cell>
        </row>
        <row r="99">
          <cell r="B99" t="str">
            <v>ANAHEIM-SANTA ANA, CA</v>
          </cell>
          <cell r="C99">
            <v>3</v>
          </cell>
          <cell r="D99">
            <v>1033</v>
          </cell>
          <cell r="E99">
            <v>1</v>
          </cell>
          <cell r="F99">
            <v>256</v>
          </cell>
          <cell r="G99">
            <v>5</v>
          </cell>
          <cell r="H99">
            <v>1541</v>
          </cell>
          <cell r="I99">
            <v>1</v>
          </cell>
          <cell r="J99">
            <v>174</v>
          </cell>
          <cell r="K99">
            <v>0</v>
          </cell>
          <cell r="L99">
            <v>0</v>
          </cell>
          <cell r="M99">
            <v>4</v>
          </cell>
          <cell r="N99">
            <v>894</v>
          </cell>
          <cell r="O99">
            <v>1</v>
          </cell>
          <cell r="P99">
            <v>264</v>
          </cell>
          <cell r="Q99">
            <v>0</v>
          </cell>
          <cell r="R99">
            <v>0</v>
          </cell>
          <cell r="S99">
            <v>2</v>
          </cell>
          <cell r="T99">
            <v>369</v>
          </cell>
          <cell r="U99">
            <v>2</v>
          </cell>
          <cell r="V99">
            <v>367</v>
          </cell>
          <cell r="W99">
            <v>0</v>
          </cell>
          <cell r="X99">
            <v>0</v>
          </cell>
          <cell r="Y99">
            <v>7</v>
          </cell>
          <cell r="Z99">
            <v>1018</v>
          </cell>
          <cell r="AA99">
            <v>3</v>
          </cell>
          <cell r="AB99">
            <v>412</v>
          </cell>
          <cell r="AC99">
            <v>1</v>
          </cell>
          <cell r="AD99">
            <v>117</v>
          </cell>
          <cell r="AE99">
            <v>9</v>
          </cell>
          <cell r="AF99">
            <v>1120</v>
          </cell>
          <cell r="AG99">
            <v>5</v>
          </cell>
          <cell r="AH99">
            <v>1198</v>
          </cell>
          <cell r="AI99">
            <v>0</v>
          </cell>
          <cell r="AJ99">
            <v>0</v>
          </cell>
          <cell r="AK99">
            <v>6</v>
          </cell>
          <cell r="AL99">
            <v>1314</v>
          </cell>
          <cell r="AM99" t="str">
            <v>ANAHEIM-SANTA ANA, CA</v>
          </cell>
          <cell r="AN99">
            <v>33</v>
          </cell>
          <cell r="AO99">
            <v>12910</v>
          </cell>
          <cell r="AP99">
            <v>32</v>
          </cell>
          <cell r="AQ99">
            <v>12654</v>
          </cell>
          <cell r="AR99">
            <v>29</v>
          </cell>
          <cell r="AS99">
            <v>11621</v>
          </cell>
          <cell r="AT99">
            <v>29</v>
          </cell>
          <cell r="AU99">
            <v>5382</v>
          </cell>
          <cell r="AV99">
            <v>29</v>
          </cell>
          <cell r="AW99">
            <v>5382</v>
          </cell>
          <cell r="AX99">
            <v>28</v>
          </cell>
          <cell r="AY99">
            <v>5208</v>
          </cell>
          <cell r="AZ99">
            <v>57</v>
          </cell>
          <cell r="BA99">
            <v>7939</v>
          </cell>
          <cell r="BB99">
            <v>57</v>
          </cell>
          <cell r="BC99">
            <v>7939</v>
          </cell>
          <cell r="BD99">
            <v>56</v>
          </cell>
          <cell r="BE99">
            <v>7675</v>
          </cell>
          <cell r="BF99">
            <v>28</v>
          </cell>
          <cell r="BG99">
            <v>3684</v>
          </cell>
          <cell r="BH99">
            <v>28</v>
          </cell>
          <cell r="BI99">
            <v>3684</v>
          </cell>
          <cell r="BJ99">
            <v>26</v>
          </cell>
          <cell r="BK99">
            <v>3317</v>
          </cell>
          <cell r="BL99">
            <v>75</v>
          </cell>
          <cell r="BM99">
            <v>6818</v>
          </cell>
          <cell r="BN99">
            <v>74</v>
          </cell>
          <cell r="BO99">
            <v>6701</v>
          </cell>
          <cell r="BP99">
            <v>71</v>
          </cell>
          <cell r="BQ99">
            <v>6289</v>
          </cell>
          <cell r="BR99">
            <v>153</v>
          </cell>
          <cell r="BS99">
            <v>14395</v>
          </cell>
          <cell r="BT99">
            <v>153</v>
          </cell>
          <cell r="BU99">
            <v>14395</v>
          </cell>
          <cell r="BV99">
            <v>148</v>
          </cell>
          <cell r="BW99">
            <v>13197</v>
          </cell>
          <cell r="BX99">
            <v>0</v>
          </cell>
          <cell r="BY99">
            <v>0</v>
          </cell>
          <cell r="BZ99">
            <v>2</v>
          </cell>
          <cell r="CA99">
            <v>551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1</v>
          </cell>
          <cell r="CI99">
            <v>116</v>
          </cell>
        </row>
        <row r="100">
          <cell r="B100" t="str">
            <v>ATLANTA, GA</v>
          </cell>
          <cell r="C100">
            <v>2</v>
          </cell>
          <cell r="D100">
            <v>236</v>
          </cell>
          <cell r="E100">
            <v>0</v>
          </cell>
          <cell r="F100">
            <v>0</v>
          </cell>
          <cell r="G100">
            <v>4</v>
          </cell>
          <cell r="H100">
            <v>875</v>
          </cell>
          <cell r="I100">
            <v>4</v>
          </cell>
          <cell r="J100">
            <v>516</v>
          </cell>
          <cell r="K100">
            <v>0</v>
          </cell>
          <cell r="L100">
            <v>0</v>
          </cell>
          <cell r="M100">
            <v>30</v>
          </cell>
          <cell r="N100">
            <v>3571</v>
          </cell>
          <cell r="O100">
            <v>3</v>
          </cell>
          <cell r="P100">
            <v>202</v>
          </cell>
          <cell r="Q100">
            <v>0</v>
          </cell>
          <cell r="R100">
            <v>0</v>
          </cell>
          <cell r="S100">
            <v>11</v>
          </cell>
          <cell r="T100">
            <v>1117</v>
          </cell>
          <cell r="U100">
            <v>7</v>
          </cell>
          <cell r="V100">
            <v>513</v>
          </cell>
          <cell r="W100">
            <v>3</v>
          </cell>
          <cell r="X100">
            <v>223</v>
          </cell>
          <cell r="Y100">
            <v>76</v>
          </cell>
          <cell r="Z100">
            <v>6511</v>
          </cell>
          <cell r="AA100">
            <v>8</v>
          </cell>
          <cell r="AB100">
            <v>460</v>
          </cell>
          <cell r="AC100">
            <v>0</v>
          </cell>
          <cell r="AD100">
            <v>0</v>
          </cell>
          <cell r="AE100">
            <v>55</v>
          </cell>
          <cell r="AF100">
            <v>4981</v>
          </cell>
          <cell r="AG100">
            <v>2</v>
          </cell>
          <cell r="AH100">
            <v>616</v>
          </cell>
          <cell r="AI100">
            <v>0</v>
          </cell>
          <cell r="AJ100">
            <v>0</v>
          </cell>
          <cell r="AK100">
            <v>13</v>
          </cell>
          <cell r="AL100">
            <v>2093</v>
          </cell>
          <cell r="AM100" t="str">
            <v>ATLANTA, GA</v>
          </cell>
          <cell r="AN100">
            <v>53</v>
          </cell>
          <cell r="AO100">
            <v>20884</v>
          </cell>
          <cell r="AP100">
            <v>53</v>
          </cell>
          <cell r="AQ100">
            <v>20884</v>
          </cell>
          <cell r="AR100">
            <v>51</v>
          </cell>
          <cell r="AS100">
            <v>20648</v>
          </cell>
          <cell r="AT100">
            <v>74</v>
          </cell>
          <cell r="AU100">
            <v>10942</v>
          </cell>
          <cell r="AV100">
            <v>74</v>
          </cell>
          <cell r="AW100">
            <v>10942</v>
          </cell>
          <cell r="AX100">
            <v>70</v>
          </cell>
          <cell r="AY100">
            <v>10426</v>
          </cell>
          <cell r="AZ100">
            <v>58</v>
          </cell>
          <cell r="BA100">
            <v>8371</v>
          </cell>
          <cell r="BB100">
            <v>58</v>
          </cell>
          <cell r="BC100">
            <v>8371</v>
          </cell>
          <cell r="BD100">
            <v>55</v>
          </cell>
          <cell r="BE100">
            <v>8169</v>
          </cell>
          <cell r="BF100">
            <v>163</v>
          </cell>
          <cell r="BG100">
            <v>16180</v>
          </cell>
          <cell r="BH100">
            <v>160</v>
          </cell>
          <cell r="BI100">
            <v>15957</v>
          </cell>
          <cell r="BJ100">
            <v>153</v>
          </cell>
          <cell r="BK100">
            <v>15444</v>
          </cell>
          <cell r="BL100">
            <v>221</v>
          </cell>
          <cell r="BM100">
            <v>21736</v>
          </cell>
          <cell r="BN100">
            <v>221</v>
          </cell>
          <cell r="BO100">
            <v>21736</v>
          </cell>
          <cell r="BP100">
            <v>213</v>
          </cell>
          <cell r="BQ100">
            <v>21276</v>
          </cell>
          <cell r="BR100">
            <v>91</v>
          </cell>
          <cell r="BS100">
            <v>8927</v>
          </cell>
          <cell r="BT100">
            <v>91</v>
          </cell>
          <cell r="BU100">
            <v>8927</v>
          </cell>
          <cell r="BV100">
            <v>89</v>
          </cell>
          <cell r="BW100">
            <v>8311</v>
          </cell>
          <cell r="BX100">
            <v>1</v>
          </cell>
          <cell r="BY100">
            <v>318</v>
          </cell>
          <cell r="BZ100">
            <v>4</v>
          </cell>
          <cell r="CA100">
            <v>405</v>
          </cell>
          <cell r="CB100">
            <v>1</v>
          </cell>
          <cell r="CC100">
            <v>194</v>
          </cell>
          <cell r="CD100">
            <v>13</v>
          </cell>
          <cell r="CE100">
            <v>966</v>
          </cell>
          <cell r="CF100">
            <v>8</v>
          </cell>
          <cell r="CG100">
            <v>615</v>
          </cell>
          <cell r="CH100">
            <v>3</v>
          </cell>
          <cell r="CI100">
            <v>311</v>
          </cell>
        </row>
        <row r="101">
          <cell r="B101" t="str">
            <v>BOSTON, MA</v>
          </cell>
          <cell r="C101">
            <v>3</v>
          </cell>
          <cell r="D101">
            <v>837</v>
          </cell>
          <cell r="E101">
            <v>0</v>
          </cell>
          <cell r="F101">
            <v>0</v>
          </cell>
          <cell r="G101">
            <v>6</v>
          </cell>
          <cell r="H101">
            <v>1950</v>
          </cell>
          <cell r="I101">
            <v>6</v>
          </cell>
          <cell r="J101">
            <v>741</v>
          </cell>
          <cell r="K101">
            <v>0</v>
          </cell>
          <cell r="L101">
            <v>0</v>
          </cell>
          <cell r="M101">
            <v>18</v>
          </cell>
          <cell r="N101">
            <v>2307</v>
          </cell>
          <cell r="O101">
            <v>3</v>
          </cell>
          <cell r="P101">
            <v>310</v>
          </cell>
          <cell r="Q101">
            <v>0</v>
          </cell>
          <cell r="R101">
            <v>0</v>
          </cell>
          <cell r="S101">
            <v>5</v>
          </cell>
          <cell r="T101">
            <v>775</v>
          </cell>
          <cell r="U101">
            <v>3</v>
          </cell>
          <cell r="V101">
            <v>395</v>
          </cell>
          <cell r="W101">
            <v>0</v>
          </cell>
          <cell r="X101">
            <v>0</v>
          </cell>
          <cell r="Y101">
            <v>15</v>
          </cell>
          <cell r="Z101">
            <v>2001</v>
          </cell>
          <cell r="AA101">
            <v>1</v>
          </cell>
          <cell r="AB101">
            <v>92</v>
          </cell>
          <cell r="AC101">
            <v>1</v>
          </cell>
          <cell r="AD101">
            <v>103</v>
          </cell>
          <cell r="AE101">
            <v>10</v>
          </cell>
          <cell r="AF101">
            <v>1111</v>
          </cell>
          <cell r="AG101">
            <v>0</v>
          </cell>
          <cell r="AH101">
            <v>0</v>
          </cell>
          <cell r="AI101">
            <v>1</v>
          </cell>
          <cell r="AJ101">
            <v>33</v>
          </cell>
          <cell r="AK101">
            <v>8</v>
          </cell>
          <cell r="AL101">
            <v>1110</v>
          </cell>
          <cell r="AM101" t="str">
            <v>BOSTON, MA</v>
          </cell>
          <cell r="AN101">
            <v>43</v>
          </cell>
          <cell r="AO101">
            <v>16171</v>
          </cell>
          <cell r="AP101">
            <v>43</v>
          </cell>
          <cell r="AQ101">
            <v>16171</v>
          </cell>
          <cell r="AR101">
            <v>40</v>
          </cell>
          <cell r="AS101">
            <v>15334</v>
          </cell>
          <cell r="AT101">
            <v>35</v>
          </cell>
          <cell r="AU101">
            <v>6091</v>
          </cell>
          <cell r="AV101">
            <v>35</v>
          </cell>
          <cell r="AW101">
            <v>6091</v>
          </cell>
          <cell r="AX101">
            <v>29</v>
          </cell>
          <cell r="AY101">
            <v>5350</v>
          </cell>
          <cell r="AZ101">
            <v>47</v>
          </cell>
          <cell r="BA101">
            <v>7323</v>
          </cell>
          <cell r="BB101">
            <v>47</v>
          </cell>
          <cell r="BC101">
            <v>7323</v>
          </cell>
          <cell r="BD101">
            <v>44</v>
          </cell>
          <cell r="BE101">
            <v>7013</v>
          </cell>
          <cell r="BF101">
            <v>37</v>
          </cell>
          <cell r="BG101">
            <v>4560</v>
          </cell>
          <cell r="BH101">
            <v>37</v>
          </cell>
          <cell r="BI101">
            <v>4560</v>
          </cell>
          <cell r="BJ101">
            <v>34</v>
          </cell>
          <cell r="BK101">
            <v>4165</v>
          </cell>
          <cell r="BL101">
            <v>32</v>
          </cell>
          <cell r="BM101">
            <v>3265</v>
          </cell>
          <cell r="BN101">
            <v>31</v>
          </cell>
          <cell r="BO101">
            <v>3162</v>
          </cell>
          <cell r="BP101">
            <v>30</v>
          </cell>
          <cell r="BQ101">
            <v>3070</v>
          </cell>
          <cell r="BR101">
            <v>92</v>
          </cell>
          <cell r="BS101">
            <v>7091</v>
          </cell>
          <cell r="BT101">
            <v>91</v>
          </cell>
          <cell r="BU101">
            <v>7058</v>
          </cell>
          <cell r="BV101">
            <v>91</v>
          </cell>
          <cell r="BW101">
            <v>7058</v>
          </cell>
          <cell r="BX101">
            <v>0</v>
          </cell>
          <cell r="BY101">
            <v>0</v>
          </cell>
          <cell r="BZ101">
            <v>3</v>
          </cell>
          <cell r="CA101">
            <v>363</v>
          </cell>
          <cell r="CB101">
            <v>1</v>
          </cell>
          <cell r="CC101">
            <v>268</v>
          </cell>
          <cell r="CD101">
            <v>5</v>
          </cell>
          <cell r="CE101">
            <v>729</v>
          </cell>
          <cell r="CF101">
            <v>0</v>
          </cell>
          <cell r="CG101">
            <v>0</v>
          </cell>
          <cell r="CH101">
            <v>3</v>
          </cell>
          <cell r="CI101">
            <v>241</v>
          </cell>
        </row>
        <row r="102">
          <cell r="B102" t="str">
            <v>CHICAGO, IL</v>
          </cell>
          <cell r="C102">
            <v>2</v>
          </cell>
          <cell r="D102">
            <v>767</v>
          </cell>
          <cell r="E102">
            <v>0</v>
          </cell>
          <cell r="F102">
            <v>0</v>
          </cell>
          <cell r="G102">
            <v>9</v>
          </cell>
          <cell r="H102">
            <v>3238</v>
          </cell>
          <cell r="I102">
            <v>4</v>
          </cell>
          <cell r="J102">
            <v>680</v>
          </cell>
          <cell r="K102">
            <v>0</v>
          </cell>
          <cell r="L102">
            <v>0</v>
          </cell>
          <cell r="M102">
            <v>23</v>
          </cell>
          <cell r="N102">
            <v>3745</v>
          </cell>
          <cell r="O102">
            <v>1</v>
          </cell>
          <cell r="P102">
            <v>50</v>
          </cell>
          <cell r="Q102">
            <v>1</v>
          </cell>
          <cell r="R102">
            <v>85</v>
          </cell>
          <cell r="S102">
            <v>7</v>
          </cell>
          <cell r="T102">
            <v>758</v>
          </cell>
          <cell r="U102">
            <v>7</v>
          </cell>
          <cell r="V102">
            <v>781</v>
          </cell>
          <cell r="W102">
            <v>1</v>
          </cell>
          <cell r="X102">
            <v>112</v>
          </cell>
          <cell r="Y102">
            <v>34</v>
          </cell>
          <cell r="Z102">
            <v>3585</v>
          </cell>
          <cell r="AA102">
            <v>2</v>
          </cell>
          <cell r="AB102">
            <v>110</v>
          </cell>
          <cell r="AC102">
            <v>1</v>
          </cell>
          <cell r="AD102">
            <v>128</v>
          </cell>
          <cell r="AE102">
            <v>25</v>
          </cell>
          <cell r="AF102">
            <v>2657</v>
          </cell>
          <cell r="AG102">
            <v>1</v>
          </cell>
          <cell r="AH102">
            <v>339</v>
          </cell>
          <cell r="AI102">
            <v>0</v>
          </cell>
          <cell r="AJ102">
            <v>0</v>
          </cell>
          <cell r="AK102">
            <v>3</v>
          </cell>
          <cell r="AL102">
            <v>561</v>
          </cell>
          <cell r="AM102" t="str">
            <v>CHICAGO, IL</v>
          </cell>
          <cell r="AN102">
            <v>63</v>
          </cell>
          <cell r="AO102">
            <v>29588</v>
          </cell>
          <cell r="AP102">
            <v>63</v>
          </cell>
          <cell r="AQ102">
            <v>29588</v>
          </cell>
          <cell r="AR102">
            <v>61</v>
          </cell>
          <cell r="AS102">
            <v>28821</v>
          </cell>
          <cell r="AT102">
            <v>52</v>
          </cell>
          <cell r="AU102">
            <v>9702</v>
          </cell>
          <cell r="AV102">
            <v>52</v>
          </cell>
          <cell r="AW102">
            <v>9702</v>
          </cell>
          <cell r="AX102">
            <v>48</v>
          </cell>
          <cell r="AY102">
            <v>9022</v>
          </cell>
          <cell r="AZ102">
            <v>58</v>
          </cell>
          <cell r="BA102">
            <v>11681</v>
          </cell>
          <cell r="BB102">
            <v>57</v>
          </cell>
          <cell r="BC102">
            <v>11596</v>
          </cell>
          <cell r="BD102">
            <v>56</v>
          </cell>
          <cell r="BE102">
            <v>11546</v>
          </cell>
          <cell r="BF102">
            <v>81</v>
          </cell>
          <cell r="BG102">
            <v>9187</v>
          </cell>
          <cell r="BH102">
            <v>80</v>
          </cell>
          <cell r="BI102">
            <v>9075</v>
          </cell>
          <cell r="BJ102">
            <v>73</v>
          </cell>
          <cell r="BK102">
            <v>8294</v>
          </cell>
          <cell r="BL102">
            <v>82</v>
          </cell>
          <cell r="BM102">
            <v>9221</v>
          </cell>
          <cell r="BN102">
            <v>81</v>
          </cell>
          <cell r="BO102">
            <v>9093</v>
          </cell>
          <cell r="BP102">
            <v>79</v>
          </cell>
          <cell r="BQ102">
            <v>8983</v>
          </cell>
          <cell r="BR102">
            <v>156</v>
          </cell>
          <cell r="BS102">
            <v>15001</v>
          </cell>
          <cell r="BT102">
            <v>156</v>
          </cell>
          <cell r="BU102">
            <v>15001</v>
          </cell>
          <cell r="BV102">
            <v>155</v>
          </cell>
          <cell r="BW102">
            <v>14662</v>
          </cell>
          <cell r="BX102">
            <v>2</v>
          </cell>
          <cell r="BY102">
            <v>572</v>
          </cell>
          <cell r="BZ102">
            <v>3</v>
          </cell>
          <cell r="CA102">
            <v>441</v>
          </cell>
          <cell r="CB102">
            <v>2</v>
          </cell>
          <cell r="CC102">
            <v>288</v>
          </cell>
          <cell r="CD102">
            <v>9</v>
          </cell>
          <cell r="CE102">
            <v>926</v>
          </cell>
          <cell r="CF102">
            <v>3</v>
          </cell>
          <cell r="CG102">
            <v>318</v>
          </cell>
          <cell r="CH102">
            <v>0</v>
          </cell>
          <cell r="CI102">
            <v>0</v>
          </cell>
        </row>
        <row r="103">
          <cell r="B103" t="str">
            <v>DALLAS, TX</v>
          </cell>
          <cell r="C103">
            <v>3</v>
          </cell>
          <cell r="D103">
            <v>985</v>
          </cell>
          <cell r="E103">
            <v>0</v>
          </cell>
          <cell r="F103">
            <v>0</v>
          </cell>
          <cell r="G103">
            <v>8</v>
          </cell>
          <cell r="H103">
            <v>2249</v>
          </cell>
          <cell r="I103">
            <v>2</v>
          </cell>
          <cell r="J103">
            <v>221</v>
          </cell>
          <cell r="K103">
            <v>1</v>
          </cell>
          <cell r="L103">
            <v>139</v>
          </cell>
          <cell r="M103">
            <v>25</v>
          </cell>
          <cell r="N103">
            <v>4887</v>
          </cell>
          <cell r="O103">
            <v>1</v>
          </cell>
          <cell r="P103">
            <v>65</v>
          </cell>
          <cell r="Q103">
            <v>0</v>
          </cell>
          <cell r="R103">
            <v>0</v>
          </cell>
          <cell r="S103">
            <v>17</v>
          </cell>
          <cell r="T103">
            <v>1212</v>
          </cell>
          <cell r="U103">
            <v>5</v>
          </cell>
          <cell r="V103">
            <v>437</v>
          </cell>
          <cell r="W103">
            <v>2</v>
          </cell>
          <cell r="X103">
            <v>137</v>
          </cell>
          <cell r="Y103">
            <v>56</v>
          </cell>
          <cell r="Z103">
            <v>5361</v>
          </cell>
          <cell r="AA103">
            <v>6</v>
          </cell>
          <cell r="AB103">
            <v>446</v>
          </cell>
          <cell r="AC103">
            <v>0</v>
          </cell>
          <cell r="AD103">
            <v>0</v>
          </cell>
          <cell r="AE103">
            <v>42</v>
          </cell>
          <cell r="AF103">
            <v>3277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16</v>
          </cell>
          <cell r="AL103">
            <v>4135</v>
          </cell>
          <cell r="AM103" t="str">
            <v>DALLAS, TX</v>
          </cell>
          <cell r="AN103">
            <v>38</v>
          </cell>
          <cell r="AO103">
            <v>14681</v>
          </cell>
          <cell r="AP103">
            <v>38</v>
          </cell>
          <cell r="AQ103">
            <v>14681</v>
          </cell>
          <cell r="AR103">
            <v>35</v>
          </cell>
          <cell r="AS103">
            <v>13696</v>
          </cell>
          <cell r="AT103">
            <v>56</v>
          </cell>
          <cell r="AU103">
            <v>10069</v>
          </cell>
          <cell r="AV103">
            <v>55</v>
          </cell>
          <cell r="AW103">
            <v>9930</v>
          </cell>
          <cell r="AX103">
            <v>53</v>
          </cell>
          <cell r="AY103">
            <v>9709</v>
          </cell>
          <cell r="AZ103">
            <v>52</v>
          </cell>
          <cell r="BA103">
            <v>7463</v>
          </cell>
          <cell r="BB103">
            <v>52</v>
          </cell>
          <cell r="BC103">
            <v>7463</v>
          </cell>
          <cell r="BD103">
            <v>51</v>
          </cell>
          <cell r="BE103">
            <v>7398</v>
          </cell>
          <cell r="BF103">
            <v>103</v>
          </cell>
          <cell r="BG103">
            <v>10679</v>
          </cell>
          <cell r="BH103">
            <v>101</v>
          </cell>
          <cell r="BI103">
            <v>10542</v>
          </cell>
          <cell r="BJ103">
            <v>96</v>
          </cell>
          <cell r="BK103">
            <v>10105</v>
          </cell>
          <cell r="BL103">
            <v>106</v>
          </cell>
          <cell r="BM103">
            <v>9950</v>
          </cell>
          <cell r="BN103">
            <v>106</v>
          </cell>
          <cell r="BO103">
            <v>9950</v>
          </cell>
          <cell r="BP103">
            <v>100</v>
          </cell>
          <cell r="BQ103">
            <v>9504</v>
          </cell>
          <cell r="BR103">
            <v>98</v>
          </cell>
          <cell r="BS103">
            <v>11369</v>
          </cell>
          <cell r="BT103">
            <v>98</v>
          </cell>
          <cell r="BU103">
            <v>11369</v>
          </cell>
          <cell r="BV103">
            <v>98</v>
          </cell>
          <cell r="BW103">
            <v>11369</v>
          </cell>
          <cell r="BX103">
            <v>3</v>
          </cell>
          <cell r="BY103">
            <v>848</v>
          </cell>
          <cell r="BZ103">
            <v>2</v>
          </cell>
          <cell r="CA103">
            <v>256</v>
          </cell>
          <cell r="CB103">
            <v>5</v>
          </cell>
          <cell r="CC103">
            <v>313</v>
          </cell>
          <cell r="CD103">
            <v>11</v>
          </cell>
          <cell r="CE103">
            <v>1021</v>
          </cell>
          <cell r="CF103">
            <v>8</v>
          </cell>
          <cell r="CG103">
            <v>467</v>
          </cell>
          <cell r="CH103">
            <v>3</v>
          </cell>
          <cell r="CI103">
            <v>934</v>
          </cell>
        </row>
        <row r="104">
          <cell r="B104" t="str">
            <v>DENVER, CO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4</v>
          </cell>
          <cell r="H104">
            <v>1133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16</v>
          </cell>
          <cell r="N104">
            <v>2102</v>
          </cell>
          <cell r="O104">
            <v>1</v>
          </cell>
          <cell r="P104">
            <v>68</v>
          </cell>
          <cell r="Q104">
            <v>0</v>
          </cell>
          <cell r="R104">
            <v>0</v>
          </cell>
          <cell r="S104">
            <v>8</v>
          </cell>
          <cell r="T104">
            <v>585</v>
          </cell>
          <cell r="U104">
            <v>4</v>
          </cell>
          <cell r="V104">
            <v>325</v>
          </cell>
          <cell r="W104">
            <v>0</v>
          </cell>
          <cell r="X104">
            <v>0</v>
          </cell>
          <cell r="Y104">
            <v>38</v>
          </cell>
          <cell r="Z104">
            <v>3893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19</v>
          </cell>
          <cell r="AF104">
            <v>2232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4</v>
          </cell>
          <cell r="AL104">
            <v>504</v>
          </cell>
          <cell r="AM104" t="str">
            <v>DENVER, CO</v>
          </cell>
          <cell r="AN104">
            <v>24</v>
          </cell>
          <cell r="AO104">
            <v>8253</v>
          </cell>
          <cell r="AP104">
            <v>24</v>
          </cell>
          <cell r="AQ104">
            <v>8253</v>
          </cell>
          <cell r="AR104">
            <v>24</v>
          </cell>
          <cell r="AS104">
            <v>8253</v>
          </cell>
          <cell r="AT104">
            <v>28</v>
          </cell>
          <cell r="AU104">
            <v>5451</v>
          </cell>
          <cell r="AV104">
            <v>28</v>
          </cell>
          <cell r="AW104">
            <v>5451</v>
          </cell>
          <cell r="AX104">
            <v>28</v>
          </cell>
          <cell r="AY104">
            <v>5451</v>
          </cell>
          <cell r="AZ104">
            <v>31</v>
          </cell>
          <cell r="BA104">
            <v>5182</v>
          </cell>
          <cell r="BB104">
            <v>31</v>
          </cell>
          <cell r="BC104">
            <v>5182</v>
          </cell>
          <cell r="BD104">
            <v>30</v>
          </cell>
          <cell r="BE104">
            <v>5114</v>
          </cell>
          <cell r="BF104">
            <v>63</v>
          </cell>
          <cell r="BG104">
            <v>6822</v>
          </cell>
          <cell r="BH104">
            <v>63</v>
          </cell>
          <cell r="BI104">
            <v>6822</v>
          </cell>
          <cell r="BJ104">
            <v>59</v>
          </cell>
          <cell r="BK104">
            <v>6497</v>
          </cell>
          <cell r="BL104">
            <v>46</v>
          </cell>
          <cell r="BM104">
            <v>5388</v>
          </cell>
          <cell r="BN104">
            <v>46</v>
          </cell>
          <cell r="BO104">
            <v>5388</v>
          </cell>
          <cell r="BP104">
            <v>46</v>
          </cell>
          <cell r="BQ104">
            <v>5388</v>
          </cell>
          <cell r="BR104">
            <v>43</v>
          </cell>
          <cell r="BS104">
            <v>4230</v>
          </cell>
          <cell r="BT104">
            <v>43</v>
          </cell>
          <cell r="BU104">
            <v>4230</v>
          </cell>
          <cell r="BV104">
            <v>43</v>
          </cell>
          <cell r="BW104">
            <v>4230</v>
          </cell>
          <cell r="BX104">
            <v>1</v>
          </cell>
          <cell r="BY104">
            <v>369</v>
          </cell>
          <cell r="BZ104">
            <v>4</v>
          </cell>
          <cell r="CA104">
            <v>466</v>
          </cell>
          <cell r="CB104">
            <v>1</v>
          </cell>
          <cell r="CC104">
            <v>68</v>
          </cell>
          <cell r="CD104">
            <v>8</v>
          </cell>
          <cell r="CE104">
            <v>834</v>
          </cell>
          <cell r="CF104">
            <v>2</v>
          </cell>
          <cell r="CG104">
            <v>261</v>
          </cell>
          <cell r="CH104">
            <v>0</v>
          </cell>
          <cell r="CI104">
            <v>0</v>
          </cell>
        </row>
        <row r="105">
          <cell r="B105" t="str">
            <v>DETROIT, MI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1</v>
          </cell>
          <cell r="H105">
            <v>290</v>
          </cell>
          <cell r="I105">
            <v>1</v>
          </cell>
          <cell r="J105">
            <v>124</v>
          </cell>
          <cell r="K105">
            <v>0</v>
          </cell>
          <cell r="L105">
            <v>0</v>
          </cell>
          <cell r="M105">
            <v>10</v>
          </cell>
          <cell r="N105">
            <v>1202</v>
          </cell>
          <cell r="O105">
            <v>1</v>
          </cell>
          <cell r="P105">
            <v>90</v>
          </cell>
          <cell r="Q105">
            <v>0</v>
          </cell>
          <cell r="R105">
            <v>0</v>
          </cell>
          <cell r="S105">
            <v>2</v>
          </cell>
          <cell r="T105">
            <v>250</v>
          </cell>
          <cell r="U105">
            <v>8</v>
          </cell>
          <cell r="V105">
            <v>736</v>
          </cell>
          <cell r="W105">
            <v>3</v>
          </cell>
          <cell r="X105">
            <v>251</v>
          </cell>
          <cell r="Y105">
            <v>39</v>
          </cell>
          <cell r="Z105">
            <v>3672</v>
          </cell>
          <cell r="AA105">
            <v>3</v>
          </cell>
          <cell r="AB105">
            <v>264</v>
          </cell>
          <cell r="AC105">
            <v>2</v>
          </cell>
          <cell r="AD105">
            <v>203</v>
          </cell>
          <cell r="AE105">
            <v>22</v>
          </cell>
          <cell r="AF105">
            <v>2257</v>
          </cell>
          <cell r="AG105">
            <v>1</v>
          </cell>
          <cell r="AH105">
            <v>77</v>
          </cell>
          <cell r="AI105">
            <v>0</v>
          </cell>
          <cell r="AJ105">
            <v>0</v>
          </cell>
          <cell r="AK105">
            <v>2</v>
          </cell>
          <cell r="AL105">
            <v>228</v>
          </cell>
          <cell r="AM105" t="str">
            <v>DETROIT, MI</v>
          </cell>
          <cell r="AN105">
            <v>21</v>
          </cell>
          <cell r="AO105">
            <v>6593</v>
          </cell>
          <cell r="AP105">
            <v>21</v>
          </cell>
          <cell r="AQ105">
            <v>6593</v>
          </cell>
          <cell r="AR105">
            <v>21</v>
          </cell>
          <cell r="AS105">
            <v>6593</v>
          </cell>
          <cell r="AT105">
            <v>29</v>
          </cell>
          <cell r="AU105">
            <v>4392</v>
          </cell>
          <cell r="AV105">
            <v>29</v>
          </cell>
          <cell r="AW105">
            <v>4392</v>
          </cell>
          <cell r="AX105">
            <v>28</v>
          </cell>
          <cell r="AY105">
            <v>4268</v>
          </cell>
          <cell r="AZ105">
            <v>38</v>
          </cell>
          <cell r="BA105">
            <v>6400</v>
          </cell>
          <cell r="BB105">
            <v>38</v>
          </cell>
          <cell r="BC105">
            <v>6400</v>
          </cell>
          <cell r="BD105">
            <v>37</v>
          </cell>
          <cell r="BE105">
            <v>6310</v>
          </cell>
          <cell r="BF105">
            <v>70</v>
          </cell>
          <cell r="BG105">
            <v>7246</v>
          </cell>
          <cell r="BH105">
            <v>67</v>
          </cell>
          <cell r="BI105">
            <v>6995</v>
          </cell>
          <cell r="BJ105">
            <v>59</v>
          </cell>
          <cell r="BK105">
            <v>6259</v>
          </cell>
          <cell r="BL105">
            <v>81</v>
          </cell>
          <cell r="BM105">
            <v>7827</v>
          </cell>
          <cell r="BN105">
            <v>79</v>
          </cell>
          <cell r="BO105">
            <v>7624</v>
          </cell>
          <cell r="BP105">
            <v>76</v>
          </cell>
          <cell r="BQ105">
            <v>7360</v>
          </cell>
          <cell r="BR105">
            <v>70</v>
          </cell>
          <cell r="BS105">
            <v>5086</v>
          </cell>
          <cell r="BT105">
            <v>70</v>
          </cell>
          <cell r="BU105">
            <v>5086</v>
          </cell>
          <cell r="BV105">
            <v>69</v>
          </cell>
          <cell r="BW105">
            <v>5009</v>
          </cell>
          <cell r="BX105">
            <v>1</v>
          </cell>
          <cell r="BY105">
            <v>290</v>
          </cell>
          <cell r="BZ105">
            <v>1</v>
          </cell>
          <cell r="CA105">
            <v>154</v>
          </cell>
          <cell r="CB105">
            <v>1</v>
          </cell>
          <cell r="CC105">
            <v>160</v>
          </cell>
          <cell r="CD105">
            <v>10</v>
          </cell>
          <cell r="CE105">
            <v>907</v>
          </cell>
          <cell r="CF105">
            <v>3</v>
          </cell>
          <cell r="CG105">
            <v>248</v>
          </cell>
          <cell r="CH105">
            <v>1</v>
          </cell>
          <cell r="CI105">
            <v>151</v>
          </cell>
        </row>
        <row r="106">
          <cell r="B106" t="str">
            <v>HOUSTON, TX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2</v>
          </cell>
          <cell r="H106">
            <v>436</v>
          </cell>
          <cell r="I106">
            <v>4</v>
          </cell>
          <cell r="J106">
            <v>545</v>
          </cell>
          <cell r="K106">
            <v>2</v>
          </cell>
          <cell r="L106">
            <v>232</v>
          </cell>
          <cell r="M106">
            <v>20</v>
          </cell>
          <cell r="N106">
            <v>2177</v>
          </cell>
          <cell r="O106">
            <v>2</v>
          </cell>
          <cell r="P106">
            <v>134</v>
          </cell>
          <cell r="Q106">
            <v>1</v>
          </cell>
          <cell r="R106">
            <v>60</v>
          </cell>
          <cell r="S106">
            <v>12</v>
          </cell>
          <cell r="T106">
            <v>994</v>
          </cell>
          <cell r="U106">
            <v>9</v>
          </cell>
          <cell r="V106">
            <v>625</v>
          </cell>
          <cell r="W106">
            <v>1</v>
          </cell>
          <cell r="X106">
            <v>72</v>
          </cell>
          <cell r="Y106">
            <v>60</v>
          </cell>
          <cell r="Z106">
            <v>5048</v>
          </cell>
          <cell r="AA106">
            <v>11</v>
          </cell>
          <cell r="AB106">
            <v>688</v>
          </cell>
          <cell r="AC106">
            <v>0</v>
          </cell>
          <cell r="AD106">
            <v>0</v>
          </cell>
          <cell r="AE106">
            <v>60</v>
          </cell>
          <cell r="AF106">
            <v>4895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7</v>
          </cell>
          <cell r="AL106">
            <v>869</v>
          </cell>
          <cell r="AM106" t="str">
            <v>HOUSTON, TX</v>
          </cell>
          <cell r="AN106">
            <v>30</v>
          </cell>
          <cell r="AO106">
            <v>10935</v>
          </cell>
          <cell r="AP106">
            <v>30</v>
          </cell>
          <cell r="AQ106">
            <v>10935</v>
          </cell>
          <cell r="AR106">
            <v>30</v>
          </cell>
          <cell r="AS106">
            <v>10935</v>
          </cell>
          <cell r="AT106">
            <v>44</v>
          </cell>
          <cell r="AU106">
            <v>7507</v>
          </cell>
          <cell r="AV106">
            <v>42</v>
          </cell>
          <cell r="AW106">
            <v>7275</v>
          </cell>
          <cell r="AX106">
            <v>38</v>
          </cell>
          <cell r="AY106">
            <v>6730</v>
          </cell>
          <cell r="AZ106">
            <v>46</v>
          </cell>
          <cell r="BA106">
            <v>6578</v>
          </cell>
          <cell r="BB106">
            <v>45</v>
          </cell>
          <cell r="BC106">
            <v>6518</v>
          </cell>
          <cell r="BD106">
            <v>43</v>
          </cell>
          <cell r="BE106">
            <v>6384</v>
          </cell>
          <cell r="BF106">
            <v>105</v>
          </cell>
          <cell r="BG106">
            <v>9964</v>
          </cell>
          <cell r="BH106">
            <v>104</v>
          </cell>
          <cell r="BI106">
            <v>9892</v>
          </cell>
          <cell r="BJ106">
            <v>95</v>
          </cell>
          <cell r="BK106">
            <v>9267</v>
          </cell>
          <cell r="BL106">
            <v>130</v>
          </cell>
          <cell r="BM106">
            <v>12245</v>
          </cell>
          <cell r="BN106">
            <v>130</v>
          </cell>
          <cell r="BO106">
            <v>12245</v>
          </cell>
          <cell r="BP106">
            <v>119</v>
          </cell>
          <cell r="BQ106">
            <v>11557</v>
          </cell>
          <cell r="BR106">
            <v>49</v>
          </cell>
          <cell r="BS106">
            <v>4940</v>
          </cell>
          <cell r="BT106">
            <v>49</v>
          </cell>
          <cell r="BU106">
            <v>4940</v>
          </cell>
          <cell r="BV106">
            <v>49</v>
          </cell>
          <cell r="BW106">
            <v>4940</v>
          </cell>
          <cell r="BX106">
            <v>1</v>
          </cell>
          <cell r="BY106">
            <v>286</v>
          </cell>
          <cell r="BZ106">
            <v>5</v>
          </cell>
          <cell r="CA106">
            <v>455</v>
          </cell>
          <cell r="CB106">
            <v>3</v>
          </cell>
          <cell r="CC106">
            <v>203</v>
          </cell>
          <cell r="CD106">
            <v>9</v>
          </cell>
          <cell r="CE106">
            <v>837</v>
          </cell>
          <cell r="CF106">
            <v>10</v>
          </cell>
          <cell r="CG106">
            <v>683</v>
          </cell>
          <cell r="CH106">
            <v>1</v>
          </cell>
          <cell r="CI106">
            <v>26</v>
          </cell>
        </row>
        <row r="107">
          <cell r="B107" t="str">
            <v>LAS VEGAS, NV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5</v>
          </cell>
          <cell r="H107">
            <v>1708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8</v>
          </cell>
          <cell r="N107">
            <v>1320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2</v>
          </cell>
          <cell r="T107">
            <v>400</v>
          </cell>
          <cell r="U107">
            <v>3</v>
          </cell>
          <cell r="V107">
            <v>288</v>
          </cell>
          <cell r="W107">
            <v>0</v>
          </cell>
          <cell r="X107">
            <v>0</v>
          </cell>
          <cell r="Y107">
            <v>9</v>
          </cell>
          <cell r="Z107">
            <v>1346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2</v>
          </cell>
          <cell r="AF107">
            <v>182</v>
          </cell>
          <cell r="AG107">
            <v>3</v>
          </cell>
          <cell r="AH107">
            <v>1674</v>
          </cell>
          <cell r="AI107">
            <v>1</v>
          </cell>
          <cell r="AJ107">
            <v>716</v>
          </cell>
          <cell r="AK107">
            <v>21</v>
          </cell>
          <cell r="AL107">
            <v>23530</v>
          </cell>
          <cell r="AM107" t="str">
            <v>LAS VEGAS, NV</v>
          </cell>
          <cell r="AN107">
            <v>9</v>
          </cell>
          <cell r="AO107">
            <v>11887</v>
          </cell>
          <cell r="AP107">
            <v>9</v>
          </cell>
          <cell r="AQ107">
            <v>11887</v>
          </cell>
          <cell r="AR107">
            <v>9</v>
          </cell>
          <cell r="AS107">
            <v>11887</v>
          </cell>
          <cell r="AT107">
            <v>11</v>
          </cell>
          <cell r="AU107">
            <v>3502</v>
          </cell>
          <cell r="AV107">
            <v>11</v>
          </cell>
          <cell r="AW107">
            <v>3502</v>
          </cell>
          <cell r="AX107">
            <v>11</v>
          </cell>
          <cell r="AY107">
            <v>3502</v>
          </cell>
          <cell r="AZ107">
            <v>20</v>
          </cell>
          <cell r="BA107">
            <v>4136</v>
          </cell>
          <cell r="BB107">
            <v>20</v>
          </cell>
          <cell r="BC107">
            <v>4136</v>
          </cell>
          <cell r="BD107">
            <v>20</v>
          </cell>
          <cell r="BE107">
            <v>4136</v>
          </cell>
          <cell r="BF107">
            <v>18</v>
          </cell>
          <cell r="BG107">
            <v>2337</v>
          </cell>
          <cell r="BH107">
            <v>18</v>
          </cell>
          <cell r="BI107">
            <v>2337</v>
          </cell>
          <cell r="BJ107">
            <v>15</v>
          </cell>
          <cell r="BK107">
            <v>2049</v>
          </cell>
          <cell r="BL107">
            <v>26</v>
          </cell>
          <cell r="BM107">
            <v>4251</v>
          </cell>
          <cell r="BN107">
            <v>26</v>
          </cell>
          <cell r="BO107">
            <v>4251</v>
          </cell>
          <cell r="BP107">
            <v>26</v>
          </cell>
          <cell r="BQ107">
            <v>4251</v>
          </cell>
          <cell r="BR107">
            <v>232</v>
          </cell>
          <cell r="BS107">
            <v>104704</v>
          </cell>
          <cell r="BT107">
            <v>231</v>
          </cell>
          <cell r="BU107">
            <v>103988</v>
          </cell>
          <cell r="BV107">
            <v>228</v>
          </cell>
          <cell r="BW107">
            <v>102314</v>
          </cell>
          <cell r="BX107">
            <v>1</v>
          </cell>
          <cell r="BY107">
            <v>286</v>
          </cell>
          <cell r="BZ107">
            <v>2</v>
          </cell>
          <cell r="CA107">
            <v>229</v>
          </cell>
          <cell r="CB107">
            <v>0</v>
          </cell>
          <cell r="CC107">
            <v>0</v>
          </cell>
          <cell r="CD107">
            <v>2</v>
          </cell>
          <cell r="CE107">
            <v>352</v>
          </cell>
          <cell r="CF107">
            <v>0</v>
          </cell>
          <cell r="CG107">
            <v>0</v>
          </cell>
          <cell r="CH107">
            <v>3</v>
          </cell>
          <cell r="CI107">
            <v>3151</v>
          </cell>
        </row>
        <row r="108">
          <cell r="B108" t="str">
            <v>LOS ANGELES-LONG BEACH, CA</v>
          </cell>
          <cell r="C108">
            <v>1</v>
          </cell>
          <cell r="D108">
            <v>240</v>
          </cell>
          <cell r="E108">
            <v>0</v>
          </cell>
          <cell r="F108">
            <v>0</v>
          </cell>
          <cell r="G108">
            <v>2</v>
          </cell>
          <cell r="H108">
            <v>490</v>
          </cell>
          <cell r="I108">
            <v>4</v>
          </cell>
          <cell r="J108">
            <v>598</v>
          </cell>
          <cell r="K108">
            <v>0</v>
          </cell>
          <cell r="L108">
            <v>0</v>
          </cell>
          <cell r="M108">
            <v>10</v>
          </cell>
          <cell r="N108">
            <v>1460</v>
          </cell>
          <cell r="O108">
            <v>1</v>
          </cell>
          <cell r="P108">
            <v>105</v>
          </cell>
          <cell r="Q108">
            <v>0</v>
          </cell>
          <cell r="R108">
            <v>0</v>
          </cell>
          <cell r="S108">
            <v>4</v>
          </cell>
          <cell r="T108">
            <v>323</v>
          </cell>
          <cell r="U108">
            <v>3</v>
          </cell>
          <cell r="V108">
            <v>271</v>
          </cell>
          <cell r="W108">
            <v>0</v>
          </cell>
          <cell r="X108">
            <v>0</v>
          </cell>
          <cell r="Y108">
            <v>6</v>
          </cell>
          <cell r="Z108">
            <v>536</v>
          </cell>
          <cell r="AA108">
            <v>1</v>
          </cell>
          <cell r="AB108">
            <v>30</v>
          </cell>
          <cell r="AC108">
            <v>1</v>
          </cell>
          <cell r="AD108">
            <v>140</v>
          </cell>
          <cell r="AE108">
            <v>20</v>
          </cell>
          <cell r="AF108">
            <v>2116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7</v>
          </cell>
          <cell r="AL108">
            <v>856</v>
          </cell>
          <cell r="AM108" t="str">
            <v>LOS ANGELES-LONG BEACH, CA</v>
          </cell>
          <cell r="AN108">
            <v>68</v>
          </cell>
          <cell r="AO108">
            <v>25416</v>
          </cell>
          <cell r="AP108">
            <v>68</v>
          </cell>
          <cell r="AQ108">
            <v>25416</v>
          </cell>
          <cell r="AR108">
            <v>67</v>
          </cell>
          <cell r="AS108">
            <v>25176</v>
          </cell>
          <cell r="AT108">
            <v>41</v>
          </cell>
          <cell r="AU108">
            <v>8615</v>
          </cell>
          <cell r="AV108">
            <v>41</v>
          </cell>
          <cell r="AW108">
            <v>8615</v>
          </cell>
          <cell r="AX108">
            <v>37</v>
          </cell>
          <cell r="AY108">
            <v>8017</v>
          </cell>
          <cell r="AZ108">
            <v>99</v>
          </cell>
          <cell r="BA108">
            <v>13709</v>
          </cell>
          <cell r="BB108">
            <v>99</v>
          </cell>
          <cell r="BC108">
            <v>13709</v>
          </cell>
          <cell r="BD108">
            <v>98</v>
          </cell>
          <cell r="BE108">
            <v>13604</v>
          </cell>
          <cell r="BF108">
            <v>40</v>
          </cell>
          <cell r="BG108">
            <v>3323</v>
          </cell>
          <cell r="BH108">
            <v>40</v>
          </cell>
          <cell r="BI108">
            <v>3323</v>
          </cell>
          <cell r="BJ108">
            <v>37</v>
          </cell>
          <cell r="BK108">
            <v>3052</v>
          </cell>
          <cell r="BL108">
            <v>150</v>
          </cell>
          <cell r="BM108">
            <v>10922</v>
          </cell>
          <cell r="BN108">
            <v>149</v>
          </cell>
          <cell r="BO108">
            <v>10782</v>
          </cell>
          <cell r="BP108">
            <v>148</v>
          </cell>
          <cell r="BQ108">
            <v>10752</v>
          </cell>
          <cell r="BR108">
            <v>313</v>
          </cell>
          <cell r="BS108">
            <v>23340</v>
          </cell>
          <cell r="BT108">
            <v>313</v>
          </cell>
          <cell r="BU108">
            <v>23340</v>
          </cell>
          <cell r="BV108">
            <v>313</v>
          </cell>
          <cell r="BW108">
            <v>23340</v>
          </cell>
          <cell r="BX108">
            <v>0</v>
          </cell>
          <cell r="BY108">
            <v>0</v>
          </cell>
          <cell r="BZ108">
            <v>3</v>
          </cell>
          <cell r="CA108">
            <v>562</v>
          </cell>
          <cell r="CB108">
            <v>2</v>
          </cell>
          <cell r="CC108">
            <v>151</v>
          </cell>
          <cell r="CD108">
            <v>0</v>
          </cell>
          <cell r="CE108">
            <v>0</v>
          </cell>
          <cell r="CF108">
            <v>2</v>
          </cell>
          <cell r="CG108">
            <v>254</v>
          </cell>
          <cell r="CH108">
            <v>1</v>
          </cell>
          <cell r="CI108">
            <v>50</v>
          </cell>
        </row>
        <row r="109">
          <cell r="B109" t="str">
            <v>MIAMI-HIALEAH, FL</v>
          </cell>
          <cell r="C109">
            <v>1</v>
          </cell>
          <cell r="D109">
            <v>490</v>
          </cell>
          <cell r="E109">
            <v>0</v>
          </cell>
          <cell r="F109">
            <v>0</v>
          </cell>
          <cell r="G109">
            <v>6</v>
          </cell>
          <cell r="H109">
            <v>2136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3</v>
          </cell>
          <cell r="N109">
            <v>465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2</v>
          </cell>
          <cell r="T109">
            <v>202</v>
          </cell>
          <cell r="U109">
            <v>1</v>
          </cell>
          <cell r="V109">
            <v>131</v>
          </cell>
          <cell r="W109">
            <v>0</v>
          </cell>
          <cell r="X109">
            <v>0</v>
          </cell>
          <cell r="Y109">
            <v>11</v>
          </cell>
          <cell r="Z109">
            <v>1281</v>
          </cell>
          <cell r="AA109">
            <v>3</v>
          </cell>
          <cell r="AB109">
            <v>312</v>
          </cell>
          <cell r="AC109">
            <v>1</v>
          </cell>
          <cell r="AD109">
            <v>98</v>
          </cell>
          <cell r="AE109">
            <v>8</v>
          </cell>
          <cell r="AF109">
            <v>898</v>
          </cell>
          <cell r="AG109">
            <v>2</v>
          </cell>
          <cell r="AH109">
            <v>528</v>
          </cell>
          <cell r="AI109">
            <v>0</v>
          </cell>
          <cell r="AJ109">
            <v>0</v>
          </cell>
          <cell r="AK109">
            <v>7</v>
          </cell>
          <cell r="AL109">
            <v>1431</v>
          </cell>
          <cell r="AM109" t="str">
            <v>MIAMI-HIALEAH, FL</v>
          </cell>
          <cell r="AN109">
            <v>29</v>
          </cell>
          <cell r="AO109">
            <v>11732</v>
          </cell>
          <cell r="AP109">
            <v>29</v>
          </cell>
          <cell r="AQ109">
            <v>11732</v>
          </cell>
          <cell r="AR109">
            <v>28</v>
          </cell>
          <cell r="AS109">
            <v>11242</v>
          </cell>
          <cell r="AT109">
            <v>17</v>
          </cell>
          <cell r="AU109">
            <v>3270</v>
          </cell>
          <cell r="AV109">
            <v>17</v>
          </cell>
          <cell r="AW109">
            <v>3270</v>
          </cell>
          <cell r="AX109">
            <v>17</v>
          </cell>
          <cell r="AY109">
            <v>3270</v>
          </cell>
          <cell r="AZ109">
            <v>37</v>
          </cell>
          <cell r="BA109">
            <v>6110</v>
          </cell>
          <cell r="BB109">
            <v>37</v>
          </cell>
          <cell r="BC109">
            <v>6110</v>
          </cell>
          <cell r="BD109">
            <v>37</v>
          </cell>
          <cell r="BE109">
            <v>6110</v>
          </cell>
          <cell r="BF109">
            <v>27</v>
          </cell>
          <cell r="BG109">
            <v>3416</v>
          </cell>
          <cell r="BH109">
            <v>27</v>
          </cell>
          <cell r="BI109">
            <v>3416</v>
          </cell>
          <cell r="BJ109">
            <v>26</v>
          </cell>
          <cell r="BK109">
            <v>3285</v>
          </cell>
          <cell r="BL109">
            <v>36</v>
          </cell>
          <cell r="BM109">
            <v>3925</v>
          </cell>
          <cell r="BN109">
            <v>35</v>
          </cell>
          <cell r="BO109">
            <v>3827</v>
          </cell>
          <cell r="BP109">
            <v>32</v>
          </cell>
          <cell r="BQ109">
            <v>3515</v>
          </cell>
          <cell r="BR109">
            <v>145</v>
          </cell>
          <cell r="BS109">
            <v>16524</v>
          </cell>
          <cell r="BT109">
            <v>145</v>
          </cell>
          <cell r="BU109">
            <v>16524</v>
          </cell>
          <cell r="BV109">
            <v>143</v>
          </cell>
          <cell r="BW109">
            <v>15996</v>
          </cell>
          <cell r="BX109">
            <v>3</v>
          </cell>
          <cell r="BY109">
            <v>689</v>
          </cell>
          <cell r="BZ109">
            <v>2</v>
          </cell>
          <cell r="CA109">
            <v>299</v>
          </cell>
          <cell r="CB109">
            <v>0</v>
          </cell>
          <cell r="CC109">
            <v>0</v>
          </cell>
          <cell r="CD109">
            <v>2</v>
          </cell>
          <cell r="CE109">
            <v>258</v>
          </cell>
          <cell r="CF109">
            <v>0</v>
          </cell>
          <cell r="CG109">
            <v>0</v>
          </cell>
          <cell r="CH109">
            <v>1</v>
          </cell>
          <cell r="CI109">
            <v>329</v>
          </cell>
        </row>
        <row r="110">
          <cell r="B110" t="str">
            <v>MINNEAPOLIS-SAINT PAUL, MN-WI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4</v>
          </cell>
          <cell r="J110">
            <v>594</v>
          </cell>
          <cell r="K110">
            <v>1</v>
          </cell>
          <cell r="L110">
            <v>127</v>
          </cell>
          <cell r="M110">
            <v>16</v>
          </cell>
          <cell r="N110">
            <v>2101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1</v>
          </cell>
          <cell r="T110">
            <v>82</v>
          </cell>
          <cell r="U110">
            <v>2</v>
          </cell>
          <cell r="V110">
            <v>233</v>
          </cell>
          <cell r="W110">
            <v>0</v>
          </cell>
          <cell r="X110">
            <v>0</v>
          </cell>
          <cell r="Y110">
            <v>29</v>
          </cell>
          <cell r="Z110">
            <v>2636</v>
          </cell>
          <cell r="AA110">
            <v>3</v>
          </cell>
          <cell r="AB110">
            <v>225</v>
          </cell>
          <cell r="AC110">
            <v>0</v>
          </cell>
          <cell r="AD110">
            <v>0</v>
          </cell>
          <cell r="AE110">
            <v>25</v>
          </cell>
          <cell r="AF110">
            <v>2108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2</v>
          </cell>
          <cell r="AL110">
            <v>402</v>
          </cell>
          <cell r="AM110" t="str">
            <v>MINNEAPOLIS-SAINT PAUL, MN-WI</v>
          </cell>
          <cell r="AN110">
            <v>18</v>
          </cell>
          <cell r="AO110">
            <v>5787</v>
          </cell>
          <cell r="AP110">
            <v>18</v>
          </cell>
          <cell r="AQ110">
            <v>5787</v>
          </cell>
          <cell r="AR110">
            <v>18</v>
          </cell>
          <cell r="AS110">
            <v>5787</v>
          </cell>
          <cell r="AT110">
            <v>30</v>
          </cell>
          <cell r="AU110">
            <v>5653</v>
          </cell>
          <cell r="AV110">
            <v>29</v>
          </cell>
          <cell r="AW110">
            <v>5526</v>
          </cell>
          <cell r="AX110">
            <v>25</v>
          </cell>
          <cell r="AY110">
            <v>4932</v>
          </cell>
          <cell r="AZ110">
            <v>32</v>
          </cell>
          <cell r="BA110">
            <v>5151</v>
          </cell>
          <cell r="BB110">
            <v>32</v>
          </cell>
          <cell r="BC110">
            <v>5151</v>
          </cell>
          <cell r="BD110">
            <v>32</v>
          </cell>
          <cell r="BE110">
            <v>5151</v>
          </cell>
          <cell r="BF110">
            <v>63</v>
          </cell>
          <cell r="BG110">
            <v>6570</v>
          </cell>
          <cell r="BH110">
            <v>63</v>
          </cell>
          <cell r="BI110">
            <v>6570</v>
          </cell>
          <cell r="BJ110">
            <v>61</v>
          </cell>
          <cell r="BK110">
            <v>6337</v>
          </cell>
          <cell r="BL110">
            <v>85</v>
          </cell>
          <cell r="BM110">
            <v>7157</v>
          </cell>
          <cell r="BN110">
            <v>85</v>
          </cell>
          <cell r="BO110">
            <v>7157</v>
          </cell>
          <cell r="BP110">
            <v>82</v>
          </cell>
          <cell r="BQ110">
            <v>6932</v>
          </cell>
          <cell r="BR110">
            <v>29</v>
          </cell>
          <cell r="BS110">
            <v>2785</v>
          </cell>
          <cell r="BT110">
            <v>29</v>
          </cell>
          <cell r="BU110">
            <v>2785</v>
          </cell>
          <cell r="BV110">
            <v>29</v>
          </cell>
          <cell r="BW110">
            <v>2785</v>
          </cell>
          <cell r="BX110">
            <v>0</v>
          </cell>
          <cell r="BY110">
            <v>0</v>
          </cell>
          <cell r="BZ110">
            <v>1</v>
          </cell>
          <cell r="CA110">
            <v>97</v>
          </cell>
          <cell r="CB110">
            <v>0</v>
          </cell>
          <cell r="CC110">
            <v>0</v>
          </cell>
          <cell r="CD110">
            <v>6</v>
          </cell>
          <cell r="CE110">
            <v>528</v>
          </cell>
          <cell r="CF110">
            <v>2</v>
          </cell>
          <cell r="CG110">
            <v>104</v>
          </cell>
          <cell r="CH110">
            <v>1</v>
          </cell>
          <cell r="CI110">
            <v>200</v>
          </cell>
        </row>
        <row r="111">
          <cell r="B111" t="str">
            <v>NASHVILLE, TN</v>
          </cell>
          <cell r="C111">
            <v>3</v>
          </cell>
          <cell r="D111">
            <v>762</v>
          </cell>
          <cell r="E111">
            <v>0</v>
          </cell>
          <cell r="F111">
            <v>0</v>
          </cell>
          <cell r="G111">
            <v>5</v>
          </cell>
          <cell r="H111">
            <v>1392</v>
          </cell>
          <cell r="I111">
            <v>1</v>
          </cell>
          <cell r="J111">
            <v>110</v>
          </cell>
          <cell r="K111">
            <v>0</v>
          </cell>
          <cell r="L111">
            <v>0</v>
          </cell>
          <cell r="M111">
            <v>10</v>
          </cell>
          <cell r="N111">
            <v>1178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1</v>
          </cell>
          <cell r="T111">
            <v>45</v>
          </cell>
          <cell r="U111">
            <v>6</v>
          </cell>
          <cell r="V111">
            <v>522</v>
          </cell>
          <cell r="W111">
            <v>1</v>
          </cell>
          <cell r="X111">
            <v>74</v>
          </cell>
          <cell r="Y111">
            <v>29</v>
          </cell>
          <cell r="Z111">
            <v>2269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24</v>
          </cell>
          <cell r="AF111">
            <v>2217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2</v>
          </cell>
          <cell r="AL111">
            <v>274</v>
          </cell>
          <cell r="AM111" t="str">
            <v>NASHVILLE, TN</v>
          </cell>
          <cell r="AN111">
            <v>16</v>
          </cell>
          <cell r="AO111">
            <v>4973</v>
          </cell>
          <cell r="AP111">
            <v>16</v>
          </cell>
          <cell r="AQ111">
            <v>4973</v>
          </cell>
          <cell r="AR111">
            <v>13</v>
          </cell>
          <cell r="AS111">
            <v>4211</v>
          </cell>
          <cell r="AT111">
            <v>21</v>
          </cell>
          <cell r="AU111">
            <v>2996</v>
          </cell>
          <cell r="AV111">
            <v>21</v>
          </cell>
          <cell r="AW111">
            <v>2996</v>
          </cell>
          <cell r="AX111">
            <v>20</v>
          </cell>
          <cell r="AY111">
            <v>2886</v>
          </cell>
          <cell r="AZ111">
            <v>35</v>
          </cell>
          <cell r="BA111">
            <v>5313</v>
          </cell>
          <cell r="BB111">
            <v>35</v>
          </cell>
          <cell r="BC111">
            <v>5313</v>
          </cell>
          <cell r="BD111">
            <v>35</v>
          </cell>
          <cell r="BE111">
            <v>5313</v>
          </cell>
          <cell r="BF111">
            <v>66</v>
          </cell>
          <cell r="BG111">
            <v>5971</v>
          </cell>
          <cell r="BH111">
            <v>65</v>
          </cell>
          <cell r="BI111">
            <v>5897</v>
          </cell>
          <cell r="BJ111">
            <v>59</v>
          </cell>
          <cell r="BK111">
            <v>5375</v>
          </cell>
          <cell r="BL111">
            <v>94</v>
          </cell>
          <cell r="BM111">
            <v>8500</v>
          </cell>
          <cell r="BN111">
            <v>94</v>
          </cell>
          <cell r="BO111">
            <v>8500</v>
          </cell>
          <cell r="BP111">
            <v>94</v>
          </cell>
          <cell r="BQ111">
            <v>8500</v>
          </cell>
          <cell r="BR111">
            <v>45</v>
          </cell>
          <cell r="BS111">
            <v>6003</v>
          </cell>
          <cell r="BT111">
            <v>45</v>
          </cell>
          <cell r="BU111">
            <v>6003</v>
          </cell>
          <cell r="BV111">
            <v>45</v>
          </cell>
          <cell r="BW111">
            <v>6003</v>
          </cell>
          <cell r="BX111">
            <v>1</v>
          </cell>
          <cell r="BY111">
            <v>330</v>
          </cell>
          <cell r="BZ111">
            <v>3</v>
          </cell>
          <cell r="CA111">
            <v>314</v>
          </cell>
          <cell r="CB111">
            <v>0</v>
          </cell>
          <cell r="CC111">
            <v>0</v>
          </cell>
          <cell r="CD111">
            <v>5</v>
          </cell>
          <cell r="CE111">
            <v>353</v>
          </cell>
          <cell r="CF111">
            <v>2</v>
          </cell>
          <cell r="CG111">
            <v>156</v>
          </cell>
          <cell r="CH111">
            <v>0</v>
          </cell>
          <cell r="CI111">
            <v>0</v>
          </cell>
        </row>
        <row r="112">
          <cell r="B112" t="str">
            <v>NEW ORLEANS, LA</v>
          </cell>
          <cell r="C112">
            <v>1</v>
          </cell>
          <cell r="D112">
            <v>280</v>
          </cell>
          <cell r="E112">
            <v>0</v>
          </cell>
          <cell r="F112">
            <v>0</v>
          </cell>
          <cell r="G112">
            <v>4</v>
          </cell>
          <cell r="H112">
            <v>1197</v>
          </cell>
          <cell r="I112">
            <v>1</v>
          </cell>
          <cell r="J112">
            <v>208</v>
          </cell>
          <cell r="K112">
            <v>0</v>
          </cell>
          <cell r="L112">
            <v>0</v>
          </cell>
          <cell r="M112">
            <v>8</v>
          </cell>
          <cell r="N112">
            <v>1414</v>
          </cell>
          <cell r="O112">
            <v>3</v>
          </cell>
          <cell r="P112">
            <v>320</v>
          </cell>
          <cell r="Q112">
            <v>1</v>
          </cell>
          <cell r="R112">
            <v>100</v>
          </cell>
          <cell r="S112">
            <v>11</v>
          </cell>
          <cell r="T112">
            <v>1057</v>
          </cell>
          <cell r="U112">
            <v>4</v>
          </cell>
          <cell r="V112">
            <v>253</v>
          </cell>
          <cell r="W112">
            <v>1</v>
          </cell>
          <cell r="X112">
            <v>68</v>
          </cell>
          <cell r="Y112">
            <v>18</v>
          </cell>
          <cell r="Z112">
            <v>1946</v>
          </cell>
          <cell r="AA112">
            <v>2</v>
          </cell>
          <cell r="AB112">
            <v>181</v>
          </cell>
          <cell r="AC112">
            <v>0</v>
          </cell>
          <cell r="AD112">
            <v>0</v>
          </cell>
          <cell r="AE112">
            <v>9</v>
          </cell>
          <cell r="AF112">
            <v>867</v>
          </cell>
          <cell r="AG112">
            <v>6</v>
          </cell>
          <cell r="AH112">
            <v>868</v>
          </cell>
          <cell r="AI112">
            <v>0</v>
          </cell>
          <cell r="AJ112">
            <v>0</v>
          </cell>
          <cell r="AK112">
            <v>13</v>
          </cell>
          <cell r="AL112">
            <v>1424</v>
          </cell>
          <cell r="AM112" t="str">
            <v>NEW ORLEANS, LA</v>
          </cell>
          <cell r="AN112">
            <v>23</v>
          </cell>
          <cell r="AO112">
            <v>11532</v>
          </cell>
          <cell r="AP112">
            <v>23</v>
          </cell>
          <cell r="AQ112">
            <v>11532</v>
          </cell>
          <cell r="AR112">
            <v>22</v>
          </cell>
          <cell r="AS112">
            <v>11252</v>
          </cell>
          <cell r="AT112">
            <v>13</v>
          </cell>
          <cell r="AU112">
            <v>3442</v>
          </cell>
          <cell r="AV112">
            <v>13</v>
          </cell>
          <cell r="AW112">
            <v>3442</v>
          </cell>
          <cell r="AX112">
            <v>12</v>
          </cell>
          <cell r="AY112">
            <v>3234</v>
          </cell>
          <cell r="AZ112">
            <v>39</v>
          </cell>
          <cell r="BA112">
            <v>5762</v>
          </cell>
          <cell r="BB112">
            <v>38</v>
          </cell>
          <cell r="BC112">
            <v>5662</v>
          </cell>
          <cell r="BD112">
            <v>35</v>
          </cell>
          <cell r="BE112">
            <v>5342</v>
          </cell>
          <cell r="BF112">
            <v>33</v>
          </cell>
          <cell r="BG112">
            <v>3893</v>
          </cell>
          <cell r="BH112">
            <v>32</v>
          </cell>
          <cell r="BI112">
            <v>3825</v>
          </cell>
          <cell r="BJ112">
            <v>28</v>
          </cell>
          <cell r="BK112">
            <v>3572</v>
          </cell>
          <cell r="BL112">
            <v>28</v>
          </cell>
          <cell r="BM112">
            <v>3377</v>
          </cell>
          <cell r="BN112">
            <v>28</v>
          </cell>
          <cell r="BO112">
            <v>3377</v>
          </cell>
          <cell r="BP112">
            <v>26</v>
          </cell>
          <cell r="BQ112">
            <v>3196</v>
          </cell>
          <cell r="BR112">
            <v>66</v>
          </cell>
          <cell r="BS112">
            <v>6993</v>
          </cell>
          <cell r="BT112">
            <v>66</v>
          </cell>
          <cell r="BU112">
            <v>6993</v>
          </cell>
          <cell r="BV112">
            <v>60</v>
          </cell>
          <cell r="BW112">
            <v>6125</v>
          </cell>
          <cell r="BX112">
            <v>2</v>
          </cell>
          <cell r="BY112">
            <v>545</v>
          </cell>
          <cell r="BZ112">
            <v>2</v>
          </cell>
          <cell r="CA112">
            <v>408</v>
          </cell>
          <cell r="CB112">
            <v>2</v>
          </cell>
          <cell r="CC112">
            <v>277</v>
          </cell>
          <cell r="CD112">
            <v>5</v>
          </cell>
          <cell r="CE112">
            <v>748</v>
          </cell>
          <cell r="CF112">
            <v>3</v>
          </cell>
          <cell r="CG112">
            <v>306</v>
          </cell>
          <cell r="CH112">
            <v>2</v>
          </cell>
          <cell r="CI112">
            <v>205</v>
          </cell>
        </row>
        <row r="113">
          <cell r="B113" t="str">
            <v>NEW YORK, NY</v>
          </cell>
          <cell r="C113">
            <v>1</v>
          </cell>
          <cell r="D113">
            <v>509</v>
          </cell>
          <cell r="E113">
            <v>1</v>
          </cell>
          <cell r="F113">
            <v>298</v>
          </cell>
          <cell r="G113">
            <v>9</v>
          </cell>
          <cell r="H113">
            <v>3093</v>
          </cell>
          <cell r="I113">
            <v>2</v>
          </cell>
          <cell r="J113">
            <v>314</v>
          </cell>
          <cell r="K113">
            <v>0</v>
          </cell>
          <cell r="L113">
            <v>0</v>
          </cell>
          <cell r="M113">
            <v>5</v>
          </cell>
          <cell r="N113">
            <v>989</v>
          </cell>
          <cell r="O113">
            <v>2</v>
          </cell>
          <cell r="P113">
            <v>327</v>
          </cell>
          <cell r="Q113">
            <v>1</v>
          </cell>
          <cell r="R113">
            <v>83</v>
          </cell>
          <cell r="S113">
            <v>6</v>
          </cell>
          <cell r="T113">
            <v>1159</v>
          </cell>
          <cell r="U113">
            <v>5</v>
          </cell>
          <cell r="V113">
            <v>549</v>
          </cell>
          <cell r="W113">
            <v>0</v>
          </cell>
          <cell r="X113">
            <v>0</v>
          </cell>
          <cell r="Y113">
            <v>7</v>
          </cell>
          <cell r="Z113">
            <v>694</v>
          </cell>
          <cell r="AA113">
            <v>2</v>
          </cell>
          <cell r="AB113">
            <v>163</v>
          </cell>
          <cell r="AC113">
            <v>0</v>
          </cell>
          <cell r="AD113">
            <v>0</v>
          </cell>
          <cell r="AE113">
            <v>5</v>
          </cell>
          <cell r="AF113">
            <v>512</v>
          </cell>
          <cell r="AG113">
            <v>4</v>
          </cell>
          <cell r="AH113">
            <v>415</v>
          </cell>
          <cell r="AI113">
            <v>0</v>
          </cell>
          <cell r="AJ113">
            <v>0</v>
          </cell>
          <cell r="AK113">
            <v>21</v>
          </cell>
          <cell r="AL113">
            <v>2698</v>
          </cell>
          <cell r="AM113" t="str">
            <v>NEW YORK, NY</v>
          </cell>
          <cell r="AN113">
            <v>51</v>
          </cell>
          <cell r="AO113">
            <v>27827</v>
          </cell>
          <cell r="AP113">
            <v>50</v>
          </cell>
          <cell r="AQ113">
            <v>27529</v>
          </cell>
          <cell r="AR113">
            <v>49</v>
          </cell>
          <cell r="AS113">
            <v>27020</v>
          </cell>
          <cell r="AT113">
            <v>18</v>
          </cell>
          <cell r="AU113">
            <v>5701</v>
          </cell>
          <cell r="AV113">
            <v>18</v>
          </cell>
          <cell r="AW113">
            <v>5701</v>
          </cell>
          <cell r="AX113">
            <v>16</v>
          </cell>
          <cell r="AY113">
            <v>5387</v>
          </cell>
          <cell r="AZ113">
            <v>37</v>
          </cell>
          <cell r="BA113">
            <v>9314</v>
          </cell>
          <cell r="BB113">
            <v>36</v>
          </cell>
          <cell r="BC113">
            <v>9231</v>
          </cell>
          <cell r="BD113">
            <v>34</v>
          </cell>
          <cell r="BE113">
            <v>8904</v>
          </cell>
          <cell r="BF113">
            <v>15</v>
          </cell>
          <cell r="BG113">
            <v>1459</v>
          </cell>
          <cell r="BH113">
            <v>15</v>
          </cell>
          <cell r="BI113">
            <v>1459</v>
          </cell>
          <cell r="BJ113">
            <v>10</v>
          </cell>
          <cell r="BK113">
            <v>910</v>
          </cell>
          <cell r="BL113">
            <v>11</v>
          </cell>
          <cell r="BM113">
            <v>1439</v>
          </cell>
          <cell r="BN113">
            <v>11</v>
          </cell>
          <cell r="BO113">
            <v>1439</v>
          </cell>
          <cell r="BP113">
            <v>9</v>
          </cell>
          <cell r="BQ113">
            <v>1276</v>
          </cell>
          <cell r="BR113">
            <v>163</v>
          </cell>
          <cell r="BS113">
            <v>30472</v>
          </cell>
          <cell r="BT113">
            <v>163</v>
          </cell>
          <cell r="BU113">
            <v>30472</v>
          </cell>
          <cell r="BV113">
            <v>159</v>
          </cell>
          <cell r="BW113">
            <v>30057</v>
          </cell>
          <cell r="BX113">
            <v>5</v>
          </cell>
          <cell r="BY113">
            <v>1725</v>
          </cell>
          <cell r="BZ113">
            <v>1</v>
          </cell>
          <cell r="CA113">
            <v>123</v>
          </cell>
          <cell r="CB113">
            <v>0</v>
          </cell>
          <cell r="CC113">
            <v>0</v>
          </cell>
          <cell r="CD113">
            <v>1</v>
          </cell>
          <cell r="CE113">
            <v>85</v>
          </cell>
          <cell r="CF113">
            <v>3</v>
          </cell>
          <cell r="CG113">
            <v>349</v>
          </cell>
          <cell r="CH113">
            <v>8</v>
          </cell>
          <cell r="CI113">
            <v>1333</v>
          </cell>
        </row>
        <row r="114">
          <cell r="B114" t="str">
            <v>NORFOLK-VIRGINIA BEACH, VA</v>
          </cell>
          <cell r="C114">
            <v>1</v>
          </cell>
          <cell r="D114">
            <v>250</v>
          </cell>
          <cell r="E114">
            <v>0</v>
          </cell>
          <cell r="F114">
            <v>0</v>
          </cell>
          <cell r="G114">
            <v>1</v>
          </cell>
          <cell r="H114">
            <v>250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9</v>
          </cell>
          <cell r="N114">
            <v>920</v>
          </cell>
          <cell r="O114">
            <v>2</v>
          </cell>
          <cell r="P114">
            <v>295</v>
          </cell>
          <cell r="Q114">
            <v>0</v>
          </cell>
          <cell r="R114">
            <v>0</v>
          </cell>
          <cell r="S114">
            <v>3</v>
          </cell>
          <cell r="T114">
            <v>442</v>
          </cell>
          <cell r="U114">
            <v>1</v>
          </cell>
          <cell r="V114">
            <v>107</v>
          </cell>
          <cell r="W114">
            <v>0</v>
          </cell>
          <cell r="X114">
            <v>0</v>
          </cell>
          <cell r="Y114">
            <v>10</v>
          </cell>
          <cell r="Z114">
            <v>916</v>
          </cell>
          <cell r="AA114">
            <v>1</v>
          </cell>
          <cell r="AB114">
            <v>91</v>
          </cell>
          <cell r="AC114">
            <v>0</v>
          </cell>
          <cell r="AD114">
            <v>0</v>
          </cell>
          <cell r="AE114">
            <v>10</v>
          </cell>
          <cell r="AF114">
            <v>1003</v>
          </cell>
          <cell r="AG114">
            <v>1</v>
          </cell>
          <cell r="AH114">
            <v>300</v>
          </cell>
          <cell r="AI114">
            <v>1</v>
          </cell>
          <cell r="AJ114">
            <v>129</v>
          </cell>
          <cell r="AK114">
            <v>3</v>
          </cell>
          <cell r="AL114">
            <v>564</v>
          </cell>
          <cell r="AM114" t="str">
            <v>NORFOLK-VIRGINIA BEACH, VA</v>
          </cell>
          <cell r="AN114">
            <v>9</v>
          </cell>
          <cell r="AO114">
            <v>2489</v>
          </cell>
          <cell r="AP114">
            <v>9</v>
          </cell>
          <cell r="AQ114">
            <v>2489</v>
          </cell>
          <cell r="AR114">
            <v>8</v>
          </cell>
          <cell r="AS114">
            <v>2239</v>
          </cell>
          <cell r="AT114">
            <v>16</v>
          </cell>
          <cell r="AU114">
            <v>2133</v>
          </cell>
          <cell r="AV114">
            <v>16</v>
          </cell>
          <cell r="AW114">
            <v>2133</v>
          </cell>
          <cell r="AX114">
            <v>16</v>
          </cell>
          <cell r="AY114">
            <v>2133</v>
          </cell>
          <cell r="AZ114">
            <v>52</v>
          </cell>
          <cell r="BA114">
            <v>7807</v>
          </cell>
          <cell r="BB114">
            <v>52</v>
          </cell>
          <cell r="BC114">
            <v>7807</v>
          </cell>
          <cell r="BD114">
            <v>50</v>
          </cell>
          <cell r="BE114">
            <v>7512</v>
          </cell>
          <cell r="BF114">
            <v>44</v>
          </cell>
          <cell r="BG114">
            <v>4524</v>
          </cell>
          <cell r="BH114">
            <v>44</v>
          </cell>
          <cell r="BI114">
            <v>4524</v>
          </cell>
          <cell r="BJ114">
            <v>43</v>
          </cell>
          <cell r="BK114">
            <v>4417</v>
          </cell>
          <cell r="BL114">
            <v>90</v>
          </cell>
          <cell r="BM114">
            <v>7967</v>
          </cell>
          <cell r="BN114">
            <v>90</v>
          </cell>
          <cell r="BO114">
            <v>7967</v>
          </cell>
          <cell r="BP114">
            <v>89</v>
          </cell>
          <cell r="BQ114">
            <v>7876</v>
          </cell>
          <cell r="BR114">
            <v>118</v>
          </cell>
          <cell r="BS114">
            <v>10095</v>
          </cell>
          <cell r="BT114">
            <v>117</v>
          </cell>
          <cell r="BU114">
            <v>9966</v>
          </cell>
          <cell r="BV114">
            <v>116</v>
          </cell>
          <cell r="BW114">
            <v>9666</v>
          </cell>
          <cell r="BX114">
            <v>0</v>
          </cell>
          <cell r="BY114">
            <v>0</v>
          </cell>
          <cell r="BZ114">
            <v>3</v>
          </cell>
          <cell r="CA114">
            <v>309</v>
          </cell>
          <cell r="CB114">
            <v>1</v>
          </cell>
          <cell r="CC114">
            <v>147</v>
          </cell>
          <cell r="CD114">
            <v>2</v>
          </cell>
          <cell r="CE114">
            <v>144</v>
          </cell>
          <cell r="CF114">
            <v>2</v>
          </cell>
          <cell r="CG114">
            <v>206</v>
          </cell>
          <cell r="CH114">
            <v>1</v>
          </cell>
          <cell r="CI114">
            <v>135</v>
          </cell>
        </row>
        <row r="115">
          <cell r="B115" t="str">
            <v>OAHU ISLAND</v>
          </cell>
          <cell r="C115">
            <v>1</v>
          </cell>
          <cell r="D115">
            <v>453</v>
          </cell>
          <cell r="E115">
            <v>0</v>
          </cell>
          <cell r="F115">
            <v>0</v>
          </cell>
          <cell r="G115">
            <v>1</v>
          </cell>
          <cell r="H115">
            <v>453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48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 t="str">
            <v>OAHU ISLAND</v>
          </cell>
          <cell r="AN115">
            <v>15</v>
          </cell>
          <cell r="AO115">
            <v>12435</v>
          </cell>
          <cell r="AP115">
            <v>15</v>
          </cell>
          <cell r="AQ115">
            <v>12435</v>
          </cell>
          <cell r="AR115">
            <v>14</v>
          </cell>
          <cell r="AS115">
            <v>11982</v>
          </cell>
          <cell r="AT115">
            <v>11</v>
          </cell>
          <cell r="AU115">
            <v>2255</v>
          </cell>
          <cell r="AV115">
            <v>11</v>
          </cell>
          <cell r="AW115">
            <v>2255</v>
          </cell>
          <cell r="AX115">
            <v>11</v>
          </cell>
          <cell r="AY115">
            <v>2255</v>
          </cell>
          <cell r="AZ115">
            <v>26</v>
          </cell>
          <cell r="BA115">
            <v>10218</v>
          </cell>
          <cell r="BB115">
            <v>26</v>
          </cell>
          <cell r="BC115">
            <v>10218</v>
          </cell>
          <cell r="BD115">
            <v>26</v>
          </cell>
          <cell r="BE115">
            <v>10218</v>
          </cell>
          <cell r="BF115">
            <v>1</v>
          </cell>
          <cell r="BG115">
            <v>100</v>
          </cell>
          <cell r="BH115">
            <v>1</v>
          </cell>
          <cell r="BI115">
            <v>100</v>
          </cell>
          <cell r="BJ115">
            <v>1</v>
          </cell>
          <cell r="BK115">
            <v>100</v>
          </cell>
          <cell r="BL115">
            <v>1</v>
          </cell>
          <cell r="BM115">
            <v>48</v>
          </cell>
          <cell r="BN115">
            <v>1</v>
          </cell>
          <cell r="BO115">
            <v>48</v>
          </cell>
          <cell r="BP115">
            <v>1</v>
          </cell>
          <cell r="BQ115">
            <v>48</v>
          </cell>
          <cell r="BR115">
            <v>53</v>
          </cell>
          <cell r="BS115">
            <v>11450</v>
          </cell>
          <cell r="BT115">
            <v>53</v>
          </cell>
          <cell r="BU115">
            <v>11450</v>
          </cell>
          <cell r="BV115">
            <v>53</v>
          </cell>
          <cell r="BW115">
            <v>11450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</row>
        <row r="116">
          <cell r="B116" t="str">
            <v>ORLANDO, FL</v>
          </cell>
          <cell r="C116">
            <v>2</v>
          </cell>
          <cell r="D116">
            <v>900</v>
          </cell>
          <cell r="E116">
            <v>0</v>
          </cell>
          <cell r="F116">
            <v>0</v>
          </cell>
          <cell r="G116">
            <v>7</v>
          </cell>
          <cell r="H116">
            <v>2447</v>
          </cell>
          <cell r="I116">
            <v>3</v>
          </cell>
          <cell r="J116">
            <v>565</v>
          </cell>
          <cell r="K116">
            <v>1</v>
          </cell>
          <cell r="L116">
            <v>350</v>
          </cell>
          <cell r="M116">
            <v>29</v>
          </cell>
          <cell r="N116">
            <v>4787</v>
          </cell>
          <cell r="O116">
            <v>1</v>
          </cell>
          <cell r="P116">
            <v>150</v>
          </cell>
          <cell r="Q116">
            <v>0</v>
          </cell>
          <cell r="R116">
            <v>0</v>
          </cell>
          <cell r="S116">
            <v>5</v>
          </cell>
          <cell r="T116">
            <v>1361</v>
          </cell>
          <cell r="U116">
            <v>5</v>
          </cell>
          <cell r="V116">
            <v>653</v>
          </cell>
          <cell r="W116">
            <v>0</v>
          </cell>
          <cell r="X116">
            <v>0</v>
          </cell>
          <cell r="Y116">
            <v>32</v>
          </cell>
          <cell r="Z116">
            <v>4370</v>
          </cell>
          <cell r="AA116">
            <v>1</v>
          </cell>
          <cell r="AB116">
            <v>83</v>
          </cell>
          <cell r="AC116">
            <v>0</v>
          </cell>
          <cell r="AD116">
            <v>0</v>
          </cell>
          <cell r="AE116">
            <v>20</v>
          </cell>
          <cell r="AF116">
            <v>2276</v>
          </cell>
          <cell r="AG116">
            <v>1</v>
          </cell>
          <cell r="AH116">
            <v>1293</v>
          </cell>
          <cell r="AI116">
            <v>1</v>
          </cell>
          <cell r="AJ116">
            <v>1406</v>
          </cell>
          <cell r="AK116">
            <v>8</v>
          </cell>
          <cell r="AL116">
            <v>7210</v>
          </cell>
          <cell r="AM116" t="str">
            <v>ORLANDO, FL</v>
          </cell>
          <cell r="AN116">
            <v>36</v>
          </cell>
          <cell r="AO116">
            <v>18235</v>
          </cell>
          <cell r="AP116">
            <v>36</v>
          </cell>
          <cell r="AQ116">
            <v>18235</v>
          </cell>
          <cell r="AR116">
            <v>34</v>
          </cell>
          <cell r="AS116">
            <v>17335</v>
          </cell>
          <cell r="AT116">
            <v>48</v>
          </cell>
          <cell r="AU116">
            <v>10399</v>
          </cell>
          <cell r="AV116">
            <v>47</v>
          </cell>
          <cell r="AW116">
            <v>10049</v>
          </cell>
          <cell r="AX116">
            <v>44</v>
          </cell>
          <cell r="AY116">
            <v>9484</v>
          </cell>
          <cell r="AZ116">
            <v>71</v>
          </cell>
          <cell r="BA116">
            <v>21188</v>
          </cell>
          <cell r="BB116">
            <v>71</v>
          </cell>
          <cell r="BC116">
            <v>21188</v>
          </cell>
          <cell r="BD116">
            <v>70</v>
          </cell>
          <cell r="BE116">
            <v>21038</v>
          </cell>
          <cell r="BF116">
            <v>60</v>
          </cell>
          <cell r="BG116">
            <v>9309</v>
          </cell>
          <cell r="BH116">
            <v>60</v>
          </cell>
          <cell r="BI116">
            <v>9309</v>
          </cell>
          <cell r="BJ116">
            <v>55</v>
          </cell>
          <cell r="BK116">
            <v>8656</v>
          </cell>
          <cell r="BL116">
            <v>105</v>
          </cell>
          <cell r="BM116">
            <v>17409</v>
          </cell>
          <cell r="BN116">
            <v>105</v>
          </cell>
          <cell r="BO116">
            <v>17409</v>
          </cell>
          <cell r="BP116">
            <v>104</v>
          </cell>
          <cell r="BQ116">
            <v>17326</v>
          </cell>
          <cell r="BR116">
            <v>113</v>
          </cell>
          <cell r="BS116">
            <v>43042</v>
          </cell>
          <cell r="BT116">
            <v>112</v>
          </cell>
          <cell r="BU116">
            <v>41636</v>
          </cell>
          <cell r="BV116">
            <v>111</v>
          </cell>
          <cell r="BW116">
            <v>40343</v>
          </cell>
          <cell r="BX116">
            <v>3</v>
          </cell>
          <cell r="BY116">
            <v>723</v>
          </cell>
          <cell r="BZ116">
            <v>9</v>
          </cell>
          <cell r="CA116">
            <v>1573</v>
          </cell>
          <cell r="CB116">
            <v>1</v>
          </cell>
          <cell r="CC116">
            <v>95</v>
          </cell>
          <cell r="CD116">
            <v>5</v>
          </cell>
          <cell r="CE116">
            <v>913</v>
          </cell>
          <cell r="CF116">
            <v>2</v>
          </cell>
          <cell r="CG116">
            <v>198</v>
          </cell>
          <cell r="CH116">
            <v>0</v>
          </cell>
          <cell r="CI116">
            <v>0</v>
          </cell>
        </row>
        <row r="117">
          <cell r="B117" t="str">
            <v>PHILADELPHIA, PA-NJ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7</v>
          </cell>
          <cell r="H117">
            <v>2103</v>
          </cell>
          <cell r="I117">
            <v>4</v>
          </cell>
          <cell r="J117">
            <v>555</v>
          </cell>
          <cell r="K117">
            <v>2</v>
          </cell>
          <cell r="L117">
            <v>325</v>
          </cell>
          <cell r="M117">
            <v>14</v>
          </cell>
          <cell r="N117">
            <v>2679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1</v>
          </cell>
          <cell r="T117">
            <v>25</v>
          </cell>
          <cell r="U117">
            <v>3</v>
          </cell>
          <cell r="V117">
            <v>407</v>
          </cell>
          <cell r="W117">
            <v>1</v>
          </cell>
          <cell r="X117">
            <v>64</v>
          </cell>
          <cell r="Y117">
            <v>25</v>
          </cell>
          <cell r="Z117">
            <v>2559</v>
          </cell>
          <cell r="AA117">
            <v>1</v>
          </cell>
          <cell r="AB117">
            <v>116</v>
          </cell>
          <cell r="AC117">
            <v>0</v>
          </cell>
          <cell r="AD117">
            <v>0</v>
          </cell>
          <cell r="AE117">
            <v>16</v>
          </cell>
          <cell r="AF117">
            <v>1667</v>
          </cell>
          <cell r="AG117">
            <v>1</v>
          </cell>
          <cell r="AH117">
            <v>24</v>
          </cell>
          <cell r="AI117">
            <v>0</v>
          </cell>
          <cell r="AJ117">
            <v>0</v>
          </cell>
          <cell r="AK117">
            <v>2</v>
          </cell>
          <cell r="AL117">
            <v>262</v>
          </cell>
          <cell r="AM117" t="str">
            <v>PHILADELPHIA, PA-NJ</v>
          </cell>
          <cell r="AN117">
            <v>34</v>
          </cell>
          <cell r="AO117">
            <v>11059</v>
          </cell>
          <cell r="AP117">
            <v>34</v>
          </cell>
          <cell r="AQ117">
            <v>11059</v>
          </cell>
          <cell r="AR117">
            <v>34</v>
          </cell>
          <cell r="AS117">
            <v>11059</v>
          </cell>
          <cell r="AT117">
            <v>31</v>
          </cell>
          <cell r="AU117">
            <v>6591</v>
          </cell>
          <cell r="AV117">
            <v>29</v>
          </cell>
          <cell r="AW117">
            <v>6266</v>
          </cell>
          <cell r="AX117">
            <v>25</v>
          </cell>
          <cell r="AY117">
            <v>5711</v>
          </cell>
          <cell r="AZ117">
            <v>40</v>
          </cell>
          <cell r="BA117">
            <v>6249</v>
          </cell>
          <cell r="BB117">
            <v>40</v>
          </cell>
          <cell r="BC117">
            <v>6249</v>
          </cell>
          <cell r="BD117">
            <v>40</v>
          </cell>
          <cell r="BE117">
            <v>6249</v>
          </cell>
          <cell r="BF117">
            <v>43</v>
          </cell>
          <cell r="BG117">
            <v>4889</v>
          </cell>
          <cell r="BH117">
            <v>42</v>
          </cell>
          <cell r="BI117">
            <v>4825</v>
          </cell>
          <cell r="BJ117">
            <v>39</v>
          </cell>
          <cell r="BK117">
            <v>4418</v>
          </cell>
          <cell r="BL117">
            <v>59</v>
          </cell>
          <cell r="BM117">
            <v>5457</v>
          </cell>
          <cell r="BN117">
            <v>59</v>
          </cell>
          <cell r="BO117">
            <v>5457</v>
          </cell>
          <cell r="BP117">
            <v>58</v>
          </cell>
          <cell r="BQ117">
            <v>5341</v>
          </cell>
          <cell r="BR117">
            <v>70</v>
          </cell>
          <cell r="BS117">
            <v>5990</v>
          </cell>
          <cell r="BT117">
            <v>70</v>
          </cell>
          <cell r="BU117">
            <v>5990</v>
          </cell>
          <cell r="BV117">
            <v>69</v>
          </cell>
          <cell r="BW117">
            <v>5966</v>
          </cell>
          <cell r="BX117">
            <v>5</v>
          </cell>
          <cell r="BY117">
            <v>1700</v>
          </cell>
          <cell r="BZ117">
            <v>4</v>
          </cell>
          <cell r="CA117">
            <v>727</v>
          </cell>
          <cell r="CB117">
            <v>0</v>
          </cell>
          <cell r="CC117">
            <v>0</v>
          </cell>
          <cell r="CD117">
            <v>3</v>
          </cell>
          <cell r="CE117">
            <v>207</v>
          </cell>
          <cell r="CF117">
            <v>1</v>
          </cell>
          <cell r="CG117">
            <v>69</v>
          </cell>
          <cell r="CH117">
            <v>0</v>
          </cell>
          <cell r="CI117">
            <v>0</v>
          </cell>
        </row>
        <row r="118">
          <cell r="B118" t="str">
            <v>PHOENIX, AZ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5</v>
          </cell>
          <cell r="H118">
            <v>1266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26</v>
          </cell>
          <cell r="N118">
            <v>3322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4</v>
          </cell>
          <cell r="T118">
            <v>389</v>
          </cell>
          <cell r="U118">
            <v>2</v>
          </cell>
          <cell r="V118">
            <v>174</v>
          </cell>
          <cell r="W118">
            <v>1</v>
          </cell>
          <cell r="X118">
            <v>107</v>
          </cell>
          <cell r="Y118">
            <v>36</v>
          </cell>
          <cell r="Z118">
            <v>3764</v>
          </cell>
          <cell r="AA118">
            <v>2</v>
          </cell>
          <cell r="AB118">
            <v>242</v>
          </cell>
          <cell r="AC118">
            <v>0</v>
          </cell>
          <cell r="AD118">
            <v>0</v>
          </cell>
          <cell r="AE118">
            <v>26</v>
          </cell>
          <cell r="AF118">
            <v>2683</v>
          </cell>
          <cell r="AG118">
            <v>1</v>
          </cell>
          <cell r="AH118">
            <v>82</v>
          </cell>
          <cell r="AI118">
            <v>0</v>
          </cell>
          <cell r="AJ118">
            <v>0</v>
          </cell>
          <cell r="AK118">
            <v>8</v>
          </cell>
          <cell r="AL118">
            <v>1427</v>
          </cell>
          <cell r="AM118" t="str">
            <v>PHOENIX, AZ</v>
          </cell>
          <cell r="AN118">
            <v>34</v>
          </cell>
          <cell r="AO118">
            <v>10681</v>
          </cell>
          <cell r="AP118">
            <v>34</v>
          </cell>
          <cell r="AQ118">
            <v>10681</v>
          </cell>
          <cell r="AR118">
            <v>34</v>
          </cell>
          <cell r="AS118">
            <v>10681</v>
          </cell>
          <cell r="AT118">
            <v>43</v>
          </cell>
          <cell r="AU118">
            <v>6293</v>
          </cell>
          <cell r="AV118">
            <v>43</v>
          </cell>
          <cell r="AW118">
            <v>6293</v>
          </cell>
          <cell r="AX118">
            <v>43</v>
          </cell>
          <cell r="AY118">
            <v>6293</v>
          </cell>
          <cell r="AZ118">
            <v>43</v>
          </cell>
          <cell r="BA118">
            <v>5756</v>
          </cell>
          <cell r="BB118">
            <v>43</v>
          </cell>
          <cell r="BC118">
            <v>5756</v>
          </cell>
          <cell r="BD118">
            <v>43</v>
          </cell>
          <cell r="BE118">
            <v>5756</v>
          </cell>
          <cell r="BF118">
            <v>73</v>
          </cell>
          <cell r="BG118">
            <v>8179</v>
          </cell>
          <cell r="BH118">
            <v>72</v>
          </cell>
          <cell r="BI118">
            <v>8072</v>
          </cell>
          <cell r="BJ118">
            <v>70</v>
          </cell>
          <cell r="BK118">
            <v>7898</v>
          </cell>
          <cell r="BL118">
            <v>85</v>
          </cell>
          <cell r="BM118">
            <v>9336</v>
          </cell>
          <cell r="BN118">
            <v>85</v>
          </cell>
          <cell r="BO118">
            <v>9336</v>
          </cell>
          <cell r="BP118">
            <v>83</v>
          </cell>
          <cell r="BQ118">
            <v>9094</v>
          </cell>
          <cell r="BR118">
            <v>73</v>
          </cell>
          <cell r="BS118">
            <v>11316</v>
          </cell>
          <cell r="BT118">
            <v>73</v>
          </cell>
          <cell r="BU118">
            <v>11316</v>
          </cell>
          <cell r="BV118">
            <v>72</v>
          </cell>
          <cell r="BW118">
            <v>11234</v>
          </cell>
          <cell r="BX118">
            <v>1</v>
          </cell>
          <cell r="BY118">
            <v>277</v>
          </cell>
          <cell r="BZ118">
            <v>7</v>
          </cell>
          <cell r="CA118">
            <v>838</v>
          </cell>
          <cell r="CB118">
            <v>0</v>
          </cell>
          <cell r="CC118">
            <v>0</v>
          </cell>
          <cell r="CD118">
            <v>3</v>
          </cell>
          <cell r="CE118">
            <v>496</v>
          </cell>
          <cell r="CF118">
            <v>0</v>
          </cell>
          <cell r="CG118">
            <v>0</v>
          </cell>
          <cell r="CH118">
            <v>1</v>
          </cell>
          <cell r="CI118">
            <v>32</v>
          </cell>
        </row>
        <row r="119">
          <cell r="B119" t="str">
            <v>SAINT LOUIS, MO-IL</v>
          </cell>
          <cell r="C119">
            <v>2</v>
          </cell>
          <cell r="D119">
            <v>545</v>
          </cell>
          <cell r="E119">
            <v>0</v>
          </cell>
          <cell r="F119">
            <v>0</v>
          </cell>
          <cell r="G119">
            <v>3</v>
          </cell>
          <cell r="H119">
            <v>720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5</v>
          </cell>
          <cell r="N119">
            <v>601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3</v>
          </cell>
          <cell r="T119">
            <v>349</v>
          </cell>
          <cell r="U119">
            <v>3</v>
          </cell>
          <cell r="V119">
            <v>226</v>
          </cell>
          <cell r="W119">
            <v>0</v>
          </cell>
          <cell r="X119">
            <v>0</v>
          </cell>
          <cell r="Y119">
            <v>23</v>
          </cell>
          <cell r="Z119">
            <v>2334</v>
          </cell>
          <cell r="AA119">
            <v>1</v>
          </cell>
          <cell r="AB119">
            <v>65</v>
          </cell>
          <cell r="AC119">
            <v>0</v>
          </cell>
          <cell r="AD119">
            <v>0</v>
          </cell>
          <cell r="AE119">
            <v>22</v>
          </cell>
          <cell r="AF119">
            <v>1806</v>
          </cell>
          <cell r="AG119">
            <v>1</v>
          </cell>
          <cell r="AH119">
            <v>61</v>
          </cell>
          <cell r="AI119">
            <v>0</v>
          </cell>
          <cell r="AJ119">
            <v>0</v>
          </cell>
          <cell r="AK119">
            <v>4</v>
          </cell>
          <cell r="AL119">
            <v>600</v>
          </cell>
          <cell r="AM119" t="str">
            <v>SAINT LOUIS, MO-IL</v>
          </cell>
          <cell r="AN119">
            <v>19</v>
          </cell>
          <cell r="AO119">
            <v>5609</v>
          </cell>
          <cell r="AP119">
            <v>19</v>
          </cell>
          <cell r="AQ119">
            <v>5609</v>
          </cell>
          <cell r="AR119">
            <v>17</v>
          </cell>
          <cell r="AS119">
            <v>5064</v>
          </cell>
          <cell r="AT119">
            <v>17</v>
          </cell>
          <cell r="AU119">
            <v>3563</v>
          </cell>
          <cell r="AV119">
            <v>17</v>
          </cell>
          <cell r="AW119">
            <v>3563</v>
          </cell>
          <cell r="AX119">
            <v>17</v>
          </cell>
          <cell r="AY119">
            <v>3563</v>
          </cell>
          <cell r="AZ119">
            <v>38</v>
          </cell>
          <cell r="BA119">
            <v>6590</v>
          </cell>
          <cell r="BB119">
            <v>38</v>
          </cell>
          <cell r="BC119">
            <v>6590</v>
          </cell>
          <cell r="BD119">
            <v>38</v>
          </cell>
          <cell r="BE119">
            <v>6590</v>
          </cell>
          <cell r="BF119">
            <v>55</v>
          </cell>
          <cell r="BG119">
            <v>5969</v>
          </cell>
          <cell r="BH119">
            <v>55</v>
          </cell>
          <cell r="BI119">
            <v>5969</v>
          </cell>
          <cell r="BJ119">
            <v>52</v>
          </cell>
          <cell r="BK119">
            <v>5743</v>
          </cell>
          <cell r="BL119">
            <v>83</v>
          </cell>
          <cell r="BM119">
            <v>7076</v>
          </cell>
          <cell r="BN119">
            <v>83</v>
          </cell>
          <cell r="BO119">
            <v>7076</v>
          </cell>
          <cell r="BP119">
            <v>82</v>
          </cell>
          <cell r="BQ119">
            <v>7011</v>
          </cell>
          <cell r="BR119">
            <v>28</v>
          </cell>
          <cell r="BS119">
            <v>3048</v>
          </cell>
          <cell r="BT119">
            <v>28</v>
          </cell>
          <cell r="BU119">
            <v>3048</v>
          </cell>
          <cell r="BV119">
            <v>27</v>
          </cell>
          <cell r="BW119">
            <v>2987</v>
          </cell>
          <cell r="BX119">
            <v>1</v>
          </cell>
          <cell r="BY119">
            <v>175</v>
          </cell>
          <cell r="BZ119">
            <v>1</v>
          </cell>
          <cell r="CA119">
            <v>145</v>
          </cell>
          <cell r="CB119">
            <v>0</v>
          </cell>
          <cell r="CC119">
            <v>0</v>
          </cell>
          <cell r="CD119">
            <v>2</v>
          </cell>
          <cell r="CE119">
            <v>482</v>
          </cell>
          <cell r="CF119">
            <v>4</v>
          </cell>
          <cell r="CG119">
            <v>235</v>
          </cell>
          <cell r="CH119">
            <v>2</v>
          </cell>
          <cell r="CI119">
            <v>248</v>
          </cell>
        </row>
        <row r="120">
          <cell r="B120" t="str">
            <v>SAN DIEGO, CA</v>
          </cell>
          <cell r="C120">
            <v>1</v>
          </cell>
          <cell r="D120">
            <v>30</v>
          </cell>
          <cell r="E120">
            <v>1</v>
          </cell>
          <cell r="F120">
            <v>284</v>
          </cell>
          <cell r="G120">
            <v>4</v>
          </cell>
          <cell r="H120">
            <v>1137</v>
          </cell>
          <cell r="I120">
            <v>0</v>
          </cell>
          <cell r="J120">
            <v>0</v>
          </cell>
          <cell r="K120">
            <v>1</v>
          </cell>
          <cell r="L120">
            <v>245</v>
          </cell>
          <cell r="M120">
            <v>9</v>
          </cell>
          <cell r="N120">
            <v>1396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4</v>
          </cell>
          <cell r="T120">
            <v>280</v>
          </cell>
          <cell r="U120">
            <v>2</v>
          </cell>
          <cell r="V120">
            <v>247</v>
          </cell>
          <cell r="W120">
            <v>2</v>
          </cell>
          <cell r="X120">
            <v>248</v>
          </cell>
          <cell r="Y120">
            <v>8</v>
          </cell>
          <cell r="Z120">
            <v>842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4</v>
          </cell>
          <cell r="AF120">
            <v>559</v>
          </cell>
          <cell r="AG120">
            <v>1</v>
          </cell>
          <cell r="AH120">
            <v>150</v>
          </cell>
          <cell r="AI120">
            <v>0</v>
          </cell>
          <cell r="AJ120">
            <v>0</v>
          </cell>
          <cell r="AK120">
            <v>2</v>
          </cell>
          <cell r="AL120">
            <v>240</v>
          </cell>
          <cell r="AM120" t="str">
            <v>SAN DIEGO, CA</v>
          </cell>
          <cell r="AN120">
            <v>28</v>
          </cell>
          <cell r="AO120">
            <v>10728</v>
          </cell>
          <cell r="AP120">
            <v>27</v>
          </cell>
          <cell r="AQ120">
            <v>10444</v>
          </cell>
          <cell r="AR120">
            <v>26</v>
          </cell>
          <cell r="AS120">
            <v>10414</v>
          </cell>
          <cell r="AT120">
            <v>22</v>
          </cell>
          <cell r="AU120">
            <v>4064</v>
          </cell>
          <cell r="AV120">
            <v>21</v>
          </cell>
          <cell r="AW120">
            <v>3819</v>
          </cell>
          <cell r="AX120">
            <v>21</v>
          </cell>
          <cell r="AY120">
            <v>3819</v>
          </cell>
          <cell r="AZ120">
            <v>58</v>
          </cell>
          <cell r="BA120">
            <v>7972</v>
          </cell>
          <cell r="BB120">
            <v>58</v>
          </cell>
          <cell r="BC120">
            <v>7972</v>
          </cell>
          <cell r="BD120">
            <v>58</v>
          </cell>
          <cell r="BE120">
            <v>7972</v>
          </cell>
          <cell r="BF120">
            <v>31</v>
          </cell>
          <cell r="BG120">
            <v>3437</v>
          </cell>
          <cell r="BH120">
            <v>29</v>
          </cell>
          <cell r="BI120">
            <v>3189</v>
          </cell>
          <cell r="BJ120">
            <v>27</v>
          </cell>
          <cell r="BK120">
            <v>2942</v>
          </cell>
          <cell r="BL120">
            <v>101</v>
          </cell>
          <cell r="BM120">
            <v>8771</v>
          </cell>
          <cell r="BN120">
            <v>101</v>
          </cell>
          <cell r="BO120">
            <v>8771</v>
          </cell>
          <cell r="BP120">
            <v>101</v>
          </cell>
          <cell r="BQ120">
            <v>8771</v>
          </cell>
          <cell r="BR120">
            <v>188</v>
          </cell>
          <cell r="BS120">
            <v>17455</v>
          </cell>
          <cell r="BT120">
            <v>188</v>
          </cell>
          <cell r="BU120">
            <v>17455</v>
          </cell>
          <cell r="BV120">
            <v>187</v>
          </cell>
          <cell r="BW120">
            <v>17305</v>
          </cell>
          <cell r="BX120">
            <v>1</v>
          </cell>
          <cell r="BY120">
            <v>252</v>
          </cell>
          <cell r="BZ120">
            <v>2</v>
          </cell>
          <cell r="CA120">
            <v>307</v>
          </cell>
          <cell r="CB120">
            <v>2</v>
          </cell>
          <cell r="CC120">
            <v>159</v>
          </cell>
          <cell r="CD120">
            <v>4</v>
          </cell>
          <cell r="CE120">
            <v>347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</row>
        <row r="121">
          <cell r="B121" t="str">
            <v>SAN FRANCISCO/SAN MATEO</v>
          </cell>
          <cell r="C121">
            <v>2</v>
          </cell>
          <cell r="D121">
            <v>538</v>
          </cell>
          <cell r="E121">
            <v>1</v>
          </cell>
          <cell r="F121">
            <v>362</v>
          </cell>
          <cell r="G121">
            <v>5</v>
          </cell>
          <cell r="H121">
            <v>1486</v>
          </cell>
          <cell r="I121">
            <v>2</v>
          </cell>
          <cell r="J121">
            <v>557</v>
          </cell>
          <cell r="K121">
            <v>0</v>
          </cell>
          <cell r="L121">
            <v>0</v>
          </cell>
          <cell r="M121">
            <v>8</v>
          </cell>
          <cell r="N121">
            <v>1557</v>
          </cell>
          <cell r="O121">
            <v>2</v>
          </cell>
          <cell r="P121">
            <v>186</v>
          </cell>
          <cell r="Q121">
            <v>0</v>
          </cell>
          <cell r="R121">
            <v>0</v>
          </cell>
          <cell r="S121">
            <v>3</v>
          </cell>
          <cell r="T121">
            <v>231</v>
          </cell>
          <cell r="U121">
            <v>4</v>
          </cell>
          <cell r="V121">
            <v>489</v>
          </cell>
          <cell r="W121">
            <v>0</v>
          </cell>
          <cell r="X121">
            <v>0</v>
          </cell>
          <cell r="Y121">
            <v>7</v>
          </cell>
          <cell r="Z121">
            <v>721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6</v>
          </cell>
          <cell r="AF121">
            <v>516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9</v>
          </cell>
          <cell r="AL121">
            <v>744</v>
          </cell>
          <cell r="AM121" t="str">
            <v>SAN FRANCISCO/SAN MATEO</v>
          </cell>
          <cell r="AN121">
            <v>35</v>
          </cell>
          <cell r="AO121">
            <v>17746</v>
          </cell>
          <cell r="AP121">
            <v>34</v>
          </cell>
          <cell r="AQ121">
            <v>17384</v>
          </cell>
          <cell r="AR121">
            <v>32</v>
          </cell>
          <cell r="AS121">
            <v>16846</v>
          </cell>
          <cell r="AT121">
            <v>19</v>
          </cell>
          <cell r="AU121">
            <v>3965</v>
          </cell>
          <cell r="AV121">
            <v>19</v>
          </cell>
          <cell r="AW121">
            <v>3965</v>
          </cell>
          <cell r="AX121">
            <v>17</v>
          </cell>
          <cell r="AY121">
            <v>3408</v>
          </cell>
          <cell r="AZ121">
            <v>35</v>
          </cell>
          <cell r="BA121">
            <v>6946</v>
          </cell>
          <cell r="BB121">
            <v>35</v>
          </cell>
          <cell r="BC121">
            <v>6946</v>
          </cell>
          <cell r="BD121">
            <v>33</v>
          </cell>
          <cell r="BE121">
            <v>6760</v>
          </cell>
          <cell r="BF121">
            <v>18</v>
          </cell>
          <cell r="BG121">
            <v>1815</v>
          </cell>
          <cell r="BH121">
            <v>18</v>
          </cell>
          <cell r="BI121">
            <v>1815</v>
          </cell>
          <cell r="BJ121">
            <v>14</v>
          </cell>
          <cell r="BK121">
            <v>1326</v>
          </cell>
          <cell r="BL121">
            <v>46</v>
          </cell>
          <cell r="BM121">
            <v>3251</v>
          </cell>
          <cell r="BN121">
            <v>46</v>
          </cell>
          <cell r="BO121">
            <v>3251</v>
          </cell>
          <cell r="BP121">
            <v>46</v>
          </cell>
          <cell r="BQ121">
            <v>3251</v>
          </cell>
          <cell r="BR121">
            <v>207</v>
          </cell>
          <cell r="BS121">
            <v>17517</v>
          </cell>
          <cell r="BT121">
            <v>207</v>
          </cell>
          <cell r="BU121">
            <v>17517</v>
          </cell>
          <cell r="BV121">
            <v>207</v>
          </cell>
          <cell r="BW121">
            <v>17517</v>
          </cell>
          <cell r="BX121">
            <v>1</v>
          </cell>
          <cell r="BY121">
            <v>163</v>
          </cell>
          <cell r="BZ121">
            <v>3</v>
          </cell>
          <cell r="CA121">
            <v>540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1</v>
          </cell>
          <cell r="CG121">
            <v>48</v>
          </cell>
          <cell r="CH121">
            <v>2</v>
          </cell>
          <cell r="CI121">
            <v>128</v>
          </cell>
        </row>
        <row r="122">
          <cell r="B122" t="str">
            <v>SEATTLE, WA</v>
          </cell>
          <cell r="C122">
            <v>2</v>
          </cell>
          <cell r="D122">
            <v>690</v>
          </cell>
          <cell r="E122">
            <v>0</v>
          </cell>
          <cell r="F122">
            <v>0</v>
          </cell>
          <cell r="G122">
            <v>4</v>
          </cell>
          <cell r="H122">
            <v>1247</v>
          </cell>
          <cell r="I122">
            <v>1</v>
          </cell>
          <cell r="J122">
            <v>234</v>
          </cell>
          <cell r="K122">
            <v>0</v>
          </cell>
          <cell r="L122">
            <v>0</v>
          </cell>
          <cell r="M122">
            <v>12</v>
          </cell>
          <cell r="N122">
            <v>1975</v>
          </cell>
          <cell r="O122">
            <v>2</v>
          </cell>
          <cell r="P122">
            <v>356</v>
          </cell>
          <cell r="Q122">
            <v>0</v>
          </cell>
          <cell r="R122">
            <v>0</v>
          </cell>
          <cell r="S122">
            <v>7</v>
          </cell>
          <cell r="T122">
            <v>762</v>
          </cell>
          <cell r="U122">
            <v>1</v>
          </cell>
          <cell r="V122">
            <v>102</v>
          </cell>
          <cell r="W122">
            <v>1</v>
          </cell>
          <cell r="X122">
            <v>62</v>
          </cell>
          <cell r="Y122">
            <v>14</v>
          </cell>
          <cell r="Z122">
            <v>1471</v>
          </cell>
          <cell r="AA122">
            <v>1</v>
          </cell>
          <cell r="AB122">
            <v>101</v>
          </cell>
          <cell r="AC122">
            <v>0</v>
          </cell>
          <cell r="AD122">
            <v>0</v>
          </cell>
          <cell r="AE122">
            <v>19</v>
          </cell>
          <cell r="AF122">
            <v>1934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12</v>
          </cell>
          <cell r="AL122">
            <v>1039</v>
          </cell>
          <cell r="AM122" t="str">
            <v>SEATTLE, WA</v>
          </cell>
          <cell r="AN122">
            <v>20</v>
          </cell>
          <cell r="AO122">
            <v>7694</v>
          </cell>
          <cell r="AP122">
            <v>20</v>
          </cell>
          <cell r="AQ122">
            <v>7694</v>
          </cell>
          <cell r="AR122">
            <v>18</v>
          </cell>
          <cell r="AS122">
            <v>7004</v>
          </cell>
          <cell r="AT122">
            <v>26</v>
          </cell>
          <cell r="AU122">
            <v>4478</v>
          </cell>
          <cell r="AV122">
            <v>26</v>
          </cell>
          <cell r="AW122">
            <v>4478</v>
          </cell>
          <cell r="AX122">
            <v>25</v>
          </cell>
          <cell r="AY122">
            <v>4244</v>
          </cell>
          <cell r="AZ122">
            <v>41</v>
          </cell>
          <cell r="BA122">
            <v>5568</v>
          </cell>
          <cell r="BB122">
            <v>41</v>
          </cell>
          <cell r="BC122">
            <v>5568</v>
          </cell>
          <cell r="BD122">
            <v>39</v>
          </cell>
          <cell r="BE122">
            <v>5212</v>
          </cell>
          <cell r="BF122">
            <v>32</v>
          </cell>
          <cell r="BG122">
            <v>3584</v>
          </cell>
          <cell r="BH122">
            <v>31</v>
          </cell>
          <cell r="BI122">
            <v>3522</v>
          </cell>
          <cell r="BJ122">
            <v>30</v>
          </cell>
          <cell r="BK122">
            <v>3420</v>
          </cell>
          <cell r="BL122">
            <v>61</v>
          </cell>
          <cell r="BM122">
            <v>5262</v>
          </cell>
          <cell r="BN122">
            <v>61</v>
          </cell>
          <cell r="BO122">
            <v>5262</v>
          </cell>
          <cell r="BP122">
            <v>60</v>
          </cell>
          <cell r="BQ122">
            <v>5161</v>
          </cell>
          <cell r="BR122">
            <v>112</v>
          </cell>
          <cell r="BS122">
            <v>8664</v>
          </cell>
          <cell r="BT122">
            <v>112</v>
          </cell>
          <cell r="BU122">
            <v>8664</v>
          </cell>
          <cell r="BV122">
            <v>112</v>
          </cell>
          <cell r="BW122">
            <v>8664</v>
          </cell>
          <cell r="BX122">
            <v>1</v>
          </cell>
          <cell r="BY122">
            <v>131</v>
          </cell>
          <cell r="BZ122">
            <v>4</v>
          </cell>
          <cell r="CA122">
            <v>542</v>
          </cell>
          <cell r="CB122">
            <v>0</v>
          </cell>
          <cell r="CC122">
            <v>0</v>
          </cell>
          <cell r="CD122">
            <v>2</v>
          </cell>
          <cell r="CE122">
            <v>215</v>
          </cell>
          <cell r="CF122">
            <v>1</v>
          </cell>
          <cell r="CG122">
            <v>50</v>
          </cell>
          <cell r="CH122">
            <v>3</v>
          </cell>
          <cell r="CI122">
            <v>182</v>
          </cell>
        </row>
        <row r="123">
          <cell r="B123" t="str">
            <v>TAMPA-SAINT PETERSBURG, FL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2</v>
          </cell>
          <cell r="H123">
            <v>971</v>
          </cell>
          <cell r="I123">
            <v>3</v>
          </cell>
          <cell r="J123">
            <v>514</v>
          </cell>
          <cell r="K123">
            <v>1</v>
          </cell>
          <cell r="L123">
            <v>152</v>
          </cell>
          <cell r="M123">
            <v>13</v>
          </cell>
          <cell r="N123">
            <v>1671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1</v>
          </cell>
          <cell r="T123">
            <v>99</v>
          </cell>
          <cell r="U123">
            <v>4</v>
          </cell>
          <cell r="V123">
            <v>371</v>
          </cell>
          <cell r="W123">
            <v>0</v>
          </cell>
          <cell r="X123">
            <v>0</v>
          </cell>
          <cell r="Y123">
            <v>31</v>
          </cell>
          <cell r="Z123">
            <v>2810</v>
          </cell>
          <cell r="AA123">
            <v>2</v>
          </cell>
          <cell r="AB123">
            <v>184</v>
          </cell>
          <cell r="AC123">
            <v>0</v>
          </cell>
          <cell r="AD123">
            <v>0</v>
          </cell>
          <cell r="AE123">
            <v>10</v>
          </cell>
          <cell r="AF123">
            <v>1127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360</v>
          </cell>
          <cell r="AM123" t="str">
            <v>TAMPA-SAINT PETERSBURG, FL</v>
          </cell>
          <cell r="AN123">
            <v>21</v>
          </cell>
          <cell r="AO123">
            <v>7502</v>
          </cell>
          <cell r="AP123">
            <v>21</v>
          </cell>
          <cell r="AQ123">
            <v>7502</v>
          </cell>
          <cell r="AR123">
            <v>21</v>
          </cell>
          <cell r="AS123">
            <v>7502</v>
          </cell>
          <cell r="AT123">
            <v>30</v>
          </cell>
          <cell r="AU123">
            <v>4464</v>
          </cell>
          <cell r="AV123">
            <v>29</v>
          </cell>
          <cell r="AW123">
            <v>4312</v>
          </cell>
          <cell r="AX123">
            <v>26</v>
          </cell>
          <cell r="AY123">
            <v>3798</v>
          </cell>
          <cell r="AZ123">
            <v>46</v>
          </cell>
          <cell r="BA123">
            <v>6554</v>
          </cell>
          <cell r="BB123">
            <v>46</v>
          </cell>
          <cell r="BC123">
            <v>6554</v>
          </cell>
          <cell r="BD123">
            <v>46</v>
          </cell>
          <cell r="BE123">
            <v>6554</v>
          </cell>
          <cell r="BF123">
            <v>54</v>
          </cell>
          <cell r="BG123">
            <v>5303</v>
          </cell>
          <cell r="BH123">
            <v>54</v>
          </cell>
          <cell r="BI123">
            <v>5303</v>
          </cell>
          <cell r="BJ123">
            <v>50</v>
          </cell>
          <cell r="BK123">
            <v>4932</v>
          </cell>
          <cell r="BL123">
            <v>65</v>
          </cell>
          <cell r="BM123">
            <v>7297</v>
          </cell>
          <cell r="BN123">
            <v>65</v>
          </cell>
          <cell r="BO123">
            <v>7297</v>
          </cell>
          <cell r="BP123">
            <v>63</v>
          </cell>
          <cell r="BQ123">
            <v>7113</v>
          </cell>
          <cell r="BR123">
            <v>138</v>
          </cell>
          <cell r="BS123">
            <v>10735</v>
          </cell>
          <cell r="BT123">
            <v>138</v>
          </cell>
          <cell r="BU123">
            <v>10735</v>
          </cell>
          <cell r="BV123">
            <v>138</v>
          </cell>
          <cell r="BW123">
            <v>10735</v>
          </cell>
          <cell r="BX123">
            <v>1</v>
          </cell>
          <cell r="BY123">
            <v>717</v>
          </cell>
          <cell r="BZ123">
            <v>2</v>
          </cell>
          <cell r="CA123">
            <v>259</v>
          </cell>
          <cell r="CB123">
            <v>0</v>
          </cell>
          <cell r="CC123">
            <v>0</v>
          </cell>
          <cell r="CD123">
            <v>2</v>
          </cell>
          <cell r="CE123">
            <v>200</v>
          </cell>
          <cell r="CF123">
            <v>1</v>
          </cell>
          <cell r="CG123">
            <v>150</v>
          </cell>
          <cell r="CH123">
            <v>0</v>
          </cell>
          <cell r="CI123">
            <v>0</v>
          </cell>
        </row>
        <row r="124">
          <cell r="B124" t="str">
            <v>WASHINGTON, DC-MD-VA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4</v>
          </cell>
          <cell r="H124">
            <v>842</v>
          </cell>
          <cell r="I124">
            <v>4</v>
          </cell>
          <cell r="J124">
            <v>644</v>
          </cell>
          <cell r="K124">
            <v>2</v>
          </cell>
          <cell r="L124">
            <v>273</v>
          </cell>
          <cell r="M124">
            <v>24</v>
          </cell>
          <cell r="N124">
            <v>3661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1</v>
          </cell>
          <cell r="T124">
            <v>265</v>
          </cell>
          <cell r="U124">
            <v>8</v>
          </cell>
          <cell r="V124">
            <v>752</v>
          </cell>
          <cell r="W124">
            <v>0</v>
          </cell>
          <cell r="X124">
            <v>0</v>
          </cell>
          <cell r="Y124">
            <v>36</v>
          </cell>
          <cell r="Z124">
            <v>3385</v>
          </cell>
          <cell r="AA124">
            <v>1</v>
          </cell>
          <cell r="AB124">
            <v>99</v>
          </cell>
          <cell r="AC124">
            <v>0</v>
          </cell>
          <cell r="AD124">
            <v>0</v>
          </cell>
          <cell r="AE124">
            <v>22</v>
          </cell>
          <cell r="AF124">
            <v>2366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</v>
          </cell>
          <cell r="AL124">
            <v>154</v>
          </cell>
          <cell r="AM124" t="str">
            <v>WASHINGTON, DC-MD-VA</v>
          </cell>
          <cell r="AN124">
            <v>72</v>
          </cell>
          <cell r="AO124">
            <v>27736</v>
          </cell>
          <cell r="AP124">
            <v>72</v>
          </cell>
          <cell r="AQ124">
            <v>27736</v>
          </cell>
          <cell r="AR124">
            <v>72</v>
          </cell>
          <cell r="AS124">
            <v>27736</v>
          </cell>
          <cell r="AT124">
            <v>51</v>
          </cell>
          <cell r="AU124">
            <v>8615</v>
          </cell>
          <cell r="AV124">
            <v>49</v>
          </cell>
          <cell r="AW124">
            <v>8342</v>
          </cell>
          <cell r="AX124">
            <v>45</v>
          </cell>
          <cell r="AY124">
            <v>7698</v>
          </cell>
          <cell r="AZ124">
            <v>70</v>
          </cell>
          <cell r="BA124">
            <v>12981</v>
          </cell>
          <cell r="BB124">
            <v>70</v>
          </cell>
          <cell r="BC124">
            <v>12981</v>
          </cell>
          <cell r="BD124">
            <v>70</v>
          </cell>
          <cell r="BE124">
            <v>12981</v>
          </cell>
          <cell r="BF124">
            <v>74</v>
          </cell>
          <cell r="BG124">
            <v>8364</v>
          </cell>
          <cell r="BH124">
            <v>74</v>
          </cell>
          <cell r="BI124">
            <v>8364</v>
          </cell>
          <cell r="BJ124">
            <v>66</v>
          </cell>
          <cell r="BK124">
            <v>7612</v>
          </cell>
          <cell r="BL124">
            <v>86</v>
          </cell>
          <cell r="BM124">
            <v>9435</v>
          </cell>
          <cell r="BN124">
            <v>86</v>
          </cell>
          <cell r="BO124">
            <v>9435</v>
          </cell>
          <cell r="BP124">
            <v>85</v>
          </cell>
          <cell r="BQ124">
            <v>9336</v>
          </cell>
          <cell r="BR124">
            <v>103</v>
          </cell>
          <cell r="BS124">
            <v>12847</v>
          </cell>
          <cell r="BT124">
            <v>103</v>
          </cell>
          <cell r="BU124">
            <v>12847</v>
          </cell>
          <cell r="BV124">
            <v>103</v>
          </cell>
          <cell r="BW124">
            <v>12847</v>
          </cell>
          <cell r="BX124">
            <v>2</v>
          </cell>
          <cell r="BY124">
            <v>541</v>
          </cell>
          <cell r="BZ124">
            <v>6</v>
          </cell>
          <cell r="CA124">
            <v>1093</v>
          </cell>
          <cell r="CB124">
            <v>1</v>
          </cell>
          <cell r="CC124">
            <v>265</v>
          </cell>
          <cell r="CD124">
            <v>10</v>
          </cell>
          <cell r="CE124">
            <v>978</v>
          </cell>
          <cell r="CF124">
            <v>3</v>
          </cell>
          <cell r="CG124">
            <v>292</v>
          </cell>
          <cell r="CH124">
            <v>1</v>
          </cell>
          <cell r="CI124">
            <v>154</v>
          </cell>
        </row>
        <row r="134">
          <cell r="B134" t="str">
            <v>ANAHEIM-SANTA ANA, CA</v>
          </cell>
          <cell r="C134">
            <v>1</v>
          </cell>
          <cell r="D134">
            <v>256</v>
          </cell>
          <cell r="E134">
            <v>1</v>
          </cell>
          <cell r="F134">
            <v>371</v>
          </cell>
          <cell r="G134">
            <v>0</v>
          </cell>
          <cell r="H134">
            <v>0</v>
          </cell>
          <cell r="I134">
            <v>3</v>
          </cell>
          <cell r="J134">
            <v>373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</v>
          </cell>
          <cell r="R134">
            <v>103</v>
          </cell>
          <cell r="S134">
            <v>1</v>
          </cell>
          <cell r="T134">
            <v>117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</row>
        <row r="135">
          <cell r="B135" t="str">
            <v>ATLANTA, GA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1</v>
          </cell>
          <cell r="J135">
            <v>153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3</v>
          </cell>
          <cell r="P135">
            <v>223</v>
          </cell>
          <cell r="Q135">
            <v>7</v>
          </cell>
          <cell r="R135">
            <v>478</v>
          </cell>
          <cell r="S135">
            <v>0</v>
          </cell>
          <cell r="T135">
            <v>0</v>
          </cell>
          <cell r="U135">
            <v>4</v>
          </cell>
          <cell r="V135">
            <v>253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6">
          <cell r="B136" t="str">
            <v>BOSTON, MA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5</v>
          </cell>
          <cell r="J136">
            <v>713</v>
          </cell>
          <cell r="K136">
            <v>0</v>
          </cell>
          <cell r="L136">
            <v>0</v>
          </cell>
          <cell r="M136">
            <v>2</v>
          </cell>
          <cell r="N136">
            <v>123</v>
          </cell>
          <cell r="O136">
            <v>0</v>
          </cell>
          <cell r="P136">
            <v>0</v>
          </cell>
          <cell r="Q136">
            <v>1</v>
          </cell>
          <cell r="R136">
            <v>114</v>
          </cell>
          <cell r="S136">
            <v>1</v>
          </cell>
          <cell r="T136">
            <v>103</v>
          </cell>
          <cell r="U136">
            <v>1</v>
          </cell>
          <cell r="V136">
            <v>117</v>
          </cell>
          <cell r="W136">
            <v>1</v>
          </cell>
          <cell r="X136">
            <v>33</v>
          </cell>
          <cell r="Y136">
            <v>4</v>
          </cell>
          <cell r="Z136">
            <v>447</v>
          </cell>
        </row>
        <row r="137">
          <cell r="B137" t="str">
            <v>CHICAGO, IL</v>
          </cell>
          <cell r="C137">
            <v>0</v>
          </cell>
          <cell r="D137">
            <v>0</v>
          </cell>
          <cell r="E137">
            <v>3</v>
          </cell>
          <cell r="F137">
            <v>1069</v>
          </cell>
          <cell r="G137">
            <v>0</v>
          </cell>
          <cell r="H137">
            <v>0</v>
          </cell>
          <cell r="I137">
            <v>2</v>
          </cell>
          <cell r="J137">
            <v>190</v>
          </cell>
          <cell r="K137">
            <v>1</v>
          </cell>
          <cell r="L137">
            <v>85</v>
          </cell>
          <cell r="M137">
            <v>1</v>
          </cell>
          <cell r="N137">
            <v>202</v>
          </cell>
          <cell r="O137">
            <v>1</v>
          </cell>
          <cell r="P137">
            <v>112</v>
          </cell>
          <cell r="Q137">
            <v>4</v>
          </cell>
          <cell r="R137">
            <v>331</v>
          </cell>
          <cell r="S137">
            <v>1</v>
          </cell>
          <cell r="T137">
            <v>128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1</v>
          </cell>
          <cell r="Z137">
            <v>67</v>
          </cell>
        </row>
        <row r="138">
          <cell r="B138" t="str">
            <v>DALLAS, TX</v>
          </cell>
          <cell r="C138">
            <v>0</v>
          </cell>
          <cell r="D138">
            <v>0</v>
          </cell>
          <cell r="E138">
            <v>1</v>
          </cell>
          <cell r="F138">
            <v>258</v>
          </cell>
          <cell r="G138">
            <v>1</v>
          </cell>
          <cell r="H138">
            <v>139</v>
          </cell>
          <cell r="I138">
            <v>2</v>
          </cell>
          <cell r="J138">
            <v>303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2</v>
          </cell>
          <cell r="P138">
            <v>137</v>
          </cell>
          <cell r="Q138">
            <v>2</v>
          </cell>
          <cell r="R138">
            <v>243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</v>
          </cell>
          <cell r="Z138">
            <v>148</v>
          </cell>
        </row>
        <row r="139">
          <cell r="B139" t="str">
            <v>DENVER, CO</v>
          </cell>
          <cell r="C139">
            <v>0</v>
          </cell>
          <cell r="D139">
            <v>0</v>
          </cell>
          <cell r="E139">
            <v>1</v>
          </cell>
          <cell r="F139">
            <v>232</v>
          </cell>
          <cell r="G139">
            <v>0</v>
          </cell>
          <cell r="H139">
            <v>0</v>
          </cell>
          <cell r="I139">
            <v>1</v>
          </cell>
          <cell r="J139">
            <v>164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1</v>
          </cell>
          <cell r="V139">
            <v>74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B140" t="str">
            <v>DETROIT, MI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3</v>
          </cell>
          <cell r="J140">
            <v>319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3</v>
          </cell>
          <cell r="P140">
            <v>251</v>
          </cell>
          <cell r="Q140">
            <v>2</v>
          </cell>
          <cell r="R140">
            <v>165</v>
          </cell>
          <cell r="S140">
            <v>2</v>
          </cell>
          <cell r="T140">
            <v>203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1</v>
          </cell>
          <cell r="Z140">
            <v>8</v>
          </cell>
        </row>
        <row r="141">
          <cell r="B141" t="str">
            <v>HOUSTON, TX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2</v>
          </cell>
          <cell r="H141">
            <v>232</v>
          </cell>
          <cell r="I141">
            <v>5</v>
          </cell>
          <cell r="J141">
            <v>725</v>
          </cell>
          <cell r="K141">
            <v>1</v>
          </cell>
          <cell r="L141">
            <v>60</v>
          </cell>
          <cell r="M141">
            <v>2</v>
          </cell>
          <cell r="N141">
            <v>151</v>
          </cell>
          <cell r="O141">
            <v>1</v>
          </cell>
          <cell r="P141">
            <v>72</v>
          </cell>
          <cell r="Q141">
            <v>3</v>
          </cell>
          <cell r="R141">
            <v>170</v>
          </cell>
          <cell r="S141">
            <v>0</v>
          </cell>
          <cell r="T141">
            <v>0</v>
          </cell>
          <cell r="U141">
            <v>3</v>
          </cell>
          <cell r="V141">
            <v>124</v>
          </cell>
          <cell r="W141">
            <v>0</v>
          </cell>
          <cell r="X141">
            <v>0</v>
          </cell>
          <cell r="Y141">
            <v>2</v>
          </cell>
          <cell r="Z141">
            <v>327</v>
          </cell>
        </row>
        <row r="142">
          <cell r="B142" t="str">
            <v>LAS VEGAS, NV</v>
          </cell>
          <cell r="C142">
            <v>0</v>
          </cell>
          <cell r="D142">
            <v>0</v>
          </cell>
          <cell r="E142">
            <v>1</v>
          </cell>
          <cell r="F142">
            <v>350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1</v>
          </cell>
          <cell r="N142">
            <v>128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</v>
          </cell>
          <cell r="X142">
            <v>716</v>
          </cell>
          <cell r="Y142">
            <v>3</v>
          </cell>
          <cell r="Z142">
            <v>653</v>
          </cell>
        </row>
        <row r="143">
          <cell r="B143" t="str">
            <v>LOS ANGELES-LONG BEACH, CA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4</v>
          </cell>
          <cell r="J143">
            <v>506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3</v>
          </cell>
          <cell r="R143">
            <v>283</v>
          </cell>
          <cell r="S143">
            <v>1</v>
          </cell>
          <cell r="T143">
            <v>140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1</v>
          </cell>
          <cell r="Z143">
            <v>207</v>
          </cell>
        </row>
        <row r="144">
          <cell r="B144" t="str">
            <v>MIAMI-HIALEAH, FL</v>
          </cell>
          <cell r="C144">
            <v>0</v>
          </cell>
          <cell r="D144">
            <v>0</v>
          </cell>
          <cell r="E144">
            <v>3</v>
          </cell>
          <cell r="F144">
            <v>711</v>
          </cell>
          <cell r="G144">
            <v>0</v>
          </cell>
          <cell r="H144">
            <v>0</v>
          </cell>
          <cell r="I144">
            <v>5</v>
          </cell>
          <cell r="J144">
            <v>1010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</v>
          </cell>
          <cell r="T144">
            <v>98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3</v>
          </cell>
          <cell r="Z144">
            <v>614</v>
          </cell>
        </row>
        <row r="145">
          <cell r="B145" t="str">
            <v>MINNEAPOLIS-SAINT PAUL, MN-WI</v>
          </cell>
          <cell r="C145">
            <v>0</v>
          </cell>
          <cell r="D145">
            <v>0</v>
          </cell>
          <cell r="E145">
            <v>1</v>
          </cell>
          <cell r="F145">
            <v>256</v>
          </cell>
          <cell r="G145">
            <v>1</v>
          </cell>
          <cell r="H145">
            <v>127</v>
          </cell>
          <cell r="I145">
            <v>2</v>
          </cell>
          <cell r="J145">
            <v>224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</v>
          </cell>
          <cell r="R145">
            <v>169</v>
          </cell>
          <cell r="S145">
            <v>0</v>
          </cell>
          <cell r="T145">
            <v>0</v>
          </cell>
          <cell r="U145">
            <v>2</v>
          </cell>
          <cell r="V145">
            <v>136</v>
          </cell>
          <cell r="W145">
            <v>0</v>
          </cell>
          <cell r="X145">
            <v>0</v>
          </cell>
          <cell r="Y145">
            <v>1</v>
          </cell>
          <cell r="Z145">
            <v>120</v>
          </cell>
        </row>
        <row r="146">
          <cell r="B146" t="str">
            <v>NASHVILLE, TN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1</v>
          </cell>
          <cell r="P146">
            <v>74</v>
          </cell>
          <cell r="Q146">
            <v>2</v>
          </cell>
          <cell r="R146">
            <v>187</v>
          </cell>
          <cell r="S146">
            <v>0</v>
          </cell>
          <cell r="T146">
            <v>0</v>
          </cell>
          <cell r="U146">
            <v>2</v>
          </cell>
          <cell r="V146">
            <v>169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</row>
        <row r="147">
          <cell r="B147" t="str">
            <v>NEW ORLEANS, LA</v>
          </cell>
          <cell r="C147">
            <v>0</v>
          </cell>
          <cell r="D147">
            <v>0</v>
          </cell>
          <cell r="E147">
            <v>1</v>
          </cell>
          <cell r="F147">
            <v>182</v>
          </cell>
          <cell r="G147">
            <v>0</v>
          </cell>
          <cell r="H147">
            <v>0</v>
          </cell>
          <cell r="I147">
            <v>2</v>
          </cell>
          <cell r="J147">
            <v>682</v>
          </cell>
          <cell r="K147">
            <v>1</v>
          </cell>
          <cell r="L147">
            <v>100</v>
          </cell>
          <cell r="M147">
            <v>2</v>
          </cell>
          <cell r="N147">
            <v>221</v>
          </cell>
          <cell r="O147">
            <v>1</v>
          </cell>
          <cell r="P147">
            <v>68</v>
          </cell>
          <cell r="Q147">
            <v>2</v>
          </cell>
          <cell r="R147">
            <v>221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2</v>
          </cell>
          <cell r="Z147">
            <v>422</v>
          </cell>
        </row>
        <row r="148">
          <cell r="B148" t="str">
            <v>NEW YORK, NY</v>
          </cell>
          <cell r="C148">
            <v>1</v>
          </cell>
          <cell r="D148">
            <v>298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1</v>
          </cell>
          <cell r="L148">
            <v>83</v>
          </cell>
          <cell r="M148">
            <v>1</v>
          </cell>
          <cell r="N148">
            <v>59</v>
          </cell>
          <cell r="O148">
            <v>0</v>
          </cell>
          <cell r="P148">
            <v>0</v>
          </cell>
          <cell r="Q148">
            <v>2</v>
          </cell>
          <cell r="R148">
            <v>274</v>
          </cell>
          <cell r="S148">
            <v>0</v>
          </cell>
          <cell r="T148">
            <v>0</v>
          </cell>
          <cell r="U148">
            <v>2</v>
          </cell>
          <cell r="V148">
            <v>241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</row>
        <row r="149">
          <cell r="B149" t="str">
            <v>NORFOLK-VIRGINIA BEACH, VA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1</v>
          </cell>
          <cell r="J149">
            <v>140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</v>
          </cell>
          <cell r="X149">
            <v>129</v>
          </cell>
          <cell r="Y149">
            <v>1</v>
          </cell>
          <cell r="Z149">
            <v>86</v>
          </cell>
        </row>
        <row r="150">
          <cell r="B150" t="str">
            <v>OAHU ISLAND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</row>
        <row r="151">
          <cell r="B151" t="str">
            <v>ORLANDO, FL</v>
          </cell>
          <cell r="C151">
            <v>0</v>
          </cell>
          <cell r="D151">
            <v>0</v>
          </cell>
          <cell r="E151">
            <v>1</v>
          </cell>
          <cell r="F151">
            <v>305</v>
          </cell>
          <cell r="G151">
            <v>1</v>
          </cell>
          <cell r="H151">
            <v>350</v>
          </cell>
          <cell r="I151">
            <v>2</v>
          </cell>
          <cell r="J151">
            <v>494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4</v>
          </cell>
          <cell r="R151">
            <v>457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1</v>
          </cell>
          <cell r="X151">
            <v>1406</v>
          </cell>
          <cell r="Y151">
            <v>0</v>
          </cell>
          <cell r="Z151">
            <v>0</v>
          </cell>
        </row>
        <row r="152">
          <cell r="B152" t="str">
            <v>PHILADELPHIA, PA-NJ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2</v>
          </cell>
          <cell r="H152">
            <v>325</v>
          </cell>
          <cell r="I152">
            <v>2</v>
          </cell>
          <cell r="J152">
            <v>387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1</v>
          </cell>
          <cell r="P152">
            <v>64</v>
          </cell>
          <cell r="Q152">
            <v>3</v>
          </cell>
          <cell r="R152">
            <v>244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</row>
        <row r="153">
          <cell r="B153" t="str">
            <v>PHOENIX, AZ</v>
          </cell>
          <cell r="C153">
            <v>0</v>
          </cell>
          <cell r="D153">
            <v>0</v>
          </cell>
          <cell r="E153">
            <v>1</v>
          </cell>
          <cell r="F153">
            <v>500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1</v>
          </cell>
          <cell r="P153">
            <v>107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</row>
        <row r="154">
          <cell r="B154" t="str">
            <v>SAINT LOUIS, MO-IL</v>
          </cell>
          <cell r="C154">
            <v>0</v>
          </cell>
          <cell r="D154">
            <v>0</v>
          </cell>
          <cell r="E154">
            <v>1</v>
          </cell>
          <cell r="F154">
            <v>163</v>
          </cell>
          <cell r="G154">
            <v>0</v>
          </cell>
          <cell r="H154">
            <v>0</v>
          </cell>
          <cell r="I154">
            <v>1</v>
          </cell>
          <cell r="J154">
            <v>104</v>
          </cell>
          <cell r="K154">
            <v>0</v>
          </cell>
          <cell r="L154">
            <v>0</v>
          </cell>
          <cell r="M154">
            <v>1</v>
          </cell>
          <cell r="N154">
            <v>125</v>
          </cell>
          <cell r="O154">
            <v>0</v>
          </cell>
          <cell r="P154">
            <v>0</v>
          </cell>
          <cell r="Q154">
            <v>1</v>
          </cell>
          <cell r="R154">
            <v>80</v>
          </cell>
          <cell r="S154">
            <v>0</v>
          </cell>
          <cell r="T154">
            <v>0</v>
          </cell>
          <cell r="U154">
            <v>1</v>
          </cell>
          <cell r="V154">
            <v>100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</row>
        <row r="155">
          <cell r="B155" t="str">
            <v>SAN DIEGO, CA</v>
          </cell>
          <cell r="C155">
            <v>1</v>
          </cell>
          <cell r="D155">
            <v>284</v>
          </cell>
          <cell r="E155">
            <v>1</v>
          </cell>
          <cell r="F155">
            <v>261</v>
          </cell>
          <cell r="G155">
            <v>1</v>
          </cell>
          <cell r="H155">
            <v>245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1</v>
          </cell>
          <cell r="N155">
            <v>28</v>
          </cell>
          <cell r="O155">
            <v>2</v>
          </cell>
          <cell r="P155">
            <v>248</v>
          </cell>
          <cell r="Q155">
            <v>1</v>
          </cell>
          <cell r="R155">
            <v>100</v>
          </cell>
          <cell r="S155">
            <v>0</v>
          </cell>
          <cell r="T155">
            <v>0</v>
          </cell>
          <cell r="U155">
            <v>2</v>
          </cell>
          <cell r="V155">
            <v>253</v>
          </cell>
          <cell r="W155">
            <v>0</v>
          </cell>
          <cell r="X155">
            <v>0</v>
          </cell>
          <cell r="Y155">
            <v>1</v>
          </cell>
          <cell r="Z155">
            <v>175</v>
          </cell>
        </row>
        <row r="156">
          <cell r="B156" t="str">
            <v>SAN FRANCISCO/SAN MATEO</v>
          </cell>
          <cell r="C156">
            <v>1</v>
          </cell>
          <cell r="D156">
            <v>362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3</v>
          </cell>
          <cell r="R156">
            <v>272</v>
          </cell>
          <cell r="S156">
            <v>0</v>
          </cell>
          <cell r="T156">
            <v>0</v>
          </cell>
          <cell r="U156">
            <v>2</v>
          </cell>
          <cell r="V156">
            <v>78</v>
          </cell>
          <cell r="W156">
            <v>0</v>
          </cell>
          <cell r="X156">
            <v>0</v>
          </cell>
          <cell r="Y156">
            <v>3</v>
          </cell>
          <cell r="Z156">
            <v>113</v>
          </cell>
        </row>
        <row r="157">
          <cell r="B157" t="str">
            <v>SEATTLE, WA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</v>
          </cell>
          <cell r="N157">
            <v>65</v>
          </cell>
          <cell r="O157">
            <v>1</v>
          </cell>
          <cell r="P157">
            <v>62</v>
          </cell>
          <cell r="Q157">
            <v>1</v>
          </cell>
          <cell r="R157">
            <v>137</v>
          </cell>
          <cell r="S157">
            <v>0</v>
          </cell>
          <cell r="T157">
            <v>0</v>
          </cell>
          <cell r="U157">
            <v>1</v>
          </cell>
          <cell r="V157">
            <v>107</v>
          </cell>
          <cell r="W157">
            <v>0</v>
          </cell>
          <cell r="X157">
            <v>0</v>
          </cell>
          <cell r="Y157">
            <v>3</v>
          </cell>
          <cell r="Z157">
            <v>202</v>
          </cell>
        </row>
        <row r="158">
          <cell r="B158" t="str">
            <v>TAMPA-SAINT PETERSBURG, FL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1</v>
          </cell>
          <cell r="H158">
            <v>152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2</v>
          </cell>
          <cell r="R158">
            <v>135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</row>
        <row r="159">
          <cell r="B159" t="str">
            <v>WASHINGTON, DC-MD-VA</v>
          </cell>
          <cell r="C159">
            <v>0</v>
          </cell>
          <cell r="D159">
            <v>0</v>
          </cell>
          <cell r="E159">
            <v>2</v>
          </cell>
          <cell r="F159">
            <v>318</v>
          </cell>
          <cell r="G159">
            <v>2</v>
          </cell>
          <cell r="H159">
            <v>273</v>
          </cell>
          <cell r="I159">
            <v>3</v>
          </cell>
          <cell r="J159">
            <v>399</v>
          </cell>
          <cell r="K159">
            <v>0</v>
          </cell>
          <cell r="L159">
            <v>0</v>
          </cell>
          <cell r="M159">
            <v>1</v>
          </cell>
          <cell r="N159">
            <v>233</v>
          </cell>
          <cell r="O159">
            <v>0</v>
          </cell>
          <cell r="P159">
            <v>0</v>
          </cell>
          <cell r="Q159">
            <v>2</v>
          </cell>
          <cell r="R159">
            <v>262</v>
          </cell>
          <cell r="S159">
            <v>0</v>
          </cell>
          <cell r="T159">
            <v>0</v>
          </cell>
          <cell r="U159">
            <v>1</v>
          </cell>
          <cell r="V159">
            <v>60</v>
          </cell>
          <cell r="W159">
            <v>0</v>
          </cell>
          <cell r="X159">
            <v>0</v>
          </cell>
          <cell r="Y159">
            <v>1</v>
          </cell>
          <cell r="Z159">
            <v>172</v>
          </cell>
        </row>
      </sheetData>
      <sheetData sheetId="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1997-3q01 ALL OPENS"/>
    </sheetNames>
    <sheetDataSet>
      <sheetData sheetId="0" refreshError="1">
        <row r="6">
          <cell r="H6" t="str">
            <v>Adam's Mark</v>
          </cell>
          <cell r="I6" t="str">
            <v>Adam's Mark</v>
          </cell>
          <cell r="J6" t="str">
            <v/>
          </cell>
        </row>
        <row r="7">
          <cell r="H7" t="str">
            <v>AmericInn</v>
          </cell>
          <cell r="I7" t="str">
            <v>Ameicinn Int'l</v>
          </cell>
          <cell r="J7" t="str">
            <v>CIS</v>
          </cell>
          <cell r="AB7" t="str">
            <v>1Q 00</v>
          </cell>
          <cell r="AC7" t="str">
            <v>m1Q 00</v>
          </cell>
        </row>
        <row r="8">
          <cell r="H8" t="str">
            <v>AmeriHost Inn</v>
          </cell>
          <cell r="I8" t="str">
            <v>Cendant</v>
          </cell>
          <cell r="J8" t="str">
            <v/>
          </cell>
          <cell r="AB8" t="str">
            <v>1Q 01</v>
          </cell>
          <cell r="AC8" t="str">
            <v>q1Q 01</v>
          </cell>
        </row>
        <row r="9">
          <cell r="H9" t="str">
            <v>AmeriSuites</v>
          </cell>
          <cell r="I9" t="str">
            <v>Prime Hospitality</v>
          </cell>
          <cell r="J9" t="str">
            <v>CIS</v>
          </cell>
          <cell r="AB9" t="str">
            <v>1Q 97</v>
          </cell>
          <cell r="AC9" t="str">
            <v>a1Q 97</v>
          </cell>
        </row>
        <row r="10">
          <cell r="H10" t="str">
            <v>AmeriTel Inn</v>
          </cell>
          <cell r="I10" t="str">
            <v>AmeriTel</v>
          </cell>
          <cell r="J10" t="str">
            <v/>
          </cell>
          <cell r="AB10" t="str">
            <v>1Q 98</v>
          </cell>
          <cell r="AC10" t="str">
            <v>e1Q 98</v>
          </cell>
        </row>
        <row r="11">
          <cell r="H11" t="str">
            <v>Arte Business Suites</v>
          </cell>
          <cell r="I11" t="str">
            <v>Mayuri Corp.</v>
          </cell>
          <cell r="J11" t="str">
            <v/>
          </cell>
          <cell r="AB11" t="str">
            <v>1Q 99</v>
          </cell>
          <cell r="AC11" t="str">
            <v>i1Q 99</v>
          </cell>
        </row>
        <row r="12">
          <cell r="H12" t="str">
            <v>Arte Palatial Suites</v>
          </cell>
          <cell r="I12" t="str">
            <v>Mayuri Corp.</v>
          </cell>
          <cell r="J12" t="str">
            <v/>
          </cell>
          <cell r="AB12" t="str">
            <v>2Q 00</v>
          </cell>
          <cell r="AC12" t="str">
            <v>n2Q 00</v>
          </cell>
        </row>
        <row r="13">
          <cell r="H13" t="str">
            <v>Baymont Inn</v>
          </cell>
          <cell r="I13" t="str">
            <v>Marcus Corp.</v>
          </cell>
          <cell r="J13" t="str">
            <v/>
          </cell>
          <cell r="AB13" t="str">
            <v>2Q 01</v>
          </cell>
          <cell r="AC13" t="str">
            <v>r2Q 01</v>
          </cell>
        </row>
        <row r="14">
          <cell r="H14" t="str">
            <v>Best Inn &amp; Suites</v>
          </cell>
          <cell r="I14" t="str">
            <v>US Franchise</v>
          </cell>
          <cell r="J14" t="str">
            <v/>
          </cell>
          <cell r="AB14" t="str">
            <v>2Q 97</v>
          </cell>
          <cell r="AC14" t="str">
            <v>b2Q 97</v>
          </cell>
        </row>
        <row r="15">
          <cell r="H15" t="str">
            <v>Best Western</v>
          </cell>
          <cell r="I15" t="str">
            <v>Best Western Int'l</v>
          </cell>
          <cell r="J15" t="str">
            <v/>
          </cell>
          <cell r="AB15" t="str">
            <v>2Q 98</v>
          </cell>
          <cell r="AC15" t="str">
            <v>f2Q 98</v>
          </cell>
        </row>
        <row r="16">
          <cell r="H16" t="str">
            <v>Bradford Homesuites</v>
          </cell>
          <cell r="I16" t="str">
            <v>Intervest</v>
          </cell>
          <cell r="J16" t="str">
            <v/>
          </cell>
          <cell r="AB16" t="str">
            <v>2Q 99</v>
          </cell>
          <cell r="AC16" t="str">
            <v>j2Q 99</v>
          </cell>
        </row>
        <row r="17">
          <cell r="H17" t="str">
            <v>Budget Host</v>
          </cell>
          <cell r="I17" t="str">
            <v>Budget Host</v>
          </cell>
          <cell r="J17" t="str">
            <v/>
          </cell>
          <cell r="AB17" t="str">
            <v>3Q 00</v>
          </cell>
          <cell r="AC17" t="str">
            <v>o3Q 00</v>
          </cell>
        </row>
        <row r="18">
          <cell r="H18" t="str">
            <v>Budget Suites of America</v>
          </cell>
          <cell r="I18" t="str">
            <v>Bigelow Cos.</v>
          </cell>
          <cell r="J18" t="str">
            <v/>
          </cell>
          <cell r="AB18" t="str">
            <v>3Q 01</v>
          </cell>
          <cell r="AC18" t="str">
            <v>s3Q 01</v>
          </cell>
        </row>
        <row r="19">
          <cell r="H19" t="str">
            <v>Candlewood Suites</v>
          </cell>
          <cell r="I19" t="str">
            <v>Candlewood Hotels</v>
          </cell>
          <cell r="J19" t="str">
            <v/>
          </cell>
          <cell r="AB19" t="str">
            <v>3Q 97</v>
          </cell>
          <cell r="AC19" t="str">
            <v>c3Q 97</v>
          </cell>
        </row>
        <row r="20">
          <cell r="H20" t="str">
            <v>Casino</v>
          </cell>
          <cell r="I20" t="str">
            <v>Casino</v>
          </cell>
          <cell r="J20" t="str">
            <v/>
          </cell>
          <cell r="AB20" t="str">
            <v>3Q 98</v>
          </cell>
          <cell r="AC20" t="str">
            <v>g3Q 98</v>
          </cell>
        </row>
        <row r="21">
          <cell r="H21" t="str">
            <v>Clarion</v>
          </cell>
          <cell r="I21" t="str">
            <v>Choice Hotels</v>
          </cell>
          <cell r="J21" t="str">
            <v/>
          </cell>
          <cell r="AB21" t="str">
            <v>3Q 99</v>
          </cell>
          <cell r="AC21" t="str">
            <v>k3Q 99</v>
          </cell>
        </row>
        <row r="22">
          <cell r="H22" t="str">
            <v>Club Hotel by Doubletree</v>
          </cell>
          <cell r="I22" t="str">
            <v>Hilton Hotel Corp.</v>
          </cell>
          <cell r="J22" t="str">
            <v/>
          </cell>
          <cell r="AB22" t="str">
            <v>4Q 00</v>
          </cell>
          <cell r="AC22" t="str">
            <v>p4Q 00</v>
          </cell>
        </row>
        <row r="23">
          <cell r="H23" t="str">
            <v>Club Inn</v>
          </cell>
          <cell r="I23" t="str">
            <v>Wyndham Int'l</v>
          </cell>
          <cell r="J23" t="str">
            <v/>
          </cell>
          <cell r="AB23" t="str">
            <v>4Q 01</v>
          </cell>
          <cell r="AC23" t="str">
            <v>t4Q 01</v>
          </cell>
        </row>
        <row r="24">
          <cell r="H24" t="str">
            <v>Comfort Inn</v>
          </cell>
          <cell r="I24" t="str">
            <v>Choice Hotels</v>
          </cell>
          <cell r="J24" t="str">
            <v>CIS</v>
          </cell>
          <cell r="AB24" t="str">
            <v>4Q 97</v>
          </cell>
          <cell r="AC24" t="str">
            <v>d4Q 97</v>
          </cell>
        </row>
        <row r="25">
          <cell r="H25" t="str">
            <v>Comfort Suites</v>
          </cell>
          <cell r="I25" t="str">
            <v>Choice Hotels</v>
          </cell>
          <cell r="J25" t="str">
            <v>CIS</v>
          </cell>
          <cell r="AB25" t="str">
            <v>4Q 98</v>
          </cell>
          <cell r="AC25" t="str">
            <v>h4Q 98</v>
          </cell>
        </row>
        <row r="26">
          <cell r="H26" t="str">
            <v>Country Hearth Inn</v>
          </cell>
          <cell r="I26" t="str">
            <v>Buckhead America</v>
          </cell>
          <cell r="J26" t="str">
            <v/>
          </cell>
          <cell r="AB26" t="str">
            <v>4Q 99</v>
          </cell>
          <cell r="AC26" t="str">
            <v>l4Q 99</v>
          </cell>
        </row>
        <row r="27">
          <cell r="H27" t="str">
            <v>Country Inn &amp; Suites</v>
          </cell>
          <cell r="I27" t="str">
            <v>Carlson Hospitality</v>
          </cell>
          <cell r="J27" t="str">
            <v>CIS</v>
          </cell>
        </row>
        <row r="28">
          <cell r="H28" t="str">
            <v>Courtyard by Marriott</v>
          </cell>
          <cell r="I28" t="str">
            <v>Marriott Int'l</v>
          </cell>
          <cell r="J28" t="str">
            <v>CIS</v>
          </cell>
        </row>
        <row r="29">
          <cell r="H29" t="str">
            <v>Crestwood Suites</v>
          </cell>
          <cell r="I29" t="str">
            <v>Burson &amp; Simpson</v>
          </cell>
          <cell r="J29" t="str">
            <v/>
          </cell>
        </row>
        <row r="30">
          <cell r="H30" t="str">
            <v>Crossland Economy Studios</v>
          </cell>
          <cell r="I30" t="str">
            <v>Extended Stay America</v>
          </cell>
          <cell r="J30" t="str">
            <v/>
          </cell>
        </row>
        <row r="31">
          <cell r="H31" t="str">
            <v>Crowne Plaza</v>
          </cell>
          <cell r="I31" t="str">
            <v>Bass Hotels &amp; Resorts</v>
          </cell>
          <cell r="J31" t="str">
            <v/>
          </cell>
        </row>
        <row r="32">
          <cell r="H32" t="str">
            <v>Crystal Inn</v>
          </cell>
          <cell r="I32" t="str">
            <v>Crystal Inns</v>
          </cell>
          <cell r="J32" t="str">
            <v/>
          </cell>
        </row>
        <row r="33">
          <cell r="H33" t="str">
            <v>Days Inn</v>
          </cell>
          <cell r="I33" t="str">
            <v>Cendant</v>
          </cell>
          <cell r="J33" t="str">
            <v/>
          </cell>
        </row>
        <row r="34">
          <cell r="H34" t="str">
            <v>Doubletree Guest Suites</v>
          </cell>
          <cell r="I34" t="str">
            <v>Hilton Hotel Corp.</v>
          </cell>
          <cell r="J34" t="str">
            <v/>
          </cell>
        </row>
        <row r="35">
          <cell r="H35" t="str">
            <v>Doubletree Hotel</v>
          </cell>
          <cell r="I35" t="str">
            <v>Hilton Hotel Corp.</v>
          </cell>
          <cell r="J35" t="str">
            <v/>
          </cell>
        </row>
        <row r="36">
          <cell r="H36" t="str">
            <v>Drury Inn</v>
          </cell>
          <cell r="I36" t="str">
            <v>Drury Inns Inc.</v>
          </cell>
          <cell r="J36" t="str">
            <v/>
          </cell>
        </row>
        <row r="37">
          <cell r="H37" t="str">
            <v>Econo Lodge</v>
          </cell>
          <cell r="I37" t="str">
            <v>Choice Hotels</v>
          </cell>
          <cell r="J37" t="str">
            <v/>
          </cell>
        </row>
        <row r="38">
          <cell r="H38" t="str">
            <v>Embassy Suites</v>
          </cell>
          <cell r="I38" t="str">
            <v>Hilton Hotel Corp.</v>
          </cell>
          <cell r="J38" t="str">
            <v/>
          </cell>
        </row>
        <row r="39">
          <cell r="H39" t="str">
            <v>Extended Stay America</v>
          </cell>
          <cell r="I39" t="str">
            <v>Extended Stay America</v>
          </cell>
          <cell r="J39" t="str">
            <v/>
          </cell>
        </row>
        <row r="40">
          <cell r="H40" t="str">
            <v>Fairfield Inn</v>
          </cell>
          <cell r="I40" t="str">
            <v>Marriott Int'l</v>
          </cell>
          <cell r="J40" t="str">
            <v>CIS</v>
          </cell>
        </row>
        <row r="41">
          <cell r="H41" t="str">
            <v>Fairfield Inn &amp; Suites</v>
          </cell>
          <cell r="I41" t="str">
            <v>Marriott Int'l</v>
          </cell>
          <cell r="J41" t="str">
            <v/>
          </cell>
        </row>
        <row r="42">
          <cell r="H42" t="str">
            <v>Fairfield Suites</v>
          </cell>
          <cell r="I42" t="str">
            <v>Marriott Int'l</v>
          </cell>
          <cell r="J42" t="str">
            <v/>
          </cell>
        </row>
        <row r="43">
          <cell r="H43" t="str">
            <v>Four Points Hotel</v>
          </cell>
          <cell r="I43" t="str">
            <v>Starwood Hotels</v>
          </cell>
          <cell r="J43" t="str">
            <v/>
          </cell>
        </row>
        <row r="44">
          <cell r="H44" t="str">
            <v>Four Seasons</v>
          </cell>
          <cell r="I44" t="str">
            <v>Four Seasons</v>
          </cell>
          <cell r="J44" t="str">
            <v/>
          </cell>
        </row>
        <row r="45">
          <cell r="H45" t="str">
            <v>Friendship Inn</v>
          </cell>
          <cell r="I45" t="str">
            <v>Choice Hotels</v>
          </cell>
          <cell r="J45" t="str">
            <v/>
          </cell>
        </row>
        <row r="46">
          <cell r="H46" t="str">
            <v>Grand Bay Hotel</v>
          </cell>
          <cell r="I46" t="str">
            <v>Wyndham Int'l</v>
          </cell>
          <cell r="J46" t="str">
            <v/>
          </cell>
        </row>
        <row r="47">
          <cell r="H47" t="str">
            <v>GuestHouse Inn</v>
          </cell>
          <cell r="I47" t="str">
            <v>Suburban Lodges</v>
          </cell>
          <cell r="J47" t="str">
            <v/>
          </cell>
        </row>
        <row r="48">
          <cell r="H48" t="str">
            <v>Hampton Inn</v>
          </cell>
          <cell r="I48" t="str">
            <v>Hilton Hotel Corp.</v>
          </cell>
          <cell r="J48" t="str">
            <v>CIS</v>
          </cell>
        </row>
        <row r="49">
          <cell r="H49" t="str">
            <v>Hampton Inn &amp; Suites</v>
          </cell>
          <cell r="I49" t="str">
            <v>Hilton Hotel Corp.</v>
          </cell>
          <cell r="J49" t="str">
            <v>CIS</v>
          </cell>
        </row>
        <row r="50">
          <cell r="H50" t="str">
            <v>Hawthorn Ltd.</v>
          </cell>
          <cell r="I50" t="str">
            <v>Hilton Hotel Corp.</v>
          </cell>
          <cell r="J50" t="str">
            <v>CIS</v>
          </cell>
        </row>
        <row r="51">
          <cell r="H51" t="str">
            <v>Hawthorn Suites</v>
          </cell>
          <cell r="I51" t="str">
            <v>US Franchise</v>
          </cell>
          <cell r="J51" t="str">
            <v>CIS</v>
          </cell>
        </row>
        <row r="52">
          <cell r="H52" t="str">
            <v>Hawthorn Suites Ltd.</v>
          </cell>
          <cell r="I52" t="str">
            <v>US Franchise</v>
          </cell>
          <cell r="J52" t="str">
            <v>CIS</v>
          </cell>
        </row>
        <row r="53">
          <cell r="H53" t="str">
            <v>Hearthside Inn</v>
          </cell>
          <cell r="I53" t="str">
            <v>Hearthside Inns</v>
          </cell>
          <cell r="J53" t="str">
            <v/>
          </cell>
        </row>
        <row r="54">
          <cell r="H54" t="str">
            <v>Hilton Garden Inn</v>
          </cell>
          <cell r="I54" t="str">
            <v>Hilton Hotel Corp.</v>
          </cell>
          <cell r="J54" t="str">
            <v>CIS</v>
          </cell>
        </row>
        <row r="55">
          <cell r="H55" t="str">
            <v>Hilton Hotel</v>
          </cell>
          <cell r="I55" t="str">
            <v>Hilton Hotel Corp.</v>
          </cell>
          <cell r="J55" t="str">
            <v/>
          </cell>
        </row>
        <row r="56">
          <cell r="H56" t="str">
            <v>HoJo Inn</v>
          </cell>
          <cell r="I56" t="str">
            <v>Cendant</v>
          </cell>
          <cell r="J56" t="str">
            <v/>
          </cell>
        </row>
        <row r="57">
          <cell r="H57" t="str">
            <v>Holiday  Inn</v>
          </cell>
          <cell r="I57" t="str">
            <v>Bass Hotels &amp; Resorts</v>
          </cell>
          <cell r="J57" t="str">
            <v/>
          </cell>
        </row>
        <row r="58">
          <cell r="H58" t="str">
            <v>Holiday Inn Express</v>
          </cell>
          <cell r="I58" t="str">
            <v>Bass Hotels &amp; Resorts</v>
          </cell>
          <cell r="J58" t="str">
            <v>CIS</v>
          </cell>
        </row>
        <row r="59">
          <cell r="H59" t="str">
            <v>Holiday Inn Express &amp; Suites</v>
          </cell>
          <cell r="I59" t="str">
            <v>Bass Hotels &amp; Resorts</v>
          </cell>
          <cell r="J59" t="str">
            <v>CIS</v>
          </cell>
        </row>
        <row r="60">
          <cell r="H60" t="str">
            <v>Holiday Inn Select</v>
          </cell>
          <cell r="I60" t="str">
            <v>Bass Hotels &amp; Resorts</v>
          </cell>
          <cell r="J60" t="str">
            <v/>
          </cell>
        </row>
        <row r="61">
          <cell r="H61" t="str">
            <v>Holiday Inn Sunspree</v>
          </cell>
          <cell r="I61" t="str">
            <v>Bass Hotels &amp; Resorts</v>
          </cell>
          <cell r="J61" t="str">
            <v/>
          </cell>
        </row>
        <row r="62">
          <cell r="H62" t="str">
            <v>Homegate Studios &amp; Suites</v>
          </cell>
          <cell r="I62" t="str">
            <v>zIndependent Hotel</v>
          </cell>
          <cell r="J62" t="str">
            <v/>
          </cell>
        </row>
        <row r="63">
          <cell r="H63" t="str">
            <v>Homestead Village</v>
          </cell>
          <cell r="I63" t="str">
            <v>Homestead Village</v>
          </cell>
          <cell r="J63" t="str">
            <v/>
          </cell>
        </row>
        <row r="64">
          <cell r="H64" t="str">
            <v>Homewood Suites by Hilton</v>
          </cell>
          <cell r="I64" t="str">
            <v>Hilton Hotel Corp.</v>
          </cell>
          <cell r="J64" t="str">
            <v/>
          </cell>
        </row>
        <row r="65">
          <cell r="H65" t="str">
            <v>Hotel Sofitel</v>
          </cell>
          <cell r="I65" t="str">
            <v>ACCOR</v>
          </cell>
          <cell r="J65" t="str">
            <v/>
          </cell>
        </row>
        <row r="66">
          <cell r="H66" t="str">
            <v>Howard Johnson</v>
          </cell>
          <cell r="I66" t="str">
            <v>Cendant</v>
          </cell>
          <cell r="J66" t="str">
            <v/>
          </cell>
        </row>
        <row r="67">
          <cell r="H67" t="str">
            <v>Howard Johnson Express Inn</v>
          </cell>
          <cell r="I67" t="str">
            <v>Cendant</v>
          </cell>
          <cell r="J67" t="str">
            <v/>
          </cell>
        </row>
        <row r="68">
          <cell r="H68" t="str">
            <v>Howard Johnson Hotel</v>
          </cell>
          <cell r="I68" t="str">
            <v>Cendant</v>
          </cell>
          <cell r="J68" t="str">
            <v/>
          </cell>
        </row>
        <row r="69">
          <cell r="H69" t="str">
            <v>Howard Johnson Inn</v>
          </cell>
          <cell r="I69" t="str">
            <v>Cendant</v>
          </cell>
          <cell r="J69" t="str">
            <v/>
          </cell>
        </row>
        <row r="70">
          <cell r="H70" t="str">
            <v>Howard Johnson Plaza</v>
          </cell>
          <cell r="I70" t="str">
            <v>Cendant</v>
          </cell>
          <cell r="J70" t="str">
            <v/>
          </cell>
        </row>
        <row r="71">
          <cell r="H71" t="str">
            <v>Hyatt Hotel</v>
          </cell>
          <cell r="I71" t="str">
            <v>Hyatt Hotel Corp.</v>
          </cell>
          <cell r="J71" t="str">
            <v/>
          </cell>
        </row>
        <row r="72">
          <cell r="H72" t="str">
            <v>Hyatt Regency</v>
          </cell>
          <cell r="I72" t="str">
            <v>Hyatt Hotel Corp.</v>
          </cell>
          <cell r="J72" t="str">
            <v/>
          </cell>
        </row>
        <row r="73">
          <cell r="H73" t="str">
            <v>Inter-Continental</v>
          </cell>
          <cell r="I73" t="str">
            <v>Bass Hotels &amp; Resorts</v>
          </cell>
          <cell r="J73" t="str">
            <v/>
          </cell>
        </row>
        <row r="74">
          <cell r="H74" t="str">
            <v>Intown Suites</v>
          </cell>
          <cell r="I74" t="str">
            <v>Intown Suites</v>
          </cell>
          <cell r="J74" t="str">
            <v/>
          </cell>
        </row>
        <row r="75">
          <cell r="H75" t="str">
            <v>Jameson Inn</v>
          </cell>
          <cell r="I75" t="str">
            <v>Jameson Inns</v>
          </cell>
          <cell r="J75" t="str">
            <v/>
          </cell>
        </row>
        <row r="76">
          <cell r="H76" t="str">
            <v>Key West Inn</v>
          </cell>
          <cell r="I76" t="str">
            <v>Key West Inns</v>
          </cell>
          <cell r="J76" t="str">
            <v/>
          </cell>
        </row>
        <row r="77">
          <cell r="H77" t="str">
            <v>Knights Inn</v>
          </cell>
          <cell r="I77" t="str">
            <v>Cendant</v>
          </cell>
          <cell r="J77" t="str">
            <v/>
          </cell>
        </row>
        <row r="78">
          <cell r="H78" t="str">
            <v>La Quinta Inn</v>
          </cell>
          <cell r="I78" t="str">
            <v>Meditrust</v>
          </cell>
          <cell r="J78" t="str">
            <v>CIS</v>
          </cell>
        </row>
        <row r="79">
          <cell r="H79" t="str">
            <v>La Quinta Motor Inn</v>
          </cell>
          <cell r="I79" t="str">
            <v>Meditrust</v>
          </cell>
          <cell r="J79" t="str">
            <v/>
          </cell>
        </row>
        <row r="80">
          <cell r="H80" t="str">
            <v>Larkspur Landing</v>
          </cell>
          <cell r="I80" t="str">
            <v>Larkspur</v>
          </cell>
          <cell r="J80" t="str">
            <v/>
          </cell>
        </row>
        <row r="81">
          <cell r="H81" t="str">
            <v>Le Meridien</v>
          </cell>
          <cell r="I81" t="str">
            <v>Meridien Hotels</v>
          </cell>
          <cell r="J81" t="str">
            <v/>
          </cell>
        </row>
        <row r="82">
          <cell r="H82" t="str">
            <v>Lexington Hotel Suites</v>
          </cell>
          <cell r="I82" t="str">
            <v>Lexington Hotel Suites</v>
          </cell>
          <cell r="J82" t="str">
            <v/>
          </cell>
        </row>
        <row r="83">
          <cell r="H83" t="str">
            <v>Loews Hotel</v>
          </cell>
          <cell r="I83" t="str">
            <v>Loew's Hotels</v>
          </cell>
          <cell r="J83" t="str">
            <v/>
          </cell>
        </row>
        <row r="84">
          <cell r="H84" t="str">
            <v>MainStay Suites</v>
          </cell>
          <cell r="I84" t="str">
            <v>Choice Hotels</v>
          </cell>
          <cell r="J84" t="str">
            <v/>
          </cell>
        </row>
        <row r="85">
          <cell r="H85" t="str">
            <v>Marriott Hotel</v>
          </cell>
          <cell r="I85" t="str">
            <v>Marriott Int'l</v>
          </cell>
          <cell r="J85" t="str">
            <v/>
          </cell>
        </row>
        <row r="86">
          <cell r="H86" t="str">
            <v>Meridien Hotel</v>
          </cell>
          <cell r="I86" t="str">
            <v>Meridien Hotels</v>
          </cell>
          <cell r="J86" t="str">
            <v/>
          </cell>
        </row>
        <row r="87">
          <cell r="H87" t="str">
            <v>Microtel Inn</v>
          </cell>
          <cell r="I87" t="str">
            <v>US Franchise</v>
          </cell>
          <cell r="J87" t="str">
            <v/>
          </cell>
        </row>
        <row r="88">
          <cell r="H88" t="str">
            <v>Motel 6</v>
          </cell>
          <cell r="I88" t="str">
            <v>ACCOR ECON LODGING</v>
          </cell>
          <cell r="J88" t="str">
            <v/>
          </cell>
        </row>
        <row r="89">
          <cell r="H89" t="str">
            <v>Omni Hotel</v>
          </cell>
          <cell r="I89" t="str">
            <v>Omni Hotels</v>
          </cell>
          <cell r="J89" t="str">
            <v/>
          </cell>
        </row>
        <row r="90">
          <cell r="H90" t="str">
            <v>Park Inn</v>
          </cell>
          <cell r="I90" t="str">
            <v>Carlson Hospitality</v>
          </cell>
          <cell r="J90" t="str">
            <v/>
          </cell>
        </row>
        <row r="91">
          <cell r="H91" t="str">
            <v>Platinum Suites</v>
          </cell>
          <cell r="I91" t="str">
            <v>Platinum Suites</v>
          </cell>
          <cell r="J91" t="str">
            <v/>
          </cell>
        </row>
        <row r="92">
          <cell r="H92" t="str">
            <v>Quality Inn</v>
          </cell>
          <cell r="I92" t="str">
            <v>Choice Hotels</v>
          </cell>
          <cell r="J92" t="str">
            <v/>
          </cell>
        </row>
        <row r="93">
          <cell r="H93" t="str">
            <v>Quality Inn &amp; Suites</v>
          </cell>
          <cell r="I93" t="str">
            <v>Choice Hotels</v>
          </cell>
          <cell r="J93" t="str">
            <v/>
          </cell>
        </row>
        <row r="94">
          <cell r="H94" t="str">
            <v>Quality Suites</v>
          </cell>
          <cell r="I94" t="str">
            <v>Choice Hotels</v>
          </cell>
          <cell r="J94" t="str">
            <v/>
          </cell>
        </row>
        <row r="95">
          <cell r="H95" t="str">
            <v>Radisson Hotel</v>
          </cell>
          <cell r="I95" t="str">
            <v>Carlson Hospitality</v>
          </cell>
          <cell r="J95" t="str">
            <v/>
          </cell>
        </row>
        <row r="96">
          <cell r="H96" t="str">
            <v>Radisson Inn</v>
          </cell>
          <cell r="I96" t="str">
            <v>Carlson Hospitality</v>
          </cell>
          <cell r="J96" t="str">
            <v/>
          </cell>
        </row>
        <row r="97">
          <cell r="H97" t="str">
            <v>Ramada</v>
          </cell>
          <cell r="I97" t="str">
            <v>Cendant</v>
          </cell>
          <cell r="J97" t="str">
            <v/>
          </cell>
        </row>
        <row r="98">
          <cell r="H98" t="str">
            <v>Ramada Inn</v>
          </cell>
          <cell r="I98" t="str">
            <v>Cendant</v>
          </cell>
          <cell r="J98" t="str">
            <v/>
          </cell>
        </row>
        <row r="99">
          <cell r="H99" t="str">
            <v>Ramada Limited</v>
          </cell>
          <cell r="I99" t="str">
            <v>Cendant</v>
          </cell>
          <cell r="J99" t="str">
            <v/>
          </cell>
        </row>
        <row r="100">
          <cell r="H100" t="str">
            <v>Ramada Plaza</v>
          </cell>
          <cell r="I100" t="str">
            <v>Cendant</v>
          </cell>
          <cell r="J100" t="str">
            <v/>
          </cell>
        </row>
        <row r="101">
          <cell r="H101" t="str">
            <v>Red Carpet Inn</v>
          </cell>
          <cell r="I101" t="str">
            <v>Red Carpet Inn</v>
          </cell>
          <cell r="J101" t="str">
            <v/>
          </cell>
        </row>
        <row r="102">
          <cell r="H102" t="str">
            <v>Red Lion</v>
          </cell>
          <cell r="I102" t="str">
            <v>Hilton Hotel Corp.</v>
          </cell>
          <cell r="J102" t="str">
            <v/>
          </cell>
        </row>
        <row r="103">
          <cell r="H103" t="str">
            <v>Red Roof Inn</v>
          </cell>
          <cell r="I103" t="str">
            <v>ACCOR ECON LODGING</v>
          </cell>
          <cell r="J103" t="str">
            <v/>
          </cell>
        </row>
        <row r="104">
          <cell r="H104" t="str">
            <v>Renaissance Hotel</v>
          </cell>
          <cell r="I104" t="str">
            <v>Marriott Int'l</v>
          </cell>
          <cell r="J104" t="str">
            <v/>
          </cell>
        </row>
        <row r="105">
          <cell r="H105" t="str">
            <v>Residence Inn</v>
          </cell>
          <cell r="I105" t="str">
            <v>Marriott Int'l</v>
          </cell>
          <cell r="J105" t="str">
            <v/>
          </cell>
        </row>
        <row r="106">
          <cell r="H106" t="str">
            <v>Ritz-Carlton</v>
          </cell>
          <cell r="I106" t="str">
            <v>Marriott Int'l</v>
          </cell>
          <cell r="J106" t="str">
            <v/>
          </cell>
        </row>
        <row r="107">
          <cell r="H107" t="str">
            <v>Rodeway Inn</v>
          </cell>
          <cell r="I107" t="str">
            <v>Choice Hotels</v>
          </cell>
          <cell r="J107" t="str">
            <v/>
          </cell>
        </row>
        <row r="108">
          <cell r="H108" t="str">
            <v>Scottish Inn</v>
          </cell>
          <cell r="I108" t="str">
            <v>Scottish Inn</v>
          </cell>
          <cell r="J108" t="str">
            <v/>
          </cell>
        </row>
        <row r="109">
          <cell r="H109" t="str">
            <v>Select Inn</v>
          </cell>
          <cell r="I109" t="str">
            <v>Select Inn</v>
          </cell>
          <cell r="J109" t="str">
            <v/>
          </cell>
        </row>
        <row r="110">
          <cell r="H110" t="str">
            <v>Sheraton Hotel</v>
          </cell>
          <cell r="I110" t="str">
            <v>Starwood Hotels</v>
          </cell>
          <cell r="J110" t="str">
            <v/>
          </cell>
        </row>
        <row r="111">
          <cell r="H111" t="str">
            <v>Sheraton Inn</v>
          </cell>
          <cell r="I111" t="str">
            <v>Starwood Hotels</v>
          </cell>
          <cell r="J111" t="str">
            <v/>
          </cell>
        </row>
        <row r="112">
          <cell r="H112" t="str">
            <v>Shoney's Inn</v>
          </cell>
          <cell r="I112" t="str">
            <v>Sholodge</v>
          </cell>
          <cell r="J112" t="str">
            <v/>
          </cell>
        </row>
        <row r="113">
          <cell r="H113" t="str">
            <v>Sierra Suites</v>
          </cell>
          <cell r="I113" t="str">
            <v>Sierra Suites Hotel Co.</v>
          </cell>
          <cell r="J113" t="str">
            <v/>
          </cell>
        </row>
        <row r="114">
          <cell r="H114" t="str">
            <v>Signature Inns</v>
          </cell>
          <cell r="I114" t="str">
            <v>Jameson Inns</v>
          </cell>
          <cell r="J114" t="str">
            <v/>
          </cell>
        </row>
        <row r="115">
          <cell r="H115" t="str">
            <v>Sleep Inn</v>
          </cell>
          <cell r="I115" t="str">
            <v>Choice Hotels</v>
          </cell>
          <cell r="J115" t="str">
            <v/>
          </cell>
        </row>
        <row r="116">
          <cell r="H116" t="str">
            <v>SpringHill Suites</v>
          </cell>
          <cell r="I116" t="str">
            <v>Marriott Int'l</v>
          </cell>
          <cell r="J116" t="str">
            <v>CIS</v>
          </cell>
        </row>
        <row r="117">
          <cell r="H117" t="str">
            <v>St. Regis</v>
          </cell>
          <cell r="I117" t="str">
            <v>Starwood Hotels</v>
          </cell>
          <cell r="J117" t="str">
            <v/>
          </cell>
        </row>
        <row r="118">
          <cell r="H118" t="str">
            <v>Starwood Hotel</v>
          </cell>
          <cell r="I118" t="str">
            <v>Starwood Hotels</v>
          </cell>
          <cell r="J118" t="str">
            <v/>
          </cell>
        </row>
        <row r="119">
          <cell r="H119" t="str">
            <v>Staybridge Suites</v>
          </cell>
          <cell r="I119" t="str">
            <v>Bass Hotels &amp; Resorts</v>
          </cell>
          <cell r="J119" t="str">
            <v/>
          </cell>
        </row>
        <row r="120">
          <cell r="H120" t="str">
            <v>Studio 6</v>
          </cell>
          <cell r="I120" t="str">
            <v>ACCOR Econ Lodging</v>
          </cell>
          <cell r="J120" t="str">
            <v/>
          </cell>
        </row>
        <row r="121">
          <cell r="H121" t="str">
            <v>StudioPlus Hotel</v>
          </cell>
          <cell r="I121" t="str">
            <v>Extended Stay America</v>
          </cell>
          <cell r="J121" t="str">
            <v/>
          </cell>
        </row>
        <row r="122">
          <cell r="H122" t="str">
            <v>Suburban Lodge</v>
          </cell>
          <cell r="I122" t="str">
            <v>Suburban Lodges</v>
          </cell>
          <cell r="J122" t="str">
            <v/>
          </cell>
        </row>
        <row r="123">
          <cell r="H123" t="str">
            <v>Suite Carolina</v>
          </cell>
          <cell r="I123" t="str">
            <v>Suite Carolina</v>
          </cell>
          <cell r="J123" t="str">
            <v/>
          </cell>
        </row>
        <row r="124">
          <cell r="H124" t="str">
            <v>SuiteOne</v>
          </cell>
          <cell r="I124" t="str">
            <v>SuiteOne</v>
          </cell>
          <cell r="J124" t="str">
            <v/>
          </cell>
        </row>
        <row r="125">
          <cell r="H125" t="str">
            <v>Summerfield Suites by Wyndham</v>
          </cell>
          <cell r="I125" t="str">
            <v>Wyndham Int'l</v>
          </cell>
          <cell r="J125" t="str">
            <v/>
          </cell>
        </row>
        <row r="126">
          <cell r="H126" t="str">
            <v>Sumner Suites</v>
          </cell>
          <cell r="I126" t="str">
            <v>Sholodge</v>
          </cell>
          <cell r="J126" t="str">
            <v/>
          </cell>
        </row>
        <row r="127">
          <cell r="H127" t="str">
            <v>Sun Suites</v>
          </cell>
          <cell r="I127" t="str">
            <v>Sun Suites, Inc.</v>
          </cell>
          <cell r="J127" t="str">
            <v/>
          </cell>
        </row>
        <row r="128">
          <cell r="H128" t="str">
            <v>Super 8</v>
          </cell>
          <cell r="I128" t="str">
            <v>Cendant</v>
          </cell>
          <cell r="J128" t="str">
            <v/>
          </cell>
        </row>
        <row r="129">
          <cell r="H129" t="str">
            <v>Susse Chalet</v>
          </cell>
          <cell r="I129" t="str">
            <v>Olympus Hospitality</v>
          </cell>
          <cell r="J129" t="str">
            <v/>
          </cell>
        </row>
        <row r="130">
          <cell r="H130" t="str">
            <v>Swissotel</v>
          </cell>
          <cell r="I130" t="str">
            <v>Swissotel</v>
          </cell>
          <cell r="J130" t="str">
            <v/>
          </cell>
        </row>
        <row r="131">
          <cell r="H131" t="str">
            <v>TownePlace Suites</v>
          </cell>
          <cell r="I131" t="str">
            <v>Marriott Int'l</v>
          </cell>
          <cell r="J131" t="str">
            <v/>
          </cell>
        </row>
        <row r="132">
          <cell r="H132" t="str">
            <v>Travelodge</v>
          </cell>
          <cell r="I132" t="str">
            <v>Cendant</v>
          </cell>
          <cell r="J132" t="str">
            <v/>
          </cell>
        </row>
        <row r="133">
          <cell r="H133" t="str">
            <v>Vagabond Inn</v>
          </cell>
          <cell r="I133" t="str">
            <v>Vagabond Inns</v>
          </cell>
          <cell r="J133" t="str">
            <v/>
          </cell>
        </row>
        <row r="134">
          <cell r="H134" t="str">
            <v>Villager Lodge</v>
          </cell>
          <cell r="I134" t="str">
            <v>Cendant</v>
          </cell>
          <cell r="J134" t="str">
            <v/>
          </cell>
        </row>
        <row r="135">
          <cell r="H135" t="str">
            <v>W Hotel</v>
          </cell>
          <cell r="I135" t="str">
            <v>Starwood Hotels</v>
          </cell>
          <cell r="J135" t="str">
            <v/>
          </cell>
        </row>
        <row r="136">
          <cell r="H136" t="str">
            <v>Wellesley Inn</v>
          </cell>
          <cell r="I136" t="str">
            <v>Prime Hospitality</v>
          </cell>
          <cell r="J136" t="str">
            <v>CIS</v>
          </cell>
        </row>
        <row r="137">
          <cell r="H137" t="str">
            <v>Westin  Hotel</v>
          </cell>
          <cell r="I137" t="str">
            <v>Starwood Hotels</v>
          </cell>
          <cell r="J137" t="str">
            <v/>
          </cell>
        </row>
        <row r="138">
          <cell r="H138" t="str">
            <v>Wilson Inn</v>
          </cell>
          <cell r="I138" t="str">
            <v>Wilson Inns</v>
          </cell>
          <cell r="J138" t="str">
            <v/>
          </cell>
        </row>
        <row r="139">
          <cell r="H139" t="str">
            <v>Wingate Inn</v>
          </cell>
          <cell r="I139" t="str">
            <v>Cendant</v>
          </cell>
          <cell r="J139" t="str">
            <v>CIS</v>
          </cell>
        </row>
        <row r="140">
          <cell r="H140" t="str">
            <v>Woodfield Suites</v>
          </cell>
          <cell r="I140" t="str">
            <v>Marcus Corp.</v>
          </cell>
          <cell r="J140" t="str">
            <v/>
          </cell>
        </row>
        <row r="141">
          <cell r="H141" t="str">
            <v>Woodfin Suites</v>
          </cell>
          <cell r="I141" t="str">
            <v>Woodfin Hotels</v>
          </cell>
          <cell r="J141" t="str">
            <v/>
          </cell>
        </row>
        <row r="142">
          <cell r="H142" t="str">
            <v xml:space="preserve">Wyndham Garden </v>
          </cell>
          <cell r="I142" t="str">
            <v>Wyndham Int'l</v>
          </cell>
          <cell r="J142" t="str">
            <v/>
          </cell>
        </row>
        <row r="143">
          <cell r="H143" t="str">
            <v>Wyndham Hotel</v>
          </cell>
          <cell r="I143" t="str">
            <v>Wyndham Int'l</v>
          </cell>
          <cell r="J143" t="str">
            <v/>
          </cell>
        </row>
      </sheetData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riott Ex III"/>
      <sheetName val="BY MSA ExIII (LV)"/>
      <sheetName val="Courtyard Ex III (LV)"/>
      <sheetName val="Fairfield Ex III (LV)"/>
      <sheetName val="Marriott HRS Ex III (LV)"/>
      <sheetName val="Renaissance Ex III (LV)"/>
      <sheetName val="Residence Ex III (LV)"/>
      <sheetName val="Ritz Ex III (LV)"/>
      <sheetName val="SpringHill Ex III (LV)"/>
      <sheetName val="townplace Ex III (LV)"/>
      <sheetName val="lookups"/>
      <sheetName val="pivots"/>
      <sheetName val="census"/>
      <sheetName val="brand cens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">
          <cell r="N3">
            <v>502411</v>
          </cell>
        </row>
        <row r="4">
          <cell r="N4">
            <v>368118</v>
          </cell>
        </row>
        <row r="5">
          <cell r="N5">
            <v>640176</v>
          </cell>
        </row>
        <row r="6">
          <cell r="N6">
            <v>538208</v>
          </cell>
        </row>
        <row r="245">
          <cell r="B245" t="str">
            <v>Bass Hotels</v>
          </cell>
          <cell r="C245">
            <v>2237</v>
          </cell>
          <cell r="D245">
            <v>321069</v>
          </cell>
          <cell r="E245">
            <v>131</v>
          </cell>
          <cell r="F245">
            <v>13159</v>
          </cell>
          <cell r="G245">
            <v>163</v>
          </cell>
          <cell r="H245">
            <v>14685</v>
          </cell>
          <cell r="I245">
            <v>294</v>
          </cell>
          <cell r="J245">
            <v>27844</v>
          </cell>
        </row>
        <row r="246">
          <cell r="B246" t="str">
            <v>Cendant Corp.</v>
          </cell>
          <cell r="C246">
            <v>6246</v>
          </cell>
          <cell r="D246">
            <v>524300</v>
          </cell>
          <cell r="E246">
            <v>90</v>
          </cell>
          <cell r="F246">
            <v>6706</v>
          </cell>
          <cell r="G246">
            <v>117</v>
          </cell>
          <cell r="H246">
            <v>11552</v>
          </cell>
          <cell r="I246">
            <v>207</v>
          </cell>
          <cell r="J246">
            <v>18258</v>
          </cell>
        </row>
        <row r="247">
          <cell r="B247" t="str">
            <v>Choice Hotels</v>
          </cell>
          <cell r="C247">
            <v>3320</v>
          </cell>
          <cell r="D247">
            <v>272253</v>
          </cell>
          <cell r="E247">
            <v>98</v>
          </cell>
          <cell r="F247">
            <v>7322</v>
          </cell>
          <cell r="G247">
            <v>82</v>
          </cell>
          <cell r="H247">
            <v>6453</v>
          </cell>
          <cell r="I247">
            <v>180</v>
          </cell>
          <cell r="J247">
            <v>13775</v>
          </cell>
        </row>
        <row r="248">
          <cell r="B248" t="str">
            <v>Extended Stay America</v>
          </cell>
          <cell r="C248">
            <v>399</v>
          </cell>
          <cell r="D248">
            <v>42295</v>
          </cell>
          <cell r="E248">
            <v>26</v>
          </cell>
          <cell r="F248">
            <v>2752</v>
          </cell>
          <cell r="G248">
            <v>16</v>
          </cell>
          <cell r="H248">
            <v>1735</v>
          </cell>
          <cell r="I248">
            <v>42</v>
          </cell>
          <cell r="J248">
            <v>4487</v>
          </cell>
        </row>
        <row r="249">
          <cell r="B249" t="str">
            <v>Hilton Hotels</v>
          </cell>
          <cell r="C249">
            <v>1842</v>
          </cell>
          <cell r="D249">
            <v>319908</v>
          </cell>
          <cell r="E249">
            <v>138</v>
          </cell>
          <cell r="F249">
            <v>17080</v>
          </cell>
          <cell r="G249">
            <v>170</v>
          </cell>
          <cell r="H249">
            <v>21897</v>
          </cell>
          <cell r="I249">
            <v>308</v>
          </cell>
          <cell r="J249">
            <v>38977</v>
          </cell>
        </row>
        <row r="250">
          <cell r="B250" t="str">
            <v>Marriott International</v>
          </cell>
          <cell r="C250">
            <v>1801</v>
          </cell>
          <cell r="D250">
            <v>311293</v>
          </cell>
          <cell r="E250">
            <v>157</v>
          </cell>
          <cell r="F250">
            <v>28765</v>
          </cell>
          <cell r="G250">
            <v>169</v>
          </cell>
          <cell r="H250">
            <v>26507</v>
          </cell>
          <cell r="I250">
            <v>326</v>
          </cell>
          <cell r="J250">
            <v>55272</v>
          </cell>
        </row>
        <row r="251">
          <cell r="B251" t="str">
            <v>Prime Hospitality</v>
          </cell>
          <cell r="C251">
            <v>211</v>
          </cell>
          <cell r="D251">
            <v>25768</v>
          </cell>
          <cell r="E251">
            <v>9</v>
          </cell>
          <cell r="F251">
            <v>1194</v>
          </cell>
          <cell r="G251">
            <v>7</v>
          </cell>
          <cell r="H251">
            <v>968</v>
          </cell>
          <cell r="I251">
            <v>16</v>
          </cell>
          <cell r="J251">
            <v>2162</v>
          </cell>
        </row>
        <row r="252">
          <cell r="B252" t="str">
            <v>Starwood Hotels</v>
          </cell>
          <cell r="C252">
            <v>381</v>
          </cell>
          <cell r="D252">
            <v>124879</v>
          </cell>
          <cell r="E252">
            <v>22</v>
          </cell>
          <cell r="F252">
            <v>7956</v>
          </cell>
          <cell r="G252">
            <v>10</v>
          </cell>
          <cell r="H252">
            <v>3048</v>
          </cell>
          <cell r="I252">
            <v>32</v>
          </cell>
          <cell r="J252">
            <v>11004</v>
          </cell>
        </row>
        <row r="253">
          <cell r="B253" t="str">
            <v>US Franchise Systems</v>
          </cell>
          <cell r="C253">
            <v>525</v>
          </cell>
          <cell r="D253">
            <v>42678</v>
          </cell>
          <cell r="E253">
            <v>57</v>
          </cell>
          <cell r="F253">
            <v>3860</v>
          </cell>
          <cell r="G253">
            <v>78</v>
          </cell>
          <cell r="H253">
            <v>6072</v>
          </cell>
          <cell r="I253">
            <v>135</v>
          </cell>
          <cell r="J253">
            <v>9932</v>
          </cell>
        </row>
        <row r="254">
          <cell r="B254" t="str">
            <v>Wyndham Int'l</v>
          </cell>
          <cell r="C254">
            <v>147</v>
          </cell>
          <cell r="D254">
            <v>34450</v>
          </cell>
          <cell r="E254">
            <v>2</v>
          </cell>
          <cell r="F254">
            <v>589</v>
          </cell>
          <cell r="G254">
            <v>0</v>
          </cell>
          <cell r="H254">
            <v>0</v>
          </cell>
          <cell r="I254">
            <v>2</v>
          </cell>
          <cell r="J254">
            <v>589</v>
          </cell>
        </row>
      </sheetData>
      <sheetData sheetId="11" refreshError="1">
        <row r="7">
          <cell r="AC7">
            <v>488</v>
          </cell>
        </row>
        <row r="8">
          <cell r="AC8">
            <v>454</v>
          </cell>
        </row>
        <row r="9">
          <cell r="AC9">
            <v>277</v>
          </cell>
        </row>
        <row r="10">
          <cell r="AC10">
            <v>51</v>
          </cell>
        </row>
        <row r="11">
          <cell r="AC11">
            <v>354</v>
          </cell>
        </row>
        <row r="12">
          <cell r="AC12">
            <v>22</v>
          </cell>
        </row>
        <row r="13">
          <cell r="AC13">
            <v>66</v>
          </cell>
        </row>
        <row r="14">
          <cell r="AC14">
            <v>89</v>
          </cell>
        </row>
        <row r="15">
          <cell r="AC15">
            <v>68010</v>
          </cell>
        </row>
        <row r="16">
          <cell r="AC16">
            <v>43380</v>
          </cell>
        </row>
        <row r="17">
          <cell r="AC17">
            <v>114255</v>
          </cell>
        </row>
        <row r="18">
          <cell r="AC18">
            <v>20370</v>
          </cell>
        </row>
        <row r="19">
          <cell r="AC19">
            <v>41212</v>
          </cell>
        </row>
        <row r="20">
          <cell r="AC20">
            <v>7875</v>
          </cell>
        </row>
        <row r="21">
          <cell r="AC21">
            <v>7115</v>
          </cell>
        </row>
        <row r="22">
          <cell r="AC22">
            <v>9076</v>
          </cell>
        </row>
        <row r="35">
          <cell r="AC35">
            <v>36</v>
          </cell>
          <cell r="AD35">
            <v>43</v>
          </cell>
          <cell r="AE35">
            <v>79</v>
          </cell>
        </row>
        <row r="36">
          <cell r="AC36">
            <v>18</v>
          </cell>
          <cell r="AD36">
            <v>25</v>
          </cell>
          <cell r="AE36">
            <v>43</v>
          </cell>
        </row>
        <row r="37">
          <cell r="AC37">
            <v>20</v>
          </cell>
          <cell r="AD37">
            <v>14</v>
          </cell>
          <cell r="AE37">
            <v>34</v>
          </cell>
        </row>
        <row r="38">
          <cell r="AC38">
            <v>9</v>
          </cell>
          <cell r="AD38">
            <v>7</v>
          </cell>
          <cell r="AE38">
            <v>16</v>
          </cell>
        </row>
        <row r="39">
          <cell r="AC39">
            <v>34</v>
          </cell>
          <cell r="AD39">
            <v>44</v>
          </cell>
          <cell r="AE39">
            <v>78</v>
          </cell>
        </row>
        <row r="40">
          <cell r="AC40">
            <v>12</v>
          </cell>
          <cell r="AD40">
            <v>4</v>
          </cell>
          <cell r="AE40">
            <v>16</v>
          </cell>
        </row>
        <row r="41">
          <cell r="AC41">
            <v>21</v>
          </cell>
          <cell r="AD41">
            <v>29</v>
          </cell>
          <cell r="AE41">
            <v>50</v>
          </cell>
        </row>
        <row r="42">
          <cell r="AC42">
            <v>7</v>
          </cell>
          <cell r="AD42">
            <v>3</v>
          </cell>
          <cell r="AE42">
            <v>10</v>
          </cell>
        </row>
        <row r="43">
          <cell r="AC43">
            <v>5530</v>
          </cell>
          <cell r="AD43">
            <v>6326</v>
          </cell>
          <cell r="AE43">
            <v>11856</v>
          </cell>
        </row>
        <row r="44">
          <cell r="AC44">
            <v>1735</v>
          </cell>
          <cell r="AD44">
            <v>2185</v>
          </cell>
          <cell r="AE44">
            <v>3920</v>
          </cell>
        </row>
        <row r="45">
          <cell r="AC45">
            <v>6973</v>
          </cell>
          <cell r="AD45">
            <v>5113</v>
          </cell>
          <cell r="AE45">
            <v>12086</v>
          </cell>
        </row>
        <row r="46">
          <cell r="AC46">
            <v>3145</v>
          </cell>
          <cell r="AD46">
            <v>1993</v>
          </cell>
          <cell r="AE46">
            <v>5138</v>
          </cell>
        </row>
        <row r="47">
          <cell r="AC47">
            <v>4588</v>
          </cell>
          <cell r="AD47">
            <v>5398</v>
          </cell>
          <cell r="AE47">
            <v>9986</v>
          </cell>
        </row>
        <row r="48">
          <cell r="AC48">
            <v>3288</v>
          </cell>
          <cell r="AD48">
            <v>1203</v>
          </cell>
          <cell r="AE48">
            <v>4491</v>
          </cell>
        </row>
        <row r="49">
          <cell r="AC49">
            <v>2736</v>
          </cell>
          <cell r="AD49">
            <v>3950</v>
          </cell>
          <cell r="AE49">
            <v>6686</v>
          </cell>
        </row>
        <row r="50">
          <cell r="AC50">
            <v>770</v>
          </cell>
          <cell r="AD50">
            <v>339</v>
          </cell>
          <cell r="AE50">
            <v>1109</v>
          </cell>
        </row>
        <row r="76">
          <cell r="AE76">
            <v>48997</v>
          </cell>
        </row>
        <row r="77">
          <cell r="AE77">
            <v>50772</v>
          </cell>
        </row>
        <row r="78">
          <cell r="AE78">
            <v>11609</v>
          </cell>
        </row>
        <row r="79">
          <cell r="AE79">
            <v>76565</v>
          </cell>
        </row>
      </sheetData>
      <sheetData sheetId="12"/>
      <sheetData sheetId="13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ookups"/>
      <sheetName val="Pivots"/>
      <sheetName val="Conversions"/>
      <sheetName val="Conv From Summ "/>
      <sheetName val="Conv From By Brand"/>
      <sheetName val="FROMTO"/>
      <sheetName val="Conv To Summ"/>
      <sheetName val="Conv To By Brand"/>
      <sheetName val="TOFROM"/>
      <sheetName val="Net Change Summ"/>
      <sheetName val="Net Change By Brand"/>
      <sheetName val="Renovation Brand"/>
      <sheetName val="RenovationSum"/>
    </sheetNames>
    <sheetDataSet>
      <sheetData sheetId="0" refreshError="1"/>
      <sheetData sheetId="1" refreshError="1">
        <row r="4">
          <cell r="A4" t="str">
            <v xml:space="preserve">Best Inn </v>
          </cell>
          <cell r="B4">
            <v>1</v>
          </cell>
          <cell r="C4">
            <v>59</v>
          </cell>
        </row>
        <row r="5">
          <cell r="A5" t="str">
            <v>Best Western</v>
          </cell>
          <cell r="B5">
            <v>42</v>
          </cell>
          <cell r="C5">
            <v>3850</v>
          </cell>
        </row>
        <row r="6">
          <cell r="A6" t="str">
            <v>Cambridge Suites</v>
          </cell>
          <cell r="B6">
            <v>3</v>
          </cell>
          <cell r="C6">
            <v>328</v>
          </cell>
        </row>
        <row r="7">
          <cell r="A7" t="str">
            <v>Clarion</v>
          </cell>
          <cell r="B7">
            <v>4</v>
          </cell>
          <cell r="C7">
            <v>523</v>
          </cell>
        </row>
        <row r="8">
          <cell r="A8" t="str">
            <v>Club Hotel by Doubletree</v>
          </cell>
          <cell r="B8">
            <v>2</v>
          </cell>
          <cell r="C8">
            <v>209</v>
          </cell>
        </row>
        <row r="9">
          <cell r="A9" t="str">
            <v>Comfort Inn</v>
          </cell>
          <cell r="B9">
            <v>11</v>
          </cell>
          <cell r="C9">
            <v>875</v>
          </cell>
        </row>
        <row r="10">
          <cell r="A10" t="str">
            <v>Comfort Suites</v>
          </cell>
          <cell r="B10">
            <v>2</v>
          </cell>
          <cell r="C10">
            <v>134</v>
          </cell>
        </row>
        <row r="11">
          <cell r="A11" t="str">
            <v>Country Inn &amp; Suites</v>
          </cell>
          <cell r="B11">
            <v>3</v>
          </cell>
          <cell r="C11">
            <v>282</v>
          </cell>
        </row>
        <row r="12">
          <cell r="A12" t="str">
            <v>Courtyard by Marriott</v>
          </cell>
          <cell r="B12">
            <v>8</v>
          </cell>
          <cell r="C12">
            <v>1586</v>
          </cell>
        </row>
        <row r="13">
          <cell r="A13" t="str">
            <v>Crowne Plaza</v>
          </cell>
          <cell r="B13">
            <v>4</v>
          </cell>
          <cell r="C13">
            <v>1091</v>
          </cell>
        </row>
        <row r="14">
          <cell r="A14" t="str">
            <v>Days Inn</v>
          </cell>
          <cell r="B14">
            <v>20</v>
          </cell>
          <cell r="C14">
            <v>2241</v>
          </cell>
        </row>
        <row r="15">
          <cell r="A15" t="str">
            <v>Doubletree Hotel</v>
          </cell>
          <cell r="B15">
            <v>1</v>
          </cell>
          <cell r="C15">
            <v>311</v>
          </cell>
        </row>
        <row r="16">
          <cell r="A16" t="str">
            <v>Econo Lodge</v>
          </cell>
          <cell r="B16">
            <v>11</v>
          </cell>
          <cell r="C16">
            <v>852</v>
          </cell>
        </row>
        <row r="17">
          <cell r="A17" t="str">
            <v>Fairfield Inn</v>
          </cell>
          <cell r="B17">
            <v>8</v>
          </cell>
          <cell r="C17">
            <v>1007</v>
          </cell>
        </row>
        <row r="18">
          <cell r="A18" t="str">
            <v>Four Points Hotel</v>
          </cell>
          <cell r="B18">
            <v>2</v>
          </cell>
          <cell r="C18">
            <v>218</v>
          </cell>
        </row>
        <row r="19">
          <cell r="A19" t="str">
            <v>Hampton Inn</v>
          </cell>
          <cell r="B19">
            <v>3</v>
          </cell>
          <cell r="C19">
            <v>353</v>
          </cell>
        </row>
        <row r="20">
          <cell r="A20" t="str">
            <v>Hawthorn Suites</v>
          </cell>
          <cell r="B20">
            <v>2</v>
          </cell>
          <cell r="C20">
            <v>149</v>
          </cell>
        </row>
        <row r="21">
          <cell r="A21" t="str">
            <v>Hilton Garden Inn</v>
          </cell>
          <cell r="B21">
            <v>1</v>
          </cell>
          <cell r="C21">
            <v>120</v>
          </cell>
        </row>
        <row r="22">
          <cell r="A22" t="str">
            <v>Hilton Hotel</v>
          </cell>
          <cell r="B22">
            <v>3</v>
          </cell>
          <cell r="C22">
            <v>1057</v>
          </cell>
        </row>
        <row r="23">
          <cell r="A23" t="str">
            <v>Holiday Inn</v>
          </cell>
          <cell r="B23">
            <v>7</v>
          </cell>
          <cell r="C23">
            <v>1239</v>
          </cell>
        </row>
        <row r="24">
          <cell r="A24" t="str">
            <v>Holiday Inn Express</v>
          </cell>
          <cell r="B24">
            <v>17</v>
          </cell>
          <cell r="C24">
            <v>1897</v>
          </cell>
        </row>
        <row r="25">
          <cell r="A25" t="str">
            <v>Holiday Inn Select</v>
          </cell>
          <cell r="B25">
            <v>1</v>
          </cell>
          <cell r="C25">
            <v>260</v>
          </cell>
        </row>
        <row r="26">
          <cell r="A26" t="str">
            <v>Homewood Suites by Hilton</v>
          </cell>
          <cell r="B26">
            <v>1</v>
          </cell>
          <cell r="C26">
            <v>96</v>
          </cell>
        </row>
        <row r="27">
          <cell r="A27" t="str">
            <v>Howard Johnson</v>
          </cell>
          <cell r="B27">
            <v>7</v>
          </cell>
          <cell r="C27">
            <v>1023</v>
          </cell>
        </row>
        <row r="28">
          <cell r="A28" t="str">
            <v>Howard Johnson Express Inn</v>
          </cell>
          <cell r="B28">
            <v>12</v>
          </cell>
          <cell r="C28">
            <v>1062</v>
          </cell>
        </row>
        <row r="29">
          <cell r="A29" t="str">
            <v>Independent Hotel</v>
          </cell>
          <cell r="B29">
            <v>2</v>
          </cell>
          <cell r="C29">
            <v>1019</v>
          </cell>
        </row>
        <row r="30">
          <cell r="A30" t="str">
            <v>Knights Inn</v>
          </cell>
          <cell r="B30">
            <v>9</v>
          </cell>
          <cell r="C30">
            <v>583</v>
          </cell>
        </row>
        <row r="31">
          <cell r="A31" t="str">
            <v>La Quinta</v>
          </cell>
          <cell r="B31">
            <v>1</v>
          </cell>
          <cell r="C31">
            <v>55</v>
          </cell>
        </row>
        <row r="32">
          <cell r="A32" t="str">
            <v>MainStay Suites</v>
          </cell>
          <cell r="B32">
            <v>1</v>
          </cell>
          <cell r="C32">
            <v>74</v>
          </cell>
        </row>
        <row r="33">
          <cell r="A33" t="str">
            <v>Marriott Hotel</v>
          </cell>
          <cell r="B33">
            <v>6</v>
          </cell>
          <cell r="C33">
            <v>2026</v>
          </cell>
        </row>
        <row r="34">
          <cell r="A34" t="str">
            <v>Motel 6</v>
          </cell>
          <cell r="B34">
            <v>4</v>
          </cell>
          <cell r="C34">
            <v>305</v>
          </cell>
        </row>
        <row r="35">
          <cell r="A35" t="str">
            <v>Quality Inn</v>
          </cell>
          <cell r="B35">
            <v>20</v>
          </cell>
          <cell r="C35">
            <v>1786</v>
          </cell>
        </row>
        <row r="36">
          <cell r="A36" t="str">
            <v>Quality Suites</v>
          </cell>
          <cell r="B36">
            <v>3</v>
          </cell>
          <cell r="C36">
            <v>247</v>
          </cell>
        </row>
        <row r="37">
          <cell r="A37" t="str">
            <v>Radisson Hotel</v>
          </cell>
          <cell r="B37">
            <v>1</v>
          </cell>
          <cell r="C37">
            <v>250</v>
          </cell>
        </row>
        <row r="38">
          <cell r="A38" t="str">
            <v>Ramada Inn</v>
          </cell>
          <cell r="B38">
            <v>10</v>
          </cell>
          <cell r="C38">
            <v>1154</v>
          </cell>
        </row>
        <row r="39">
          <cell r="A39" t="str">
            <v>Ramada Limited</v>
          </cell>
          <cell r="B39">
            <v>3</v>
          </cell>
          <cell r="C39">
            <v>215</v>
          </cell>
        </row>
        <row r="40">
          <cell r="A40" t="str">
            <v>Red Roof Inn</v>
          </cell>
          <cell r="B40">
            <v>1</v>
          </cell>
          <cell r="C40">
            <v>105</v>
          </cell>
        </row>
        <row r="41">
          <cell r="A41" t="str">
            <v>Renaissance Hotel</v>
          </cell>
          <cell r="B41">
            <v>1</v>
          </cell>
          <cell r="C41">
            <v>257</v>
          </cell>
        </row>
        <row r="42">
          <cell r="A42" t="str">
            <v>Residence Inn</v>
          </cell>
          <cell r="B42">
            <v>2</v>
          </cell>
          <cell r="C42">
            <v>259</v>
          </cell>
        </row>
        <row r="43">
          <cell r="A43" t="str">
            <v>Ritz-Carlton</v>
          </cell>
          <cell r="B43">
            <v>1</v>
          </cell>
          <cell r="C43">
            <v>277</v>
          </cell>
        </row>
        <row r="44">
          <cell r="A44" t="str">
            <v>Rodeway Inn</v>
          </cell>
          <cell r="B44">
            <v>1</v>
          </cell>
          <cell r="C44">
            <v>36</v>
          </cell>
        </row>
        <row r="45">
          <cell r="A45" t="str">
            <v>Sheraton Hotel</v>
          </cell>
          <cell r="B45">
            <v>1</v>
          </cell>
          <cell r="C45">
            <v>190</v>
          </cell>
        </row>
        <row r="46">
          <cell r="A46" t="str">
            <v>SpringHill Suites</v>
          </cell>
          <cell r="B46">
            <v>1</v>
          </cell>
          <cell r="C46">
            <v>96</v>
          </cell>
        </row>
        <row r="47">
          <cell r="A47" t="str">
            <v>Staybridge Suites</v>
          </cell>
          <cell r="B47">
            <v>1</v>
          </cell>
          <cell r="C47">
            <v>114</v>
          </cell>
        </row>
        <row r="48">
          <cell r="A48" t="str">
            <v>Super 8</v>
          </cell>
          <cell r="B48">
            <v>16</v>
          </cell>
          <cell r="C48">
            <v>1127</v>
          </cell>
        </row>
        <row r="49">
          <cell r="A49" t="str">
            <v>TownePlace Suites</v>
          </cell>
          <cell r="B49">
            <v>1</v>
          </cell>
          <cell r="C49">
            <v>82</v>
          </cell>
        </row>
        <row r="50">
          <cell r="A50" t="str">
            <v>Travelodge</v>
          </cell>
          <cell r="B50">
            <v>28</v>
          </cell>
          <cell r="C50">
            <v>2590</v>
          </cell>
        </row>
        <row r="51">
          <cell r="A51" t="str">
            <v>Villager Lodge</v>
          </cell>
          <cell r="B51">
            <v>18</v>
          </cell>
          <cell r="C51">
            <v>1879</v>
          </cell>
        </row>
        <row r="52">
          <cell r="A52" t="str">
            <v>W Hotel</v>
          </cell>
          <cell r="B52">
            <v>1</v>
          </cell>
          <cell r="C52">
            <v>208</v>
          </cell>
        </row>
        <row r="53">
          <cell r="A53" t="str">
            <v>zindependent hotel</v>
          </cell>
          <cell r="B53">
            <v>6</v>
          </cell>
          <cell r="C53">
            <v>1103</v>
          </cell>
        </row>
        <row r="54">
          <cell r="B54">
            <v>319</v>
          </cell>
          <cell r="C54">
            <v>37254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Set"/>
      <sheetName val="Cyard by State"/>
      <sheetName val="lookups"/>
      <sheetName val="brand pivots"/>
      <sheetName val="courtyard state pivots"/>
    </sheetNames>
    <sheetDataSet>
      <sheetData sheetId="0" refreshError="1"/>
      <sheetData sheetId="1" refreshError="1"/>
      <sheetData sheetId="2" refreshError="1">
        <row r="33">
          <cell r="B33" t="str">
            <v>Alabama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</v>
          </cell>
          <cell r="N33">
            <v>113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B34" t="str">
            <v>Alaska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B35" t="str">
            <v>Arizona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1</v>
          </cell>
          <cell r="J35">
            <v>202</v>
          </cell>
          <cell r="K35">
            <v>1</v>
          </cell>
          <cell r="L35">
            <v>156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B36" t="str">
            <v>Arkansas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</v>
          </cell>
          <cell r="H36">
            <v>121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</v>
          </cell>
          <cell r="V36">
            <v>121</v>
          </cell>
        </row>
        <row r="37">
          <cell r="B37" t="str">
            <v>California</v>
          </cell>
          <cell r="C37">
            <v>5</v>
          </cell>
          <cell r="D37">
            <v>1072</v>
          </cell>
          <cell r="E37">
            <v>11</v>
          </cell>
          <cell r="F37">
            <v>2071</v>
          </cell>
          <cell r="G37">
            <v>2</v>
          </cell>
          <cell r="H37">
            <v>244</v>
          </cell>
          <cell r="I37">
            <v>5</v>
          </cell>
          <cell r="J37">
            <v>808</v>
          </cell>
          <cell r="K37">
            <v>5</v>
          </cell>
          <cell r="L37">
            <v>1040</v>
          </cell>
          <cell r="M37">
            <v>1</v>
          </cell>
          <cell r="N37">
            <v>356</v>
          </cell>
          <cell r="O37">
            <v>3</v>
          </cell>
          <cell r="P37">
            <v>645</v>
          </cell>
          <cell r="Q37">
            <v>4</v>
          </cell>
          <cell r="R37">
            <v>642</v>
          </cell>
          <cell r="S37">
            <v>6</v>
          </cell>
          <cell r="T37">
            <v>953</v>
          </cell>
          <cell r="U37">
            <v>5</v>
          </cell>
          <cell r="V37">
            <v>1147</v>
          </cell>
        </row>
        <row r="38">
          <cell r="B38" t="str">
            <v>Colorado</v>
          </cell>
          <cell r="C38">
            <v>0</v>
          </cell>
          <cell r="D38">
            <v>0</v>
          </cell>
          <cell r="E38">
            <v>1</v>
          </cell>
          <cell r="F38">
            <v>78</v>
          </cell>
          <cell r="G38">
            <v>0</v>
          </cell>
          <cell r="H38">
            <v>0</v>
          </cell>
          <cell r="I38">
            <v>1</v>
          </cell>
          <cell r="J38">
            <v>90</v>
          </cell>
          <cell r="K38">
            <v>3</v>
          </cell>
          <cell r="L38">
            <v>357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1</v>
          </cell>
          <cell r="R38">
            <v>78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B39" t="str">
            <v>Connecticut</v>
          </cell>
          <cell r="C39">
            <v>0</v>
          </cell>
          <cell r="D39">
            <v>0</v>
          </cell>
          <cell r="E39">
            <v>2</v>
          </cell>
          <cell r="F39">
            <v>250</v>
          </cell>
          <cell r="G39">
            <v>1</v>
          </cell>
          <cell r="H39">
            <v>115</v>
          </cell>
          <cell r="I39">
            <v>1</v>
          </cell>
          <cell r="J39">
            <v>90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2</v>
          </cell>
          <cell r="T39">
            <v>250</v>
          </cell>
          <cell r="U39">
            <v>1</v>
          </cell>
          <cell r="V39">
            <v>115</v>
          </cell>
        </row>
        <row r="40">
          <cell r="B40" t="str">
            <v>Delaware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1</v>
          </cell>
          <cell r="J40">
            <v>78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B41" t="str">
            <v>District of Columbia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1</v>
          </cell>
          <cell r="J41">
            <v>188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B42" t="str">
            <v>Florida</v>
          </cell>
          <cell r="C42">
            <v>3</v>
          </cell>
          <cell r="D42">
            <v>368</v>
          </cell>
          <cell r="E42">
            <v>3</v>
          </cell>
          <cell r="F42">
            <v>381</v>
          </cell>
          <cell r="G42">
            <v>3</v>
          </cell>
          <cell r="H42">
            <v>431</v>
          </cell>
          <cell r="I42">
            <v>2</v>
          </cell>
          <cell r="J42">
            <v>364</v>
          </cell>
          <cell r="K42">
            <v>4</v>
          </cell>
          <cell r="L42">
            <v>593</v>
          </cell>
          <cell r="M42">
            <v>1</v>
          </cell>
          <cell r="N42">
            <v>131</v>
          </cell>
          <cell r="O42">
            <v>2</v>
          </cell>
          <cell r="P42">
            <v>194</v>
          </cell>
          <cell r="Q42">
            <v>3</v>
          </cell>
          <cell r="R42">
            <v>433</v>
          </cell>
          <cell r="S42">
            <v>2</v>
          </cell>
          <cell r="T42">
            <v>296</v>
          </cell>
          <cell r="U42">
            <v>2</v>
          </cell>
          <cell r="V42">
            <v>257</v>
          </cell>
        </row>
        <row r="43">
          <cell r="B43" t="str">
            <v>Georgia</v>
          </cell>
          <cell r="C43">
            <v>1</v>
          </cell>
          <cell r="D43">
            <v>155</v>
          </cell>
          <cell r="E43">
            <v>0</v>
          </cell>
          <cell r="F43">
            <v>0</v>
          </cell>
          <cell r="G43">
            <v>1</v>
          </cell>
          <cell r="H43">
            <v>86</v>
          </cell>
          <cell r="I43">
            <v>3</v>
          </cell>
          <cell r="J43">
            <v>249</v>
          </cell>
          <cell r="K43">
            <v>1</v>
          </cell>
          <cell r="L43">
            <v>154</v>
          </cell>
          <cell r="M43">
            <v>0</v>
          </cell>
          <cell r="N43">
            <v>0</v>
          </cell>
          <cell r="O43">
            <v>1</v>
          </cell>
          <cell r="P43">
            <v>155</v>
          </cell>
          <cell r="Q43">
            <v>0</v>
          </cell>
          <cell r="R43">
            <v>0</v>
          </cell>
          <cell r="S43">
            <v>1</v>
          </cell>
          <cell r="T43">
            <v>86</v>
          </cell>
          <cell r="U43">
            <v>0</v>
          </cell>
          <cell r="V43">
            <v>0</v>
          </cell>
        </row>
        <row r="44">
          <cell r="B44" t="str">
            <v>Hawaii</v>
          </cell>
          <cell r="C44">
            <v>0</v>
          </cell>
          <cell r="D44">
            <v>0</v>
          </cell>
          <cell r="E44">
            <v>1</v>
          </cell>
          <cell r="F44">
            <v>121</v>
          </cell>
          <cell r="G44">
            <v>1</v>
          </cell>
          <cell r="H44">
            <v>299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</v>
          </cell>
          <cell r="T44">
            <v>121</v>
          </cell>
          <cell r="U44">
            <v>1</v>
          </cell>
          <cell r="V44">
            <v>299</v>
          </cell>
        </row>
        <row r="45">
          <cell r="B45" t="str">
            <v>Idaho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B46" t="str">
            <v>Illinois</v>
          </cell>
          <cell r="C46">
            <v>0</v>
          </cell>
          <cell r="D46">
            <v>0</v>
          </cell>
          <cell r="E46">
            <v>1</v>
          </cell>
          <cell r="F46">
            <v>94</v>
          </cell>
          <cell r="G46">
            <v>2</v>
          </cell>
          <cell r="H46">
            <v>387</v>
          </cell>
          <cell r="I46">
            <v>1</v>
          </cell>
          <cell r="J46">
            <v>126</v>
          </cell>
          <cell r="K46">
            <v>1</v>
          </cell>
          <cell r="L46">
            <v>121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</v>
          </cell>
          <cell r="R46">
            <v>94</v>
          </cell>
          <cell r="S46">
            <v>1</v>
          </cell>
          <cell r="T46">
            <v>90</v>
          </cell>
          <cell r="U46">
            <v>1</v>
          </cell>
          <cell r="V46">
            <v>297</v>
          </cell>
        </row>
        <row r="47">
          <cell r="B47" t="str">
            <v>Indiana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B48" t="str">
            <v>Iowa</v>
          </cell>
          <cell r="C48">
            <v>0</v>
          </cell>
          <cell r="D48">
            <v>0</v>
          </cell>
          <cell r="E48">
            <v>1</v>
          </cell>
          <cell r="F48">
            <v>170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1</v>
          </cell>
          <cell r="T48">
            <v>170</v>
          </cell>
          <cell r="U48">
            <v>0</v>
          </cell>
          <cell r="V48">
            <v>0</v>
          </cell>
        </row>
        <row r="49">
          <cell r="B49" t="str">
            <v>Kansas</v>
          </cell>
          <cell r="C49">
            <v>1</v>
          </cell>
          <cell r="D49">
            <v>90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</v>
          </cell>
          <cell r="L49">
            <v>258</v>
          </cell>
          <cell r="M49">
            <v>0</v>
          </cell>
          <cell r="N49">
            <v>0</v>
          </cell>
          <cell r="O49">
            <v>1</v>
          </cell>
          <cell r="P49">
            <v>90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B50" t="str">
            <v>Kentucky</v>
          </cell>
          <cell r="C50">
            <v>1</v>
          </cell>
          <cell r="D50">
            <v>150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3</v>
          </cell>
          <cell r="J50">
            <v>424</v>
          </cell>
          <cell r="K50">
            <v>1</v>
          </cell>
          <cell r="L50">
            <v>124</v>
          </cell>
          <cell r="M50">
            <v>0</v>
          </cell>
          <cell r="N50">
            <v>0</v>
          </cell>
          <cell r="O50">
            <v>1</v>
          </cell>
          <cell r="P50">
            <v>150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B51" t="str">
            <v>Louisiana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3</v>
          </cell>
          <cell r="J51">
            <v>328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B52" t="str">
            <v>Maine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1</v>
          </cell>
          <cell r="H52">
            <v>90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1</v>
          </cell>
          <cell r="T52">
            <v>90</v>
          </cell>
          <cell r="U52">
            <v>0</v>
          </cell>
          <cell r="V52">
            <v>0</v>
          </cell>
        </row>
        <row r="53">
          <cell r="B53" t="str">
            <v>Maryland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1</v>
          </cell>
          <cell r="H53">
            <v>170</v>
          </cell>
          <cell r="I53">
            <v>1</v>
          </cell>
          <cell r="J53">
            <v>90</v>
          </cell>
          <cell r="K53">
            <v>0</v>
          </cell>
          <cell r="L53">
            <v>0</v>
          </cell>
          <cell r="M53">
            <v>1</v>
          </cell>
          <cell r="N53">
            <v>205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1</v>
          </cell>
          <cell r="T53">
            <v>170</v>
          </cell>
          <cell r="U53">
            <v>0</v>
          </cell>
          <cell r="V53">
            <v>0</v>
          </cell>
        </row>
        <row r="54">
          <cell r="B54" t="str">
            <v>Massachusetts</v>
          </cell>
          <cell r="C54">
            <v>1</v>
          </cell>
          <cell r="D54">
            <v>181</v>
          </cell>
          <cell r="E54">
            <v>3</v>
          </cell>
          <cell r="F54">
            <v>496</v>
          </cell>
          <cell r="G54">
            <v>0</v>
          </cell>
          <cell r="H54">
            <v>0</v>
          </cell>
          <cell r="I54">
            <v>2</v>
          </cell>
          <cell r="J54">
            <v>228</v>
          </cell>
          <cell r="K54">
            <v>1</v>
          </cell>
          <cell r="L54">
            <v>154</v>
          </cell>
          <cell r="M54">
            <v>0</v>
          </cell>
          <cell r="N54">
            <v>0</v>
          </cell>
          <cell r="O54">
            <v>1</v>
          </cell>
          <cell r="P54">
            <v>181</v>
          </cell>
          <cell r="Q54">
            <v>2</v>
          </cell>
          <cell r="R54">
            <v>366</v>
          </cell>
          <cell r="S54">
            <v>1</v>
          </cell>
          <cell r="T54">
            <v>130</v>
          </cell>
          <cell r="U54">
            <v>0</v>
          </cell>
          <cell r="V54">
            <v>0</v>
          </cell>
        </row>
        <row r="55">
          <cell r="B55" t="str">
            <v>Michigan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1</v>
          </cell>
          <cell r="J55">
            <v>123</v>
          </cell>
          <cell r="K55">
            <v>1</v>
          </cell>
          <cell r="L55">
            <v>84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B56" t="str">
            <v>Minnesota</v>
          </cell>
          <cell r="C56">
            <v>2</v>
          </cell>
          <cell r="D56">
            <v>343</v>
          </cell>
          <cell r="E56">
            <v>1</v>
          </cell>
          <cell r="F56">
            <v>127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2</v>
          </cell>
          <cell r="P56">
            <v>343</v>
          </cell>
          <cell r="Q56">
            <v>1</v>
          </cell>
          <cell r="R56">
            <v>127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B57" t="str">
            <v>Mississippi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B58" t="str">
            <v>Missouri</v>
          </cell>
          <cell r="C58">
            <v>0</v>
          </cell>
          <cell r="D58">
            <v>0</v>
          </cell>
          <cell r="E58">
            <v>1</v>
          </cell>
          <cell r="F58">
            <v>108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2</v>
          </cell>
          <cell r="L58">
            <v>263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1</v>
          </cell>
          <cell r="T58">
            <v>108</v>
          </cell>
          <cell r="U58">
            <v>0</v>
          </cell>
          <cell r="V58">
            <v>0</v>
          </cell>
        </row>
        <row r="59">
          <cell r="B59" t="str">
            <v>Montana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B60" t="str">
            <v>Nebraska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1</v>
          </cell>
          <cell r="J60">
            <v>181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B61" t="str">
            <v>Nevada</v>
          </cell>
          <cell r="C61">
            <v>1</v>
          </cell>
          <cell r="D61">
            <v>117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</v>
          </cell>
          <cell r="L61">
            <v>154</v>
          </cell>
          <cell r="M61">
            <v>0</v>
          </cell>
          <cell r="N61">
            <v>0</v>
          </cell>
          <cell r="O61">
            <v>1</v>
          </cell>
          <cell r="P61">
            <v>117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B62" t="str">
            <v>New Hampshire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1</v>
          </cell>
          <cell r="L62">
            <v>90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B63" t="str">
            <v>New Jersey</v>
          </cell>
          <cell r="C63">
            <v>5</v>
          </cell>
          <cell r="D63">
            <v>899</v>
          </cell>
          <cell r="E63">
            <v>3</v>
          </cell>
          <cell r="F63">
            <v>409</v>
          </cell>
          <cell r="G63">
            <v>2</v>
          </cell>
          <cell r="H63">
            <v>266</v>
          </cell>
          <cell r="I63">
            <v>1</v>
          </cell>
          <cell r="J63">
            <v>159</v>
          </cell>
          <cell r="K63">
            <v>1</v>
          </cell>
          <cell r="L63">
            <v>187</v>
          </cell>
          <cell r="M63">
            <v>1</v>
          </cell>
          <cell r="N63">
            <v>151</v>
          </cell>
          <cell r="O63">
            <v>3</v>
          </cell>
          <cell r="P63">
            <v>456</v>
          </cell>
          <cell r="Q63">
            <v>3</v>
          </cell>
          <cell r="R63">
            <v>575</v>
          </cell>
          <cell r="S63">
            <v>1</v>
          </cell>
          <cell r="T63">
            <v>125</v>
          </cell>
          <cell r="U63">
            <v>3</v>
          </cell>
          <cell r="V63">
            <v>418</v>
          </cell>
        </row>
        <row r="64">
          <cell r="B64" t="str">
            <v>New Mexico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1</v>
          </cell>
          <cell r="L64">
            <v>125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B65" t="str">
            <v>New York</v>
          </cell>
          <cell r="C65">
            <v>2</v>
          </cell>
          <cell r="D65">
            <v>322</v>
          </cell>
          <cell r="E65">
            <v>0</v>
          </cell>
          <cell r="F65">
            <v>0</v>
          </cell>
          <cell r="G65">
            <v>1</v>
          </cell>
          <cell r="H65">
            <v>90</v>
          </cell>
          <cell r="I65">
            <v>1</v>
          </cell>
          <cell r="J65">
            <v>108</v>
          </cell>
          <cell r="K65">
            <v>2</v>
          </cell>
          <cell r="L65">
            <v>184</v>
          </cell>
          <cell r="M65">
            <v>0</v>
          </cell>
          <cell r="N65">
            <v>0</v>
          </cell>
          <cell r="O65">
            <v>2</v>
          </cell>
          <cell r="P65">
            <v>322</v>
          </cell>
          <cell r="Q65">
            <v>0</v>
          </cell>
          <cell r="R65">
            <v>0</v>
          </cell>
          <cell r="S65">
            <v>1</v>
          </cell>
          <cell r="T65">
            <v>90</v>
          </cell>
          <cell r="U65">
            <v>0</v>
          </cell>
          <cell r="V65">
            <v>0</v>
          </cell>
        </row>
        <row r="66">
          <cell r="B66" t="str">
            <v>North Carolina</v>
          </cell>
          <cell r="C66">
            <v>3</v>
          </cell>
          <cell r="D66">
            <v>453</v>
          </cell>
          <cell r="E66">
            <v>2</v>
          </cell>
          <cell r="F66">
            <v>312</v>
          </cell>
          <cell r="G66">
            <v>1</v>
          </cell>
          <cell r="H66">
            <v>150</v>
          </cell>
          <cell r="I66">
            <v>0</v>
          </cell>
          <cell r="J66">
            <v>0</v>
          </cell>
          <cell r="K66">
            <v>1</v>
          </cell>
          <cell r="L66">
            <v>90</v>
          </cell>
          <cell r="M66">
            <v>0</v>
          </cell>
          <cell r="N66">
            <v>0</v>
          </cell>
          <cell r="O66">
            <v>3</v>
          </cell>
          <cell r="P66">
            <v>453</v>
          </cell>
          <cell r="Q66">
            <v>2</v>
          </cell>
          <cell r="R66">
            <v>312</v>
          </cell>
          <cell r="S66">
            <v>0</v>
          </cell>
          <cell r="T66">
            <v>0</v>
          </cell>
          <cell r="U66">
            <v>1</v>
          </cell>
          <cell r="V66">
            <v>150</v>
          </cell>
        </row>
        <row r="67">
          <cell r="B67" t="str">
            <v>North Dakota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B68" t="str">
            <v>Ohio</v>
          </cell>
          <cell r="C68">
            <v>2</v>
          </cell>
          <cell r="D68">
            <v>178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2</v>
          </cell>
          <cell r="J68">
            <v>244</v>
          </cell>
          <cell r="K68">
            <v>1</v>
          </cell>
          <cell r="L68">
            <v>78</v>
          </cell>
          <cell r="M68">
            <v>0</v>
          </cell>
          <cell r="N68">
            <v>0</v>
          </cell>
          <cell r="O68">
            <v>1</v>
          </cell>
          <cell r="P68">
            <v>84</v>
          </cell>
          <cell r="Q68">
            <v>1</v>
          </cell>
          <cell r="R68">
            <v>94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B69" t="str">
            <v>Oklahoma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B70" t="str">
            <v>Oregon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3</v>
          </cell>
          <cell r="J70">
            <v>466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B71" t="str">
            <v>Pennsylvania</v>
          </cell>
          <cell r="C71">
            <v>2</v>
          </cell>
          <cell r="D71">
            <v>193</v>
          </cell>
          <cell r="E71">
            <v>4</v>
          </cell>
          <cell r="F71">
            <v>522</v>
          </cell>
          <cell r="G71">
            <v>4</v>
          </cell>
          <cell r="H71">
            <v>458</v>
          </cell>
          <cell r="I71">
            <v>1</v>
          </cell>
          <cell r="J71">
            <v>498</v>
          </cell>
          <cell r="K71">
            <v>1</v>
          </cell>
          <cell r="L71">
            <v>103</v>
          </cell>
          <cell r="M71">
            <v>0</v>
          </cell>
          <cell r="N71">
            <v>0</v>
          </cell>
          <cell r="O71">
            <v>2</v>
          </cell>
          <cell r="P71">
            <v>193</v>
          </cell>
          <cell r="Q71">
            <v>4</v>
          </cell>
          <cell r="R71">
            <v>522</v>
          </cell>
          <cell r="S71">
            <v>1</v>
          </cell>
          <cell r="T71">
            <v>90</v>
          </cell>
          <cell r="U71">
            <v>3</v>
          </cell>
          <cell r="V71">
            <v>368</v>
          </cell>
        </row>
        <row r="72">
          <cell r="B72" t="str">
            <v>Rhode Island</v>
          </cell>
          <cell r="C72">
            <v>0</v>
          </cell>
          <cell r="D72">
            <v>0</v>
          </cell>
          <cell r="E72">
            <v>2</v>
          </cell>
          <cell r="F72">
            <v>181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</v>
          </cell>
          <cell r="L72">
            <v>216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2</v>
          </cell>
          <cell r="R72">
            <v>181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B73" t="str">
            <v>South Carolina</v>
          </cell>
          <cell r="C73">
            <v>0</v>
          </cell>
          <cell r="D73">
            <v>0</v>
          </cell>
          <cell r="E73">
            <v>1</v>
          </cell>
          <cell r="F73">
            <v>121</v>
          </cell>
          <cell r="G73">
            <v>0</v>
          </cell>
          <cell r="H73">
            <v>0</v>
          </cell>
          <cell r="I73">
            <v>3</v>
          </cell>
          <cell r="J73">
            <v>397</v>
          </cell>
          <cell r="K73">
            <v>2</v>
          </cell>
          <cell r="L73">
            <v>226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1</v>
          </cell>
          <cell r="T73">
            <v>121</v>
          </cell>
          <cell r="U73">
            <v>0</v>
          </cell>
          <cell r="V73">
            <v>0</v>
          </cell>
        </row>
        <row r="74">
          <cell r="B74" t="str">
            <v>South Dakota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B75" t="str">
            <v>Tennessee</v>
          </cell>
          <cell r="C75">
            <v>1</v>
          </cell>
          <cell r="D75">
            <v>128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</v>
          </cell>
          <cell r="P75">
            <v>128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B76" t="str">
            <v>Texas</v>
          </cell>
          <cell r="C76">
            <v>3</v>
          </cell>
          <cell r="D76">
            <v>408</v>
          </cell>
          <cell r="E76">
            <v>2</v>
          </cell>
          <cell r="F76">
            <v>299</v>
          </cell>
          <cell r="G76">
            <v>1</v>
          </cell>
          <cell r="H76">
            <v>90</v>
          </cell>
          <cell r="I76">
            <v>3</v>
          </cell>
          <cell r="J76">
            <v>479</v>
          </cell>
          <cell r="K76">
            <v>2</v>
          </cell>
          <cell r="L76">
            <v>302</v>
          </cell>
          <cell r="M76">
            <v>1</v>
          </cell>
          <cell r="N76">
            <v>121</v>
          </cell>
          <cell r="O76">
            <v>3</v>
          </cell>
          <cell r="P76">
            <v>408</v>
          </cell>
          <cell r="Q76">
            <v>0</v>
          </cell>
          <cell r="R76">
            <v>0</v>
          </cell>
          <cell r="S76">
            <v>2</v>
          </cell>
          <cell r="T76">
            <v>236</v>
          </cell>
          <cell r="U76">
            <v>1</v>
          </cell>
          <cell r="V76">
            <v>153</v>
          </cell>
        </row>
        <row r="77">
          <cell r="B77" t="str">
            <v>Utah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154</v>
          </cell>
          <cell r="K77">
            <v>1</v>
          </cell>
          <cell r="L77">
            <v>90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B78" t="str">
            <v>Vermont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</v>
          </cell>
          <cell r="L78">
            <v>90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B79" t="str">
            <v>Virginia</v>
          </cell>
          <cell r="C79">
            <v>3</v>
          </cell>
          <cell r="D79">
            <v>473</v>
          </cell>
          <cell r="E79">
            <v>2</v>
          </cell>
          <cell r="F79">
            <v>340</v>
          </cell>
          <cell r="G79">
            <v>4</v>
          </cell>
          <cell r="H79">
            <v>631</v>
          </cell>
          <cell r="I79">
            <v>3</v>
          </cell>
          <cell r="J79">
            <v>383</v>
          </cell>
          <cell r="K79">
            <v>2</v>
          </cell>
          <cell r="L79">
            <v>366</v>
          </cell>
          <cell r="M79">
            <v>1</v>
          </cell>
          <cell r="N79">
            <v>157</v>
          </cell>
          <cell r="O79">
            <v>1</v>
          </cell>
          <cell r="P79">
            <v>188</v>
          </cell>
          <cell r="Q79">
            <v>2</v>
          </cell>
          <cell r="R79">
            <v>285</v>
          </cell>
          <cell r="S79">
            <v>2</v>
          </cell>
          <cell r="T79">
            <v>340</v>
          </cell>
          <cell r="U79">
            <v>4</v>
          </cell>
          <cell r="V79">
            <v>631</v>
          </cell>
        </row>
        <row r="80">
          <cell r="B80" t="str">
            <v>Washington</v>
          </cell>
          <cell r="C80">
            <v>0</v>
          </cell>
          <cell r="D80">
            <v>0</v>
          </cell>
          <cell r="E80">
            <v>2</v>
          </cell>
          <cell r="F80">
            <v>246</v>
          </cell>
          <cell r="G80">
            <v>2</v>
          </cell>
          <cell r="H80">
            <v>298</v>
          </cell>
          <cell r="I80">
            <v>3</v>
          </cell>
          <cell r="J80">
            <v>625</v>
          </cell>
          <cell r="K80">
            <v>1</v>
          </cell>
          <cell r="L80">
            <v>160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1</v>
          </cell>
          <cell r="R80">
            <v>150</v>
          </cell>
          <cell r="S80">
            <v>2</v>
          </cell>
          <cell r="T80">
            <v>283</v>
          </cell>
          <cell r="U80">
            <v>1</v>
          </cell>
          <cell r="V80">
            <v>111</v>
          </cell>
        </row>
        <row r="81">
          <cell r="B81" t="str">
            <v>West Virginia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B82" t="str">
            <v>Wisconsin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2</v>
          </cell>
          <cell r="H82">
            <v>241</v>
          </cell>
          <cell r="I82">
            <v>1</v>
          </cell>
          <cell r="J82">
            <v>169</v>
          </cell>
          <cell r="K82">
            <v>0</v>
          </cell>
          <cell r="L82">
            <v>0</v>
          </cell>
          <cell r="M82">
            <v>1</v>
          </cell>
          <cell r="N82">
            <v>122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2</v>
          </cell>
          <cell r="V82">
            <v>241</v>
          </cell>
        </row>
        <row r="83">
          <cell r="B83" t="str">
            <v>Wyoming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</sheetData>
      <sheetData sheetId="3" refreshError="1"/>
      <sheetData sheetId="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nchises"/>
      <sheetName val="lookups"/>
      <sheetName val="TOTAL"/>
    </sheetNames>
    <sheetDataSet>
      <sheetData sheetId="0" refreshError="1">
        <row r="5">
          <cell r="A5" t="str">
            <v>Adam's Mark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1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P5">
            <v>332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13</v>
          </cell>
          <cell r="V5">
            <v>1339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1</v>
          </cell>
          <cell r="AC5">
            <v>410</v>
          </cell>
          <cell r="AD5">
            <v>0</v>
          </cell>
          <cell r="AE5">
            <v>0</v>
          </cell>
          <cell r="AF5">
            <v>1</v>
          </cell>
          <cell r="AG5">
            <v>415</v>
          </cell>
        </row>
        <row r="6">
          <cell r="A6" t="str">
            <v>AmericInn</v>
          </cell>
          <cell r="D6">
            <v>14</v>
          </cell>
          <cell r="E6">
            <v>0</v>
          </cell>
          <cell r="F6">
            <v>7</v>
          </cell>
          <cell r="G6">
            <v>1</v>
          </cell>
          <cell r="H6">
            <v>8</v>
          </cell>
          <cell r="I6">
            <v>2</v>
          </cell>
          <cell r="J6">
            <v>2</v>
          </cell>
          <cell r="K6">
            <v>5</v>
          </cell>
          <cell r="L6">
            <v>9</v>
          </cell>
          <cell r="M6">
            <v>4</v>
          </cell>
          <cell r="P6">
            <v>769</v>
          </cell>
          <cell r="Q6">
            <v>0</v>
          </cell>
          <cell r="R6">
            <v>330</v>
          </cell>
          <cell r="S6">
            <v>44</v>
          </cell>
          <cell r="T6">
            <v>480</v>
          </cell>
          <cell r="U6">
            <v>118</v>
          </cell>
          <cell r="V6">
            <v>87</v>
          </cell>
          <cell r="W6">
            <v>235</v>
          </cell>
          <cell r="X6">
            <v>589</v>
          </cell>
          <cell r="Y6">
            <v>235</v>
          </cell>
          <cell r="Z6">
            <v>2</v>
          </cell>
          <cell r="AA6">
            <v>99</v>
          </cell>
          <cell r="AB6">
            <v>3</v>
          </cell>
          <cell r="AC6">
            <v>143</v>
          </cell>
          <cell r="AD6">
            <v>5</v>
          </cell>
          <cell r="AE6">
            <v>253</v>
          </cell>
          <cell r="AF6">
            <v>2</v>
          </cell>
          <cell r="AG6">
            <v>93</v>
          </cell>
        </row>
        <row r="7">
          <cell r="A7" t="str">
            <v>AmeriHost Inn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</v>
          </cell>
          <cell r="I7">
            <v>5</v>
          </cell>
          <cell r="J7">
            <v>0</v>
          </cell>
          <cell r="K7">
            <v>4</v>
          </cell>
          <cell r="L7">
            <v>3</v>
          </cell>
          <cell r="M7">
            <v>3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62</v>
          </cell>
          <cell r="U7">
            <v>321</v>
          </cell>
          <cell r="V7">
            <v>0</v>
          </cell>
          <cell r="W7">
            <v>264</v>
          </cell>
          <cell r="X7">
            <v>180</v>
          </cell>
          <cell r="Y7">
            <v>195</v>
          </cell>
          <cell r="Z7">
            <v>4</v>
          </cell>
          <cell r="AA7">
            <v>246</v>
          </cell>
          <cell r="AB7">
            <v>9</v>
          </cell>
          <cell r="AC7">
            <v>551</v>
          </cell>
          <cell r="AD7">
            <v>5</v>
          </cell>
          <cell r="AE7">
            <v>319</v>
          </cell>
          <cell r="AF7">
            <v>5</v>
          </cell>
          <cell r="AG7">
            <v>305</v>
          </cell>
        </row>
        <row r="8">
          <cell r="A8" t="str">
            <v>AmeriSuites</v>
          </cell>
          <cell r="D8">
            <v>1</v>
          </cell>
          <cell r="E8">
            <v>2</v>
          </cell>
          <cell r="F8">
            <v>0</v>
          </cell>
          <cell r="G8">
            <v>1</v>
          </cell>
          <cell r="H8">
            <v>2</v>
          </cell>
          <cell r="I8">
            <v>10</v>
          </cell>
          <cell r="J8">
            <v>6</v>
          </cell>
          <cell r="K8">
            <v>5</v>
          </cell>
          <cell r="L8">
            <v>3</v>
          </cell>
          <cell r="M8">
            <v>6</v>
          </cell>
          <cell r="P8">
            <v>128</v>
          </cell>
          <cell r="Q8">
            <v>252</v>
          </cell>
          <cell r="R8">
            <v>0</v>
          </cell>
          <cell r="S8">
            <v>128</v>
          </cell>
          <cell r="T8">
            <v>279</v>
          </cell>
          <cell r="U8">
            <v>1248</v>
          </cell>
          <cell r="V8">
            <v>792</v>
          </cell>
          <cell r="W8">
            <v>672</v>
          </cell>
          <cell r="X8">
            <v>384</v>
          </cell>
          <cell r="Y8">
            <v>873</v>
          </cell>
          <cell r="Z8">
            <v>10</v>
          </cell>
          <cell r="AA8">
            <v>1297</v>
          </cell>
          <cell r="AB8">
            <v>9</v>
          </cell>
          <cell r="AC8">
            <v>1152</v>
          </cell>
          <cell r="AD8">
            <v>5</v>
          </cell>
          <cell r="AE8">
            <v>636</v>
          </cell>
          <cell r="AF8">
            <v>8</v>
          </cell>
          <cell r="AG8">
            <v>1079</v>
          </cell>
        </row>
        <row r="9">
          <cell r="A9" t="str">
            <v>Arbogate Inn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</row>
        <row r="10">
          <cell r="A10" t="str">
            <v>Arte Business Suites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</row>
        <row r="11">
          <cell r="A11" t="str">
            <v>Baymont Inn</v>
          </cell>
          <cell r="D11">
            <v>2</v>
          </cell>
          <cell r="E11">
            <v>3</v>
          </cell>
          <cell r="F11">
            <v>3</v>
          </cell>
          <cell r="G11">
            <v>5</v>
          </cell>
          <cell r="H11">
            <v>5</v>
          </cell>
          <cell r="I11">
            <v>1</v>
          </cell>
          <cell r="J11">
            <v>1</v>
          </cell>
          <cell r="K11">
            <v>3</v>
          </cell>
          <cell r="L11">
            <v>3</v>
          </cell>
          <cell r="M11">
            <v>5</v>
          </cell>
          <cell r="P11">
            <v>207</v>
          </cell>
          <cell r="Q11">
            <v>198</v>
          </cell>
          <cell r="R11">
            <v>280</v>
          </cell>
          <cell r="S11">
            <v>365</v>
          </cell>
          <cell r="T11">
            <v>395</v>
          </cell>
          <cell r="U11">
            <v>92</v>
          </cell>
          <cell r="V11">
            <v>115</v>
          </cell>
          <cell r="W11">
            <v>235</v>
          </cell>
          <cell r="X11">
            <v>250</v>
          </cell>
          <cell r="Y11">
            <v>488</v>
          </cell>
          <cell r="Z11">
            <v>2</v>
          </cell>
          <cell r="AA11">
            <v>168</v>
          </cell>
          <cell r="AB11">
            <v>4</v>
          </cell>
          <cell r="AC11">
            <v>375</v>
          </cell>
          <cell r="AD11">
            <v>6</v>
          </cell>
          <cell r="AE11">
            <v>523</v>
          </cell>
          <cell r="AF11">
            <v>3</v>
          </cell>
          <cell r="AG11">
            <v>273</v>
          </cell>
        </row>
        <row r="12">
          <cell r="A12" t="str">
            <v>Best Inn &amp; Suites</v>
          </cell>
          <cell r="D12">
            <v>1</v>
          </cell>
          <cell r="E12">
            <v>1</v>
          </cell>
          <cell r="F12">
            <v>1</v>
          </cell>
          <cell r="G12">
            <v>2</v>
          </cell>
          <cell r="H12">
            <v>4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P12">
            <v>40</v>
          </cell>
          <cell r="Q12">
            <v>47</v>
          </cell>
          <cell r="R12">
            <v>49</v>
          </cell>
          <cell r="S12">
            <v>195</v>
          </cell>
          <cell r="T12">
            <v>309</v>
          </cell>
          <cell r="U12">
            <v>64</v>
          </cell>
          <cell r="V12">
            <v>0</v>
          </cell>
          <cell r="W12">
            <v>111</v>
          </cell>
          <cell r="X12">
            <v>0</v>
          </cell>
          <cell r="Y12">
            <v>95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103</v>
          </cell>
        </row>
        <row r="13">
          <cell r="A13" t="str">
            <v>Best Western</v>
          </cell>
          <cell r="D13">
            <v>23</v>
          </cell>
          <cell r="E13">
            <v>12</v>
          </cell>
          <cell r="F13">
            <v>11</v>
          </cell>
          <cell r="G13">
            <v>14</v>
          </cell>
          <cell r="H13">
            <v>15</v>
          </cell>
          <cell r="I13">
            <v>14</v>
          </cell>
          <cell r="J13">
            <v>13</v>
          </cell>
          <cell r="K13">
            <v>11</v>
          </cell>
          <cell r="L13">
            <v>11</v>
          </cell>
          <cell r="M13">
            <v>14</v>
          </cell>
          <cell r="P13">
            <v>1369</v>
          </cell>
          <cell r="Q13">
            <v>685</v>
          </cell>
          <cell r="R13">
            <v>686</v>
          </cell>
          <cell r="S13">
            <v>865</v>
          </cell>
          <cell r="T13">
            <v>872</v>
          </cell>
          <cell r="U13">
            <v>938</v>
          </cell>
          <cell r="V13">
            <v>848</v>
          </cell>
          <cell r="W13">
            <v>809</v>
          </cell>
          <cell r="X13">
            <v>783</v>
          </cell>
          <cell r="Y13">
            <v>829</v>
          </cell>
          <cell r="Z13">
            <v>18</v>
          </cell>
          <cell r="AA13">
            <v>1065</v>
          </cell>
          <cell r="AB13">
            <v>23</v>
          </cell>
          <cell r="AC13">
            <v>1291</v>
          </cell>
          <cell r="AD13">
            <v>27</v>
          </cell>
          <cell r="AE13">
            <v>1604</v>
          </cell>
          <cell r="AF13">
            <v>10</v>
          </cell>
          <cell r="AG13">
            <v>493</v>
          </cell>
        </row>
        <row r="14">
          <cell r="A14" t="str">
            <v>Bradford Homesuites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P14">
            <v>302</v>
          </cell>
          <cell r="Q14">
            <v>150</v>
          </cell>
          <cell r="R14">
            <v>0</v>
          </cell>
          <cell r="S14">
            <v>127</v>
          </cell>
          <cell r="T14">
            <v>0</v>
          </cell>
          <cell r="U14">
            <v>134</v>
          </cell>
          <cell r="V14">
            <v>0</v>
          </cell>
          <cell r="W14">
            <v>0</v>
          </cell>
          <cell r="X14">
            <v>0</v>
          </cell>
          <cell r="Y14">
            <v>121</v>
          </cell>
          <cell r="Z14">
            <v>1</v>
          </cell>
          <cell r="AA14">
            <v>132</v>
          </cell>
          <cell r="AB14">
            <v>0</v>
          </cell>
          <cell r="AC14">
            <v>0</v>
          </cell>
          <cell r="AD14">
            <v>2</v>
          </cell>
          <cell r="AE14">
            <v>262</v>
          </cell>
          <cell r="AF14">
            <v>0</v>
          </cell>
          <cell r="AG14">
            <v>0</v>
          </cell>
        </row>
        <row r="15">
          <cell r="A15" t="str">
            <v>Budget Host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P15">
            <v>0</v>
          </cell>
          <cell r="Q15">
            <v>0</v>
          </cell>
          <cell r="R15">
            <v>21</v>
          </cell>
          <cell r="S15">
            <v>0</v>
          </cell>
          <cell r="T15">
            <v>14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</row>
        <row r="16">
          <cell r="A16" t="str">
            <v>Budget Inn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</row>
        <row r="17">
          <cell r="A17" t="str">
            <v>Budget Suites of America</v>
          </cell>
          <cell r="D17">
            <v>1</v>
          </cell>
          <cell r="E17">
            <v>1</v>
          </cell>
          <cell r="F17">
            <v>1</v>
          </cell>
          <cell r="G17">
            <v>2</v>
          </cell>
          <cell r="H17">
            <v>1</v>
          </cell>
          <cell r="I17">
            <v>3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P17">
            <v>166</v>
          </cell>
          <cell r="Q17">
            <v>344</v>
          </cell>
          <cell r="R17">
            <v>408</v>
          </cell>
          <cell r="S17">
            <v>648</v>
          </cell>
          <cell r="T17">
            <v>414</v>
          </cell>
          <cell r="U17">
            <v>984</v>
          </cell>
          <cell r="V17">
            <v>336</v>
          </cell>
          <cell r="W17">
            <v>648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A18" t="str">
            <v>Candlewood Suites</v>
          </cell>
          <cell r="D18">
            <v>7</v>
          </cell>
          <cell r="E18">
            <v>1</v>
          </cell>
          <cell r="F18">
            <v>2</v>
          </cell>
          <cell r="G18">
            <v>1</v>
          </cell>
          <cell r="H18">
            <v>5</v>
          </cell>
          <cell r="I18">
            <v>5</v>
          </cell>
          <cell r="J18">
            <v>18</v>
          </cell>
          <cell r="K18">
            <v>8</v>
          </cell>
          <cell r="L18">
            <v>10</v>
          </cell>
          <cell r="M18">
            <v>11</v>
          </cell>
          <cell r="P18">
            <v>853</v>
          </cell>
          <cell r="Q18">
            <v>278</v>
          </cell>
          <cell r="R18">
            <v>282</v>
          </cell>
          <cell r="S18">
            <v>129</v>
          </cell>
          <cell r="T18">
            <v>614</v>
          </cell>
          <cell r="U18">
            <v>557</v>
          </cell>
          <cell r="V18">
            <v>2198</v>
          </cell>
          <cell r="W18">
            <v>965</v>
          </cell>
          <cell r="X18">
            <v>1163</v>
          </cell>
          <cell r="Y18">
            <v>1239</v>
          </cell>
          <cell r="Z18">
            <v>9</v>
          </cell>
          <cell r="AA18">
            <v>901</v>
          </cell>
          <cell r="AB18">
            <v>1</v>
          </cell>
          <cell r="AC18">
            <v>126</v>
          </cell>
          <cell r="AD18">
            <v>7</v>
          </cell>
          <cell r="AE18">
            <v>698</v>
          </cell>
          <cell r="AF18">
            <v>2</v>
          </cell>
          <cell r="AG18">
            <v>261</v>
          </cell>
        </row>
        <row r="19">
          <cell r="A19" t="str">
            <v>Casinos</v>
          </cell>
          <cell r="D19">
            <v>2</v>
          </cell>
          <cell r="E19">
            <v>2</v>
          </cell>
          <cell r="F19">
            <v>2</v>
          </cell>
          <cell r="G19">
            <v>1</v>
          </cell>
          <cell r="H19">
            <v>5</v>
          </cell>
          <cell r="I19">
            <v>4</v>
          </cell>
          <cell r="J19">
            <v>2</v>
          </cell>
          <cell r="K19">
            <v>4</v>
          </cell>
          <cell r="L19">
            <v>3</v>
          </cell>
          <cell r="M19">
            <v>5</v>
          </cell>
          <cell r="P19">
            <v>351</v>
          </cell>
          <cell r="Q19">
            <v>338</v>
          </cell>
          <cell r="R19">
            <v>504</v>
          </cell>
          <cell r="S19">
            <v>2914</v>
          </cell>
          <cell r="T19">
            <v>4338</v>
          </cell>
          <cell r="U19">
            <v>5912</v>
          </cell>
          <cell r="V19">
            <v>3323</v>
          </cell>
          <cell r="W19">
            <v>1260</v>
          </cell>
          <cell r="X19">
            <v>1878</v>
          </cell>
          <cell r="Y19">
            <v>1174</v>
          </cell>
          <cell r="Z19">
            <v>3</v>
          </cell>
          <cell r="AA19">
            <v>2014</v>
          </cell>
          <cell r="AB19">
            <v>1</v>
          </cell>
          <cell r="AC19">
            <v>241</v>
          </cell>
          <cell r="AD19">
            <v>0</v>
          </cell>
          <cell r="AE19">
            <v>0</v>
          </cell>
          <cell r="AF19">
            <v>2</v>
          </cell>
          <cell r="AG19">
            <v>2460</v>
          </cell>
        </row>
        <row r="20">
          <cell r="A20" t="str">
            <v>Clarion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2</v>
          </cell>
          <cell r="L20">
            <v>2</v>
          </cell>
          <cell r="M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62</v>
          </cell>
          <cell r="U20">
            <v>101</v>
          </cell>
          <cell r="V20">
            <v>0</v>
          </cell>
          <cell r="W20">
            <v>268</v>
          </cell>
          <cell r="X20">
            <v>168</v>
          </cell>
          <cell r="Y20">
            <v>0</v>
          </cell>
          <cell r="Z20">
            <v>0</v>
          </cell>
          <cell r="AA20">
            <v>0</v>
          </cell>
          <cell r="AB20">
            <v>1</v>
          </cell>
          <cell r="AC20">
            <v>174</v>
          </cell>
          <cell r="AD20">
            <v>1</v>
          </cell>
          <cell r="AE20">
            <v>89</v>
          </cell>
          <cell r="AF20">
            <v>2</v>
          </cell>
          <cell r="AG20">
            <v>167</v>
          </cell>
        </row>
        <row r="21">
          <cell r="A21" t="str">
            <v>Club Hotel by Doubletree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0</v>
          </cell>
          <cell r="J21">
            <v>2</v>
          </cell>
          <cell r="K21">
            <v>2</v>
          </cell>
          <cell r="L21">
            <v>0</v>
          </cell>
          <cell r="M21">
            <v>0</v>
          </cell>
          <cell r="P21">
            <v>0</v>
          </cell>
          <cell r="Q21">
            <v>0</v>
          </cell>
          <cell r="R21">
            <v>0</v>
          </cell>
          <cell r="S21">
            <v>160</v>
          </cell>
          <cell r="T21">
            <v>443</v>
          </cell>
          <cell r="U21">
            <v>0</v>
          </cell>
          <cell r="V21">
            <v>387</v>
          </cell>
          <cell r="W21">
            <v>454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200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A22" t="str">
            <v>Club Inn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A23" t="str">
            <v>Comfort Inn</v>
          </cell>
          <cell r="D23">
            <v>14</v>
          </cell>
          <cell r="E23">
            <v>13</v>
          </cell>
          <cell r="F23">
            <v>4</v>
          </cell>
          <cell r="G23">
            <v>20</v>
          </cell>
          <cell r="H23">
            <v>13</v>
          </cell>
          <cell r="I23">
            <v>13</v>
          </cell>
          <cell r="J23">
            <v>6</v>
          </cell>
          <cell r="K23">
            <v>16</v>
          </cell>
          <cell r="L23">
            <v>8</v>
          </cell>
          <cell r="M23">
            <v>10</v>
          </cell>
          <cell r="P23">
            <v>1041</v>
          </cell>
          <cell r="Q23">
            <v>877</v>
          </cell>
          <cell r="R23">
            <v>312</v>
          </cell>
          <cell r="S23">
            <v>1391</v>
          </cell>
          <cell r="T23">
            <v>752</v>
          </cell>
          <cell r="U23">
            <v>757</v>
          </cell>
          <cell r="V23">
            <v>395</v>
          </cell>
          <cell r="W23">
            <v>1024</v>
          </cell>
          <cell r="X23">
            <v>479</v>
          </cell>
          <cell r="Y23">
            <v>582</v>
          </cell>
          <cell r="Z23">
            <v>16</v>
          </cell>
          <cell r="AA23">
            <v>894</v>
          </cell>
          <cell r="AB23">
            <v>16</v>
          </cell>
          <cell r="AC23">
            <v>931</v>
          </cell>
          <cell r="AD23">
            <v>20</v>
          </cell>
          <cell r="AE23">
            <v>1330</v>
          </cell>
          <cell r="AF23">
            <v>14</v>
          </cell>
          <cell r="AG23">
            <v>858</v>
          </cell>
        </row>
        <row r="24">
          <cell r="A24" t="str">
            <v>Comfort Suites</v>
          </cell>
          <cell r="D24">
            <v>7</v>
          </cell>
          <cell r="E24">
            <v>14</v>
          </cell>
          <cell r="F24">
            <v>6</v>
          </cell>
          <cell r="G24">
            <v>14</v>
          </cell>
          <cell r="H24">
            <v>8</v>
          </cell>
          <cell r="I24">
            <v>9</v>
          </cell>
          <cell r="J24">
            <v>5</v>
          </cell>
          <cell r="K24">
            <v>8</v>
          </cell>
          <cell r="L24">
            <v>6</v>
          </cell>
          <cell r="M24">
            <v>10</v>
          </cell>
          <cell r="P24">
            <v>525</v>
          </cell>
          <cell r="Q24">
            <v>963</v>
          </cell>
          <cell r="R24">
            <v>490</v>
          </cell>
          <cell r="S24">
            <v>932</v>
          </cell>
          <cell r="T24">
            <v>672</v>
          </cell>
          <cell r="U24">
            <v>817</v>
          </cell>
          <cell r="V24">
            <v>356</v>
          </cell>
          <cell r="W24">
            <v>730</v>
          </cell>
          <cell r="X24">
            <v>444</v>
          </cell>
          <cell r="Y24">
            <v>687</v>
          </cell>
          <cell r="Z24">
            <v>6</v>
          </cell>
          <cell r="AA24">
            <v>546</v>
          </cell>
          <cell r="AB24">
            <v>8</v>
          </cell>
          <cell r="AC24">
            <v>608</v>
          </cell>
          <cell r="AD24">
            <v>15</v>
          </cell>
          <cell r="AE24">
            <v>1255</v>
          </cell>
          <cell r="AF24">
            <v>12</v>
          </cell>
          <cell r="AG24">
            <v>871</v>
          </cell>
        </row>
        <row r="25">
          <cell r="A25" t="str">
            <v>Country Hearth Inn</v>
          </cell>
          <cell r="D25">
            <v>1</v>
          </cell>
          <cell r="E25">
            <v>1</v>
          </cell>
          <cell r="F25">
            <v>1</v>
          </cell>
          <cell r="G25">
            <v>2</v>
          </cell>
          <cell r="H25">
            <v>5</v>
          </cell>
          <cell r="I25">
            <v>2</v>
          </cell>
          <cell r="J25">
            <v>1</v>
          </cell>
          <cell r="K25">
            <v>4</v>
          </cell>
          <cell r="L25">
            <v>0</v>
          </cell>
          <cell r="M25">
            <v>0</v>
          </cell>
          <cell r="P25">
            <v>50</v>
          </cell>
          <cell r="Q25">
            <v>70</v>
          </cell>
          <cell r="R25">
            <v>40</v>
          </cell>
          <cell r="S25">
            <v>125</v>
          </cell>
          <cell r="T25">
            <v>229</v>
          </cell>
          <cell r="U25">
            <v>83</v>
          </cell>
          <cell r="V25">
            <v>40</v>
          </cell>
          <cell r="W25">
            <v>214</v>
          </cell>
          <cell r="X25">
            <v>0</v>
          </cell>
          <cell r="Y25">
            <v>0</v>
          </cell>
          <cell r="Z25">
            <v>1</v>
          </cell>
          <cell r="AA25">
            <v>40</v>
          </cell>
          <cell r="AB25">
            <v>3</v>
          </cell>
          <cell r="AC25">
            <v>120</v>
          </cell>
          <cell r="AD25">
            <v>1</v>
          </cell>
          <cell r="AE25">
            <v>92</v>
          </cell>
          <cell r="AF25">
            <v>1</v>
          </cell>
          <cell r="AG25">
            <v>60</v>
          </cell>
        </row>
        <row r="26">
          <cell r="A26" t="str">
            <v>Country Inn &amp; Suites</v>
          </cell>
          <cell r="D26">
            <v>12</v>
          </cell>
          <cell r="E26">
            <v>13</v>
          </cell>
          <cell r="F26">
            <v>10</v>
          </cell>
          <cell r="G26">
            <v>12</v>
          </cell>
          <cell r="H26">
            <v>11</v>
          </cell>
          <cell r="I26">
            <v>3</v>
          </cell>
          <cell r="J26">
            <v>10</v>
          </cell>
          <cell r="K26">
            <v>9</v>
          </cell>
          <cell r="L26">
            <v>13</v>
          </cell>
          <cell r="M26">
            <v>11</v>
          </cell>
          <cell r="P26">
            <v>786</v>
          </cell>
          <cell r="Q26">
            <v>1153</v>
          </cell>
          <cell r="R26">
            <v>735</v>
          </cell>
          <cell r="S26">
            <v>766</v>
          </cell>
          <cell r="T26">
            <v>743</v>
          </cell>
          <cell r="U26">
            <v>299</v>
          </cell>
          <cell r="V26">
            <v>681</v>
          </cell>
          <cell r="W26">
            <v>637</v>
          </cell>
          <cell r="X26">
            <v>808</v>
          </cell>
          <cell r="Y26">
            <v>827</v>
          </cell>
          <cell r="Z26">
            <v>7</v>
          </cell>
          <cell r="AA26">
            <v>454</v>
          </cell>
          <cell r="AB26">
            <v>8</v>
          </cell>
          <cell r="AC26">
            <v>603</v>
          </cell>
          <cell r="AD26">
            <v>15</v>
          </cell>
          <cell r="AE26">
            <v>1041</v>
          </cell>
          <cell r="AF26">
            <v>2</v>
          </cell>
          <cell r="AG26">
            <v>86</v>
          </cell>
        </row>
        <row r="27">
          <cell r="A27" t="str">
            <v>Courtyard by Marriott</v>
          </cell>
          <cell r="D27">
            <v>12</v>
          </cell>
          <cell r="E27">
            <v>8</v>
          </cell>
          <cell r="F27">
            <v>14</v>
          </cell>
          <cell r="G27">
            <v>12</v>
          </cell>
          <cell r="H27">
            <v>14</v>
          </cell>
          <cell r="I27">
            <v>9</v>
          </cell>
          <cell r="J27">
            <v>15</v>
          </cell>
          <cell r="K27">
            <v>10</v>
          </cell>
          <cell r="L27">
            <v>12</v>
          </cell>
          <cell r="M27">
            <v>5</v>
          </cell>
          <cell r="P27">
            <v>1393</v>
          </cell>
          <cell r="Q27">
            <v>1130</v>
          </cell>
          <cell r="R27">
            <v>2277</v>
          </cell>
          <cell r="S27">
            <v>1685</v>
          </cell>
          <cell r="T27">
            <v>2150</v>
          </cell>
          <cell r="U27">
            <v>1139</v>
          </cell>
          <cell r="V27">
            <v>2253</v>
          </cell>
          <cell r="W27">
            <v>1149</v>
          </cell>
          <cell r="X27">
            <v>1436</v>
          </cell>
          <cell r="Y27">
            <v>502</v>
          </cell>
          <cell r="Z27">
            <v>13</v>
          </cell>
          <cell r="AA27">
            <v>1438</v>
          </cell>
          <cell r="AB27">
            <v>15</v>
          </cell>
          <cell r="AC27">
            <v>1760</v>
          </cell>
          <cell r="AD27">
            <v>11</v>
          </cell>
          <cell r="AE27">
            <v>1214</v>
          </cell>
          <cell r="AF27">
            <v>10</v>
          </cell>
          <cell r="AG27">
            <v>1208</v>
          </cell>
        </row>
        <row r="28">
          <cell r="A28" t="str">
            <v>Crossland Economy Studios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</v>
          </cell>
          <cell r="I28">
            <v>4</v>
          </cell>
          <cell r="J28">
            <v>14</v>
          </cell>
          <cell r="K28">
            <v>7</v>
          </cell>
          <cell r="L28">
            <v>7</v>
          </cell>
          <cell r="M28">
            <v>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133</v>
          </cell>
          <cell r="U28">
            <v>530</v>
          </cell>
          <cell r="V28">
            <v>1740</v>
          </cell>
          <cell r="W28">
            <v>923</v>
          </cell>
          <cell r="X28">
            <v>934</v>
          </cell>
          <cell r="Y28">
            <v>114</v>
          </cell>
          <cell r="Z28">
            <v>3</v>
          </cell>
          <cell r="AA28">
            <v>365</v>
          </cell>
          <cell r="AB28">
            <v>2</v>
          </cell>
          <cell r="AC28">
            <v>234</v>
          </cell>
          <cell r="AD28">
            <v>0</v>
          </cell>
          <cell r="AE28">
            <v>0</v>
          </cell>
          <cell r="AF28">
            <v>1</v>
          </cell>
          <cell r="AG28">
            <v>120</v>
          </cell>
        </row>
        <row r="29">
          <cell r="A29" t="str">
            <v>Crowne Plaza</v>
          </cell>
          <cell r="D29">
            <v>1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1</v>
          </cell>
          <cell r="K29">
            <v>0</v>
          </cell>
          <cell r="L29">
            <v>1</v>
          </cell>
          <cell r="M29">
            <v>1</v>
          </cell>
          <cell r="P29">
            <v>261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140</v>
          </cell>
          <cell r="V29">
            <v>243</v>
          </cell>
          <cell r="W29">
            <v>0</v>
          </cell>
          <cell r="X29">
            <v>197</v>
          </cell>
          <cell r="Y29">
            <v>143</v>
          </cell>
          <cell r="Z29">
            <v>0</v>
          </cell>
          <cell r="AA29">
            <v>0</v>
          </cell>
          <cell r="AB29">
            <v>1</v>
          </cell>
          <cell r="AC29">
            <v>288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 t="str">
            <v>Days Inn</v>
          </cell>
          <cell r="D30">
            <v>3</v>
          </cell>
          <cell r="E30">
            <v>7</v>
          </cell>
          <cell r="F30">
            <v>7</v>
          </cell>
          <cell r="G30">
            <v>6</v>
          </cell>
          <cell r="H30">
            <v>9</v>
          </cell>
          <cell r="I30">
            <v>7</v>
          </cell>
          <cell r="J30">
            <v>8</v>
          </cell>
          <cell r="K30">
            <v>5</v>
          </cell>
          <cell r="L30">
            <v>6</v>
          </cell>
          <cell r="M30">
            <v>9</v>
          </cell>
          <cell r="P30">
            <v>203</v>
          </cell>
          <cell r="Q30">
            <v>337</v>
          </cell>
          <cell r="R30">
            <v>362</v>
          </cell>
          <cell r="S30">
            <v>264</v>
          </cell>
          <cell r="T30">
            <v>433</v>
          </cell>
          <cell r="U30">
            <v>340</v>
          </cell>
          <cell r="V30">
            <v>485</v>
          </cell>
          <cell r="W30">
            <v>261</v>
          </cell>
          <cell r="X30">
            <v>368</v>
          </cell>
          <cell r="Y30">
            <v>496</v>
          </cell>
          <cell r="Z30">
            <v>16</v>
          </cell>
          <cell r="AA30">
            <v>972</v>
          </cell>
          <cell r="AB30">
            <v>9</v>
          </cell>
          <cell r="AC30">
            <v>433</v>
          </cell>
          <cell r="AD30">
            <v>6</v>
          </cell>
          <cell r="AE30">
            <v>282</v>
          </cell>
          <cell r="AF30">
            <v>12</v>
          </cell>
          <cell r="AG30">
            <v>627</v>
          </cell>
        </row>
        <row r="31">
          <cell r="A31" t="str">
            <v>Doubletree Guest Suites</v>
          </cell>
          <cell r="D31">
            <v>1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P31">
            <v>369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A32" t="str">
            <v>Doubletree Hotel</v>
          </cell>
          <cell r="D32">
            <v>2</v>
          </cell>
          <cell r="E32">
            <v>0</v>
          </cell>
          <cell r="F32">
            <v>0</v>
          </cell>
          <cell r="G32">
            <v>0</v>
          </cell>
          <cell r="H32">
            <v>1</v>
          </cell>
          <cell r="I32">
            <v>0</v>
          </cell>
          <cell r="J32">
            <v>1</v>
          </cell>
          <cell r="K32">
            <v>0</v>
          </cell>
          <cell r="L32">
            <v>0</v>
          </cell>
          <cell r="M32">
            <v>0</v>
          </cell>
          <cell r="P32">
            <v>308</v>
          </cell>
          <cell r="Q32">
            <v>0</v>
          </cell>
          <cell r="R32">
            <v>0</v>
          </cell>
          <cell r="S32">
            <v>0</v>
          </cell>
          <cell r="T32">
            <v>252</v>
          </cell>
          <cell r="U32">
            <v>0</v>
          </cell>
          <cell r="V32">
            <v>225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388</v>
          </cell>
        </row>
        <row r="33">
          <cell r="A33" t="str">
            <v>Drury Inn</v>
          </cell>
          <cell r="D33">
            <v>2</v>
          </cell>
          <cell r="E33">
            <v>1</v>
          </cell>
          <cell r="F33">
            <v>1</v>
          </cell>
          <cell r="G33">
            <v>0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0</v>
          </cell>
          <cell r="M33">
            <v>1</v>
          </cell>
          <cell r="P33">
            <v>304</v>
          </cell>
          <cell r="Q33">
            <v>350</v>
          </cell>
          <cell r="R33">
            <v>161</v>
          </cell>
          <cell r="S33">
            <v>0</v>
          </cell>
          <cell r="T33">
            <v>152</v>
          </cell>
          <cell r="U33">
            <v>143</v>
          </cell>
          <cell r="V33">
            <v>123</v>
          </cell>
          <cell r="W33">
            <v>150</v>
          </cell>
          <cell r="X33">
            <v>0</v>
          </cell>
          <cell r="Y33">
            <v>187</v>
          </cell>
          <cell r="Z33">
            <v>3</v>
          </cell>
          <cell r="AA33">
            <v>435</v>
          </cell>
          <cell r="AB33">
            <v>2</v>
          </cell>
          <cell r="AC33">
            <v>241</v>
          </cell>
          <cell r="AD33">
            <v>2</v>
          </cell>
          <cell r="AE33">
            <v>197</v>
          </cell>
          <cell r="AF33">
            <v>0</v>
          </cell>
          <cell r="AG33">
            <v>0</v>
          </cell>
        </row>
        <row r="34">
          <cell r="A34" t="str">
            <v>Econo Lodge</v>
          </cell>
          <cell r="D34">
            <v>1</v>
          </cell>
          <cell r="E34">
            <v>4</v>
          </cell>
          <cell r="F34">
            <v>1</v>
          </cell>
          <cell r="G34">
            <v>2</v>
          </cell>
          <cell r="H34">
            <v>0</v>
          </cell>
          <cell r="I34">
            <v>3</v>
          </cell>
          <cell r="J34">
            <v>2</v>
          </cell>
          <cell r="K34">
            <v>0</v>
          </cell>
          <cell r="L34">
            <v>1</v>
          </cell>
          <cell r="M34">
            <v>1</v>
          </cell>
          <cell r="P34">
            <v>112</v>
          </cell>
          <cell r="Q34">
            <v>170</v>
          </cell>
          <cell r="R34">
            <v>37</v>
          </cell>
          <cell r="S34">
            <v>105</v>
          </cell>
          <cell r="T34">
            <v>0</v>
          </cell>
          <cell r="U34">
            <v>114</v>
          </cell>
          <cell r="V34">
            <v>110</v>
          </cell>
          <cell r="W34">
            <v>0</v>
          </cell>
          <cell r="X34">
            <v>53</v>
          </cell>
          <cell r="Y34">
            <v>50</v>
          </cell>
          <cell r="Z34">
            <v>0</v>
          </cell>
          <cell r="AA34">
            <v>0</v>
          </cell>
          <cell r="AB34">
            <v>2</v>
          </cell>
          <cell r="AC34">
            <v>113</v>
          </cell>
          <cell r="AD34">
            <v>7</v>
          </cell>
          <cell r="AE34">
            <v>337</v>
          </cell>
          <cell r="AF34">
            <v>2</v>
          </cell>
          <cell r="AG34">
            <v>96</v>
          </cell>
        </row>
        <row r="35">
          <cell r="A35" t="str">
            <v>Embassy Suites</v>
          </cell>
          <cell r="D35">
            <v>4</v>
          </cell>
          <cell r="E35">
            <v>2</v>
          </cell>
          <cell r="F35">
            <v>0</v>
          </cell>
          <cell r="G35">
            <v>2</v>
          </cell>
          <cell r="H35">
            <v>3</v>
          </cell>
          <cell r="I35">
            <v>1</v>
          </cell>
          <cell r="J35">
            <v>2</v>
          </cell>
          <cell r="K35">
            <v>2</v>
          </cell>
          <cell r="L35">
            <v>0</v>
          </cell>
          <cell r="M35">
            <v>3</v>
          </cell>
          <cell r="P35">
            <v>1057</v>
          </cell>
          <cell r="Q35">
            <v>532</v>
          </cell>
          <cell r="R35">
            <v>0</v>
          </cell>
          <cell r="S35">
            <v>484</v>
          </cell>
          <cell r="T35">
            <v>828</v>
          </cell>
          <cell r="U35">
            <v>174</v>
          </cell>
          <cell r="V35">
            <v>240</v>
          </cell>
          <cell r="W35">
            <v>470</v>
          </cell>
          <cell r="X35">
            <v>0</v>
          </cell>
          <cell r="Y35">
            <v>554</v>
          </cell>
          <cell r="Z35">
            <v>2</v>
          </cell>
          <cell r="AA35">
            <v>529</v>
          </cell>
          <cell r="AB35">
            <v>2</v>
          </cell>
          <cell r="AC35">
            <v>527</v>
          </cell>
          <cell r="AD35">
            <v>0</v>
          </cell>
          <cell r="AE35">
            <v>0</v>
          </cell>
          <cell r="AF35">
            <v>1</v>
          </cell>
          <cell r="AG35">
            <v>249</v>
          </cell>
        </row>
        <row r="36">
          <cell r="A36" t="str">
            <v>Extended Stay America</v>
          </cell>
          <cell r="D36">
            <v>6</v>
          </cell>
          <cell r="E36">
            <v>8</v>
          </cell>
          <cell r="F36">
            <v>5</v>
          </cell>
          <cell r="G36">
            <v>8</v>
          </cell>
          <cell r="H36">
            <v>9</v>
          </cell>
          <cell r="I36">
            <v>18</v>
          </cell>
          <cell r="J36">
            <v>20</v>
          </cell>
          <cell r="K36">
            <v>12</v>
          </cell>
          <cell r="L36">
            <v>10</v>
          </cell>
          <cell r="M36">
            <v>24</v>
          </cell>
          <cell r="P36">
            <v>709</v>
          </cell>
          <cell r="Q36">
            <v>869</v>
          </cell>
          <cell r="R36">
            <v>613</v>
          </cell>
          <cell r="S36">
            <v>863</v>
          </cell>
          <cell r="T36">
            <v>972</v>
          </cell>
          <cell r="U36">
            <v>1981</v>
          </cell>
          <cell r="V36">
            <v>2124</v>
          </cell>
          <cell r="W36">
            <v>1246</v>
          </cell>
          <cell r="X36">
            <v>1066</v>
          </cell>
          <cell r="Y36">
            <v>2681</v>
          </cell>
          <cell r="Z36">
            <v>15</v>
          </cell>
          <cell r="AA36">
            <v>1675</v>
          </cell>
          <cell r="AB36">
            <v>25</v>
          </cell>
          <cell r="AC36">
            <v>2911</v>
          </cell>
          <cell r="AD36">
            <v>19</v>
          </cell>
          <cell r="AE36">
            <v>2205</v>
          </cell>
          <cell r="AF36">
            <v>14</v>
          </cell>
          <cell r="AG36">
            <v>1626</v>
          </cell>
        </row>
        <row r="37">
          <cell r="A37" t="str">
            <v>Fairfield Inn</v>
          </cell>
          <cell r="D37">
            <v>7</v>
          </cell>
          <cell r="E37">
            <v>3</v>
          </cell>
          <cell r="F37">
            <v>7</v>
          </cell>
          <cell r="G37">
            <v>12</v>
          </cell>
          <cell r="H37">
            <v>8</v>
          </cell>
          <cell r="I37">
            <v>8</v>
          </cell>
          <cell r="J37">
            <v>7</v>
          </cell>
          <cell r="K37">
            <v>11</v>
          </cell>
          <cell r="L37">
            <v>11</v>
          </cell>
          <cell r="M37">
            <v>4</v>
          </cell>
          <cell r="P37">
            <v>577</v>
          </cell>
          <cell r="Q37">
            <v>252</v>
          </cell>
          <cell r="R37">
            <v>574</v>
          </cell>
          <cell r="S37">
            <v>1026</v>
          </cell>
          <cell r="T37">
            <v>659</v>
          </cell>
          <cell r="U37">
            <v>669</v>
          </cell>
          <cell r="V37">
            <v>575</v>
          </cell>
          <cell r="W37">
            <v>926</v>
          </cell>
          <cell r="X37">
            <v>1052</v>
          </cell>
          <cell r="Y37">
            <v>407</v>
          </cell>
          <cell r="Z37">
            <v>11</v>
          </cell>
          <cell r="AA37">
            <v>887</v>
          </cell>
          <cell r="AB37">
            <v>12</v>
          </cell>
          <cell r="AC37">
            <v>1169</v>
          </cell>
          <cell r="AD37">
            <v>17</v>
          </cell>
          <cell r="AE37">
            <v>1562</v>
          </cell>
          <cell r="AF37">
            <v>15</v>
          </cell>
          <cell r="AG37">
            <v>1360</v>
          </cell>
        </row>
        <row r="38">
          <cell r="A38" t="str">
            <v>Four Points Hotel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</v>
          </cell>
          <cell r="J38">
            <v>1</v>
          </cell>
          <cell r="K38">
            <v>3</v>
          </cell>
          <cell r="L38">
            <v>0</v>
          </cell>
          <cell r="M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74</v>
          </cell>
          <cell r="V38">
            <v>99</v>
          </cell>
          <cell r="W38">
            <v>349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A39" t="str">
            <v>Four Seasons</v>
          </cell>
          <cell r="D39">
            <v>0</v>
          </cell>
          <cell r="E39">
            <v>0</v>
          </cell>
          <cell r="F39">
            <v>1</v>
          </cell>
          <cell r="G39">
            <v>0</v>
          </cell>
          <cell r="H39">
            <v>0</v>
          </cell>
          <cell r="I39">
            <v>1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P39">
            <v>0</v>
          </cell>
          <cell r="Q39">
            <v>0</v>
          </cell>
          <cell r="R39">
            <v>210</v>
          </cell>
          <cell r="S39">
            <v>0</v>
          </cell>
          <cell r="T39">
            <v>0</v>
          </cell>
          <cell r="U39">
            <v>424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1</v>
          </cell>
          <cell r="AC39">
            <v>571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A40" t="str">
            <v>French Quarter Suites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1</v>
          </cell>
          <cell r="AE40">
            <v>20</v>
          </cell>
          <cell r="AF40">
            <v>0</v>
          </cell>
          <cell r="AG40">
            <v>0</v>
          </cell>
        </row>
        <row r="41">
          <cell r="A41" t="str">
            <v>Grand Bay Hotel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A42" t="str">
            <v>GuestHouse Inn</v>
          </cell>
          <cell r="D42">
            <v>2</v>
          </cell>
          <cell r="E42">
            <v>1</v>
          </cell>
          <cell r="F42">
            <v>0</v>
          </cell>
          <cell r="G42">
            <v>0</v>
          </cell>
          <cell r="H42">
            <v>3</v>
          </cell>
          <cell r="I42">
            <v>2</v>
          </cell>
          <cell r="J42">
            <v>2</v>
          </cell>
          <cell r="K42">
            <v>0</v>
          </cell>
          <cell r="L42">
            <v>2</v>
          </cell>
          <cell r="M42">
            <v>1</v>
          </cell>
          <cell r="P42">
            <v>154</v>
          </cell>
          <cell r="Q42">
            <v>61</v>
          </cell>
          <cell r="R42">
            <v>0</v>
          </cell>
          <cell r="S42">
            <v>0</v>
          </cell>
          <cell r="T42">
            <v>168</v>
          </cell>
          <cell r="U42">
            <v>93</v>
          </cell>
          <cell r="V42">
            <v>95</v>
          </cell>
          <cell r="W42">
            <v>0</v>
          </cell>
          <cell r="X42">
            <v>169</v>
          </cell>
          <cell r="Y42">
            <v>58</v>
          </cell>
          <cell r="Z42">
            <v>1</v>
          </cell>
          <cell r="AA42">
            <v>99</v>
          </cell>
          <cell r="AB42">
            <v>2</v>
          </cell>
          <cell r="AC42">
            <v>116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A43" t="str">
            <v>Hampton Inn</v>
          </cell>
          <cell r="D43">
            <v>18</v>
          </cell>
          <cell r="E43">
            <v>11</v>
          </cell>
          <cell r="F43">
            <v>17</v>
          </cell>
          <cell r="G43">
            <v>30</v>
          </cell>
          <cell r="H43">
            <v>28</v>
          </cell>
          <cell r="I43">
            <v>20</v>
          </cell>
          <cell r="J43">
            <v>22</v>
          </cell>
          <cell r="K43">
            <v>23</v>
          </cell>
          <cell r="L43">
            <v>29</v>
          </cell>
          <cell r="M43">
            <v>20</v>
          </cell>
          <cell r="P43">
            <v>1393</v>
          </cell>
          <cell r="Q43">
            <v>942</v>
          </cell>
          <cell r="R43">
            <v>1696</v>
          </cell>
          <cell r="S43">
            <v>2790</v>
          </cell>
          <cell r="T43">
            <v>2493</v>
          </cell>
          <cell r="U43">
            <v>1920</v>
          </cell>
          <cell r="V43">
            <v>1928</v>
          </cell>
          <cell r="W43">
            <v>1977</v>
          </cell>
          <cell r="X43">
            <v>2517</v>
          </cell>
          <cell r="Y43">
            <v>1944</v>
          </cell>
          <cell r="Z43">
            <v>21</v>
          </cell>
          <cell r="AA43">
            <v>1785</v>
          </cell>
          <cell r="AB43">
            <v>25</v>
          </cell>
          <cell r="AC43">
            <v>2116</v>
          </cell>
          <cell r="AD43">
            <v>28</v>
          </cell>
          <cell r="AE43">
            <v>2465</v>
          </cell>
          <cell r="AF43">
            <v>31</v>
          </cell>
          <cell r="AG43">
            <v>3112</v>
          </cell>
        </row>
        <row r="44">
          <cell r="A44" t="str">
            <v>Hampton Inn &amp; Suites</v>
          </cell>
          <cell r="D44">
            <v>5</v>
          </cell>
          <cell r="E44">
            <v>8</v>
          </cell>
          <cell r="F44">
            <v>2</v>
          </cell>
          <cell r="G44">
            <v>6</v>
          </cell>
          <cell r="H44">
            <v>2</v>
          </cell>
          <cell r="I44">
            <v>3</v>
          </cell>
          <cell r="J44">
            <v>2</v>
          </cell>
          <cell r="K44">
            <v>2</v>
          </cell>
          <cell r="L44">
            <v>7</v>
          </cell>
          <cell r="M44">
            <v>3</v>
          </cell>
          <cell r="P44">
            <v>494</v>
          </cell>
          <cell r="Q44">
            <v>1028</v>
          </cell>
          <cell r="R44">
            <v>251</v>
          </cell>
          <cell r="S44">
            <v>650</v>
          </cell>
          <cell r="T44">
            <v>267</v>
          </cell>
          <cell r="U44">
            <v>310</v>
          </cell>
          <cell r="V44">
            <v>209</v>
          </cell>
          <cell r="W44">
            <v>194</v>
          </cell>
          <cell r="X44">
            <v>805</v>
          </cell>
          <cell r="Y44">
            <v>480</v>
          </cell>
          <cell r="Z44">
            <v>3</v>
          </cell>
          <cell r="AA44">
            <v>341</v>
          </cell>
          <cell r="AB44">
            <v>5</v>
          </cell>
          <cell r="AC44">
            <v>505</v>
          </cell>
          <cell r="AD44">
            <v>0</v>
          </cell>
          <cell r="AE44">
            <v>0</v>
          </cell>
          <cell r="AF44">
            <v>2</v>
          </cell>
          <cell r="AG44">
            <v>150</v>
          </cell>
        </row>
        <row r="45">
          <cell r="A45" t="str">
            <v>Hawthorn Suites</v>
          </cell>
          <cell r="D45">
            <v>6</v>
          </cell>
          <cell r="E45">
            <v>6</v>
          </cell>
          <cell r="F45">
            <v>4</v>
          </cell>
          <cell r="G45">
            <v>5</v>
          </cell>
          <cell r="H45">
            <v>3</v>
          </cell>
          <cell r="I45">
            <v>0</v>
          </cell>
          <cell r="J45">
            <v>2</v>
          </cell>
          <cell r="K45">
            <v>4</v>
          </cell>
          <cell r="L45">
            <v>2</v>
          </cell>
          <cell r="M45">
            <v>1</v>
          </cell>
          <cell r="P45">
            <v>462</v>
          </cell>
          <cell r="Q45">
            <v>447</v>
          </cell>
          <cell r="R45">
            <v>441</v>
          </cell>
          <cell r="S45">
            <v>797</v>
          </cell>
          <cell r="T45">
            <v>313</v>
          </cell>
          <cell r="U45">
            <v>0</v>
          </cell>
          <cell r="V45">
            <v>162</v>
          </cell>
          <cell r="W45">
            <v>517</v>
          </cell>
          <cell r="X45">
            <v>229</v>
          </cell>
          <cell r="Y45">
            <v>83</v>
          </cell>
          <cell r="Z45">
            <v>1</v>
          </cell>
          <cell r="AA45">
            <v>63</v>
          </cell>
          <cell r="AB45">
            <v>1</v>
          </cell>
          <cell r="AC45">
            <v>96</v>
          </cell>
          <cell r="AD45">
            <v>1</v>
          </cell>
          <cell r="AE45">
            <v>282</v>
          </cell>
          <cell r="AF45">
            <v>0</v>
          </cell>
          <cell r="AG45">
            <v>0</v>
          </cell>
        </row>
        <row r="46">
          <cell r="A46" t="str">
            <v>Hawthorn Suites LTD.</v>
          </cell>
          <cell r="D46">
            <v>8</v>
          </cell>
          <cell r="E46">
            <v>1</v>
          </cell>
          <cell r="F46">
            <v>7</v>
          </cell>
          <cell r="G46">
            <v>3</v>
          </cell>
          <cell r="H46">
            <v>4</v>
          </cell>
          <cell r="I46">
            <v>4</v>
          </cell>
          <cell r="J46">
            <v>4</v>
          </cell>
          <cell r="K46">
            <v>2</v>
          </cell>
          <cell r="L46">
            <v>1</v>
          </cell>
          <cell r="M46">
            <v>0</v>
          </cell>
          <cell r="P46">
            <v>578</v>
          </cell>
          <cell r="Q46">
            <v>71</v>
          </cell>
          <cell r="R46">
            <v>610</v>
          </cell>
          <cell r="S46">
            <v>202</v>
          </cell>
          <cell r="T46">
            <v>304</v>
          </cell>
          <cell r="U46">
            <v>359</v>
          </cell>
          <cell r="V46">
            <v>458</v>
          </cell>
          <cell r="W46">
            <v>127</v>
          </cell>
          <cell r="X46">
            <v>62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A47" t="str">
            <v>Hearthside Inn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164</v>
          </cell>
          <cell r="U47">
            <v>150</v>
          </cell>
          <cell r="V47">
            <v>164</v>
          </cell>
          <cell r="W47">
            <v>146</v>
          </cell>
          <cell r="X47">
            <v>146</v>
          </cell>
          <cell r="Y47">
            <v>0</v>
          </cell>
          <cell r="Z47">
            <v>1</v>
          </cell>
          <cell r="AA47">
            <v>150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158</v>
          </cell>
        </row>
        <row r="48">
          <cell r="A48" t="str">
            <v>Hilton Garden Inn</v>
          </cell>
          <cell r="D48">
            <v>10</v>
          </cell>
          <cell r="E48">
            <v>7</v>
          </cell>
          <cell r="F48">
            <v>10</v>
          </cell>
          <cell r="G48">
            <v>10</v>
          </cell>
          <cell r="H48">
            <v>15</v>
          </cell>
          <cell r="I48">
            <v>8</v>
          </cell>
          <cell r="J48">
            <v>1</v>
          </cell>
          <cell r="K48">
            <v>2</v>
          </cell>
          <cell r="L48">
            <v>3</v>
          </cell>
          <cell r="M48">
            <v>2</v>
          </cell>
          <cell r="P48">
            <v>1389</v>
          </cell>
          <cell r="Q48">
            <v>1136</v>
          </cell>
          <cell r="R48">
            <v>1653</v>
          </cell>
          <cell r="S48">
            <v>1348</v>
          </cell>
          <cell r="T48">
            <v>2011</v>
          </cell>
          <cell r="U48">
            <v>1043</v>
          </cell>
          <cell r="V48">
            <v>150</v>
          </cell>
          <cell r="W48">
            <v>321</v>
          </cell>
          <cell r="X48">
            <v>410</v>
          </cell>
          <cell r="Y48">
            <v>287</v>
          </cell>
          <cell r="Z48">
            <v>2</v>
          </cell>
          <cell r="AA48">
            <v>189</v>
          </cell>
          <cell r="AB48">
            <v>1</v>
          </cell>
          <cell r="AC48">
            <v>137</v>
          </cell>
          <cell r="AD48">
            <v>1</v>
          </cell>
          <cell r="AE48">
            <v>81</v>
          </cell>
          <cell r="AF48">
            <v>1</v>
          </cell>
          <cell r="AG48">
            <v>174</v>
          </cell>
        </row>
        <row r="49">
          <cell r="A49" t="str">
            <v>Hilton Hotel</v>
          </cell>
          <cell r="D49">
            <v>3</v>
          </cell>
          <cell r="E49">
            <v>2</v>
          </cell>
          <cell r="F49">
            <v>2</v>
          </cell>
          <cell r="G49">
            <v>1</v>
          </cell>
          <cell r="H49">
            <v>0</v>
          </cell>
          <cell r="I49">
            <v>0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P49">
            <v>946</v>
          </cell>
          <cell r="Q49">
            <v>433</v>
          </cell>
          <cell r="R49">
            <v>259</v>
          </cell>
          <cell r="S49">
            <v>600</v>
          </cell>
          <cell r="T49">
            <v>0</v>
          </cell>
          <cell r="U49">
            <v>0</v>
          </cell>
          <cell r="V49">
            <v>100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</v>
          </cell>
          <cell r="AC49">
            <v>131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50" t="str">
            <v>HoJo Inn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Holiday Inn</v>
          </cell>
          <cell r="D51">
            <v>0</v>
          </cell>
          <cell r="E51">
            <v>0</v>
          </cell>
          <cell r="F51">
            <v>3</v>
          </cell>
          <cell r="G51">
            <v>5</v>
          </cell>
          <cell r="H51">
            <v>2</v>
          </cell>
          <cell r="I51">
            <v>1</v>
          </cell>
          <cell r="J51">
            <v>3</v>
          </cell>
          <cell r="K51">
            <v>2</v>
          </cell>
          <cell r="L51">
            <v>2</v>
          </cell>
          <cell r="M51">
            <v>2</v>
          </cell>
          <cell r="P51">
            <v>0</v>
          </cell>
          <cell r="Q51">
            <v>0</v>
          </cell>
          <cell r="R51">
            <v>275</v>
          </cell>
          <cell r="S51">
            <v>1226</v>
          </cell>
          <cell r="T51">
            <v>192</v>
          </cell>
          <cell r="U51">
            <v>106</v>
          </cell>
          <cell r="V51">
            <v>676</v>
          </cell>
          <cell r="W51">
            <v>231</v>
          </cell>
          <cell r="X51">
            <v>188</v>
          </cell>
          <cell r="Y51">
            <v>265</v>
          </cell>
          <cell r="Z51">
            <v>1</v>
          </cell>
          <cell r="AA51">
            <v>148</v>
          </cell>
          <cell r="AB51">
            <v>1</v>
          </cell>
          <cell r="AC51">
            <v>226</v>
          </cell>
          <cell r="AD51">
            <v>2</v>
          </cell>
          <cell r="AE51">
            <v>344</v>
          </cell>
          <cell r="AF51">
            <v>1</v>
          </cell>
          <cell r="AG51">
            <v>70</v>
          </cell>
        </row>
        <row r="52">
          <cell r="A52" t="str">
            <v>Holiday Inn Express</v>
          </cell>
          <cell r="D52">
            <v>15</v>
          </cell>
          <cell r="E52">
            <v>10</v>
          </cell>
          <cell r="F52">
            <v>11</v>
          </cell>
          <cell r="G52">
            <v>30</v>
          </cell>
          <cell r="H52">
            <v>33</v>
          </cell>
          <cell r="I52">
            <v>14</v>
          </cell>
          <cell r="J52">
            <v>28</v>
          </cell>
          <cell r="K52">
            <v>32</v>
          </cell>
          <cell r="L52">
            <v>36</v>
          </cell>
          <cell r="M52">
            <v>32</v>
          </cell>
          <cell r="P52">
            <v>959</v>
          </cell>
          <cell r="Q52">
            <v>799</v>
          </cell>
          <cell r="R52">
            <v>813</v>
          </cell>
          <cell r="S52">
            <v>2198</v>
          </cell>
          <cell r="T52">
            <v>2241</v>
          </cell>
          <cell r="U52">
            <v>1020</v>
          </cell>
          <cell r="V52">
            <v>2168</v>
          </cell>
          <cell r="W52">
            <v>2199</v>
          </cell>
          <cell r="X52">
            <v>2579</v>
          </cell>
          <cell r="Y52">
            <v>2317</v>
          </cell>
          <cell r="Z52">
            <v>28</v>
          </cell>
          <cell r="AA52">
            <v>1766</v>
          </cell>
          <cell r="AB52">
            <v>32</v>
          </cell>
          <cell r="AC52">
            <v>2352</v>
          </cell>
          <cell r="AD52">
            <v>45</v>
          </cell>
          <cell r="AE52">
            <v>2828</v>
          </cell>
          <cell r="AF52">
            <v>23</v>
          </cell>
          <cell r="AG52">
            <v>1456</v>
          </cell>
        </row>
        <row r="53">
          <cell r="A53" t="str">
            <v>Holiday Inn Express &amp; Suites</v>
          </cell>
          <cell r="D53">
            <v>25</v>
          </cell>
          <cell r="E53">
            <v>21</v>
          </cell>
          <cell r="F53">
            <v>9</v>
          </cell>
          <cell r="G53">
            <v>13</v>
          </cell>
          <cell r="H53">
            <v>6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P53">
            <v>1802</v>
          </cell>
          <cell r="Q53">
            <v>1499</v>
          </cell>
          <cell r="R53">
            <v>893</v>
          </cell>
          <cell r="S53">
            <v>885</v>
          </cell>
          <cell r="T53">
            <v>418</v>
          </cell>
          <cell r="U53">
            <v>89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A54" t="str">
            <v>Holiday Inn Select</v>
          </cell>
          <cell r="D54">
            <v>0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</v>
          </cell>
          <cell r="M54">
            <v>0</v>
          </cell>
          <cell r="P54">
            <v>0</v>
          </cell>
          <cell r="Q54">
            <v>194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300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A55" t="str">
            <v>Homegate Studios &amp; Suites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4</v>
          </cell>
          <cell r="I55">
            <v>4</v>
          </cell>
          <cell r="J55">
            <v>4</v>
          </cell>
          <cell r="K55">
            <v>5</v>
          </cell>
          <cell r="L55">
            <v>9</v>
          </cell>
          <cell r="M55">
            <v>3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476</v>
          </cell>
          <cell r="U55">
            <v>506</v>
          </cell>
          <cell r="V55">
            <v>509</v>
          </cell>
          <cell r="W55">
            <v>633</v>
          </cell>
          <cell r="X55">
            <v>1004</v>
          </cell>
          <cell r="Y55">
            <v>397</v>
          </cell>
          <cell r="Z55">
            <v>6</v>
          </cell>
          <cell r="AA55">
            <v>742</v>
          </cell>
          <cell r="AB55">
            <v>1</v>
          </cell>
          <cell r="AC55">
            <v>142</v>
          </cell>
          <cell r="AD55">
            <v>1</v>
          </cell>
          <cell r="AE55">
            <v>139</v>
          </cell>
          <cell r="AF55">
            <v>0</v>
          </cell>
          <cell r="AG55">
            <v>0</v>
          </cell>
        </row>
        <row r="56">
          <cell r="A56" t="str">
            <v>Homestead Village</v>
          </cell>
          <cell r="D56">
            <v>0</v>
          </cell>
          <cell r="E56">
            <v>0</v>
          </cell>
          <cell r="F56">
            <v>0</v>
          </cell>
          <cell r="G56">
            <v>8</v>
          </cell>
          <cell r="H56">
            <v>3</v>
          </cell>
          <cell r="I56">
            <v>5</v>
          </cell>
          <cell r="J56">
            <v>13</v>
          </cell>
          <cell r="K56">
            <v>19</v>
          </cell>
          <cell r="L56">
            <v>9</v>
          </cell>
          <cell r="M56">
            <v>16</v>
          </cell>
          <cell r="P56">
            <v>0</v>
          </cell>
          <cell r="Q56">
            <v>0</v>
          </cell>
          <cell r="R56">
            <v>0</v>
          </cell>
          <cell r="S56">
            <v>1003</v>
          </cell>
          <cell r="T56">
            <v>360</v>
          </cell>
          <cell r="U56">
            <v>674</v>
          </cell>
          <cell r="V56">
            <v>1774</v>
          </cell>
          <cell r="W56">
            <v>2552</v>
          </cell>
          <cell r="X56">
            <v>1239</v>
          </cell>
          <cell r="Y56">
            <v>2092</v>
          </cell>
          <cell r="Z56">
            <v>15</v>
          </cell>
          <cell r="AA56">
            <v>2039</v>
          </cell>
          <cell r="AB56">
            <v>8</v>
          </cell>
          <cell r="AC56">
            <v>1125</v>
          </cell>
          <cell r="AD56">
            <v>7</v>
          </cell>
          <cell r="AE56">
            <v>913</v>
          </cell>
          <cell r="AF56">
            <v>4</v>
          </cell>
          <cell r="AG56">
            <v>519</v>
          </cell>
        </row>
        <row r="57">
          <cell r="A57" t="str">
            <v>Homewood Suites by Hilton</v>
          </cell>
          <cell r="D57">
            <v>2</v>
          </cell>
          <cell r="E57">
            <v>3</v>
          </cell>
          <cell r="F57">
            <v>1</v>
          </cell>
          <cell r="G57">
            <v>1</v>
          </cell>
          <cell r="H57">
            <v>4</v>
          </cell>
          <cell r="I57">
            <v>5</v>
          </cell>
          <cell r="J57">
            <v>6</v>
          </cell>
          <cell r="K57">
            <v>3</v>
          </cell>
          <cell r="L57">
            <v>8</v>
          </cell>
          <cell r="M57">
            <v>8</v>
          </cell>
          <cell r="P57">
            <v>183</v>
          </cell>
          <cell r="Q57">
            <v>337</v>
          </cell>
          <cell r="R57">
            <v>121</v>
          </cell>
          <cell r="S57">
            <v>147</v>
          </cell>
          <cell r="T57">
            <v>709</v>
          </cell>
          <cell r="U57">
            <v>500</v>
          </cell>
          <cell r="V57">
            <v>658</v>
          </cell>
          <cell r="W57">
            <v>328</v>
          </cell>
          <cell r="X57">
            <v>921</v>
          </cell>
          <cell r="Y57">
            <v>904</v>
          </cell>
          <cell r="Z57">
            <v>2</v>
          </cell>
          <cell r="AA57">
            <v>198</v>
          </cell>
          <cell r="AB57">
            <v>7</v>
          </cell>
          <cell r="AC57">
            <v>643</v>
          </cell>
          <cell r="AD57">
            <v>5</v>
          </cell>
          <cell r="AE57">
            <v>448</v>
          </cell>
          <cell r="AF57">
            <v>1</v>
          </cell>
          <cell r="AG57">
            <v>91</v>
          </cell>
        </row>
        <row r="58">
          <cell r="A58" t="str">
            <v>Hotel Sofitel</v>
          </cell>
          <cell r="D58">
            <v>1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P58">
            <v>306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A59" t="str">
            <v>Howard Johnson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2</v>
          </cell>
          <cell r="M59">
            <v>3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152</v>
          </cell>
          <cell r="Y59">
            <v>258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A60" t="str">
            <v>Howard Johnson Express Inn</v>
          </cell>
          <cell r="D60">
            <v>1</v>
          </cell>
          <cell r="E60">
            <v>1</v>
          </cell>
          <cell r="F60">
            <v>3</v>
          </cell>
          <cell r="G60">
            <v>3</v>
          </cell>
          <cell r="H60">
            <v>2</v>
          </cell>
          <cell r="I60">
            <v>0</v>
          </cell>
          <cell r="J60">
            <v>0</v>
          </cell>
          <cell r="K60">
            <v>2</v>
          </cell>
          <cell r="L60">
            <v>0</v>
          </cell>
          <cell r="M60">
            <v>0</v>
          </cell>
          <cell r="P60">
            <v>60</v>
          </cell>
          <cell r="Q60">
            <v>50</v>
          </cell>
          <cell r="R60">
            <v>144</v>
          </cell>
          <cell r="S60">
            <v>225</v>
          </cell>
          <cell r="T60">
            <v>97</v>
          </cell>
          <cell r="U60">
            <v>0</v>
          </cell>
          <cell r="V60">
            <v>0</v>
          </cell>
          <cell r="W60">
            <v>125</v>
          </cell>
          <cell r="X60">
            <v>0</v>
          </cell>
          <cell r="Y60">
            <v>0</v>
          </cell>
          <cell r="Z60">
            <v>4</v>
          </cell>
          <cell r="AA60">
            <v>234</v>
          </cell>
          <cell r="AB60">
            <v>0</v>
          </cell>
          <cell r="AC60">
            <v>0</v>
          </cell>
          <cell r="AD60">
            <v>2</v>
          </cell>
          <cell r="AE60">
            <v>92</v>
          </cell>
          <cell r="AF60">
            <v>0</v>
          </cell>
          <cell r="AG60">
            <v>0</v>
          </cell>
        </row>
        <row r="61">
          <cell r="A61" t="str">
            <v>Howard Johnson Hotel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</v>
          </cell>
          <cell r="L61">
            <v>0</v>
          </cell>
          <cell r="M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48</v>
          </cell>
          <cell r="X61">
            <v>0</v>
          </cell>
          <cell r="Y61">
            <v>0</v>
          </cell>
          <cell r="Z61">
            <v>1</v>
          </cell>
          <cell r="AA61">
            <v>170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</row>
        <row r="62">
          <cell r="A62" t="str">
            <v>Howard Johnson Inn</v>
          </cell>
          <cell r="D62">
            <v>0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P62">
            <v>0</v>
          </cell>
          <cell r="Q62">
            <v>74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</row>
        <row r="63">
          <cell r="A63" t="str">
            <v>Hyatt Hotel</v>
          </cell>
          <cell r="D63">
            <v>2</v>
          </cell>
          <cell r="E63">
            <v>1</v>
          </cell>
          <cell r="F63">
            <v>2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1</v>
          </cell>
          <cell r="L63">
            <v>1</v>
          </cell>
          <cell r="M63">
            <v>0</v>
          </cell>
          <cell r="P63">
            <v>534</v>
          </cell>
          <cell r="Q63">
            <v>183</v>
          </cell>
          <cell r="R63">
            <v>702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250</v>
          </cell>
          <cell r="X63">
            <v>800</v>
          </cell>
          <cell r="Y63">
            <v>0</v>
          </cell>
          <cell r="Z63">
            <v>0</v>
          </cell>
          <cell r="AA63">
            <v>0</v>
          </cell>
          <cell r="AB63">
            <v>1</v>
          </cell>
          <cell r="AC63">
            <v>303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A64" t="str">
            <v>INDEPENDENTS</v>
          </cell>
          <cell r="D64">
            <v>21</v>
          </cell>
          <cell r="E64">
            <v>23</v>
          </cell>
          <cell r="F64">
            <v>15</v>
          </cell>
          <cell r="G64">
            <v>26</v>
          </cell>
          <cell r="H64">
            <v>29</v>
          </cell>
          <cell r="I64">
            <v>30</v>
          </cell>
          <cell r="J64">
            <v>34</v>
          </cell>
          <cell r="K64">
            <v>28</v>
          </cell>
          <cell r="L64">
            <v>33</v>
          </cell>
          <cell r="M64">
            <v>12</v>
          </cell>
          <cell r="P64">
            <v>2614</v>
          </cell>
          <cell r="Q64">
            <v>2842</v>
          </cell>
          <cell r="R64">
            <v>2146</v>
          </cell>
          <cell r="S64">
            <v>4318</v>
          </cell>
          <cell r="T64">
            <v>3469</v>
          </cell>
          <cell r="U64">
            <v>6370</v>
          </cell>
          <cell r="V64">
            <v>4212</v>
          </cell>
          <cell r="W64">
            <v>3739</v>
          </cell>
          <cell r="X64">
            <v>3926</v>
          </cell>
          <cell r="Y64">
            <v>1278</v>
          </cell>
          <cell r="Z64">
            <v>13</v>
          </cell>
          <cell r="AA64">
            <v>1473</v>
          </cell>
          <cell r="AB64">
            <v>22</v>
          </cell>
          <cell r="AC64">
            <v>3924</v>
          </cell>
          <cell r="AD64">
            <v>34</v>
          </cell>
          <cell r="AE64">
            <v>4018</v>
          </cell>
          <cell r="AF64">
            <v>15</v>
          </cell>
          <cell r="AG64">
            <v>1557</v>
          </cell>
        </row>
        <row r="65">
          <cell r="A65" t="str">
            <v>Inter-Continental</v>
          </cell>
          <cell r="D65">
            <v>2</v>
          </cell>
          <cell r="E65">
            <v>0</v>
          </cell>
          <cell r="F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P65">
            <v>339</v>
          </cell>
          <cell r="Q65">
            <v>0</v>
          </cell>
          <cell r="R65">
            <v>291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A66" t="str">
            <v>Intown Suites</v>
          </cell>
          <cell r="D66">
            <v>0</v>
          </cell>
          <cell r="E66">
            <v>5</v>
          </cell>
          <cell r="F66">
            <v>4</v>
          </cell>
          <cell r="G66">
            <v>1</v>
          </cell>
          <cell r="H66">
            <v>0</v>
          </cell>
          <cell r="I66">
            <v>1</v>
          </cell>
          <cell r="J66">
            <v>4</v>
          </cell>
          <cell r="K66">
            <v>3</v>
          </cell>
          <cell r="L66">
            <v>2</v>
          </cell>
          <cell r="M66">
            <v>3</v>
          </cell>
          <cell r="P66">
            <v>0</v>
          </cell>
          <cell r="Q66">
            <v>603</v>
          </cell>
          <cell r="R66">
            <v>483</v>
          </cell>
          <cell r="S66">
            <v>121</v>
          </cell>
          <cell r="T66">
            <v>0</v>
          </cell>
          <cell r="U66">
            <v>88</v>
          </cell>
          <cell r="V66">
            <v>487</v>
          </cell>
          <cell r="W66">
            <v>365</v>
          </cell>
          <cell r="X66">
            <v>246</v>
          </cell>
          <cell r="Y66">
            <v>367</v>
          </cell>
          <cell r="Z66">
            <v>1</v>
          </cell>
          <cell r="AA66">
            <v>123</v>
          </cell>
          <cell r="AB66">
            <v>1</v>
          </cell>
          <cell r="AC66">
            <v>123</v>
          </cell>
          <cell r="AD66">
            <v>0</v>
          </cell>
          <cell r="AE66">
            <v>0</v>
          </cell>
          <cell r="AF66">
            <v>1</v>
          </cell>
          <cell r="AG66">
            <v>120</v>
          </cell>
        </row>
        <row r="67">
          <cell r="A67" t="str">
            <v>Jameson Inn</v>
          </cell>
          <cell r="D67">
            <v>3</v>
          </cell>
          <cell r="E67">
            <v>2</v>
          </cell>
          <cell r="F67">
            <v>2</v>
          </cell>
          <cell r="G67">
            <v>2</v>
          </cell>
          <cell r="H67">
            <v>0</v>
          </cell>
          <cell r="I67">
            <v>5</v>
          </cell>
          <cell r="J67">
            <v>5</v>
          </cell>
          <cell r="K67">
            <v>4</v>
          </cell>
          <cell r="L67">
            <v>6</v>
          </cell>
          <cell r="M67">
            <v>5</v>
          </cell>
          <cell r="P67">
            <v>204</v>
          </cell>
          <cell r="Q67">
            <v>123</v>
          </cell>
          <cell r="R67">
            <v>96</v>
          </cell>
          <cell r="S67">
            <v>148</v>
          </cell>
          <cell r="T67">
            <v>0</v>
          </cell>
          <cell r="U67">
            <v>280</v>
          </cell>
          <cell r="V67">
            <v>180</v>
          </cell>
          <cell r="W67">
            <v>174</v>
          </cell>
          <cell r="X67">
            <v>258</v>
          </cell>
          <cell r="Y67">
            <v>200</v>
          </cell>
          <cell r="Z67">
            <v>8</v>
          </cell>
          <cell r="AA67">
            <v>320</v>
          </cell>
          <cell r="AB67">
            <v>3</v>
          </cell>
          <cell r="AC67">
            <v>120</v>
          </cell>
          <cell r="AD67">
            <v>4</v>
          </cell>
          <cell r="AE67">
            <v>160</v>
          </cell>
          <cell r="AF67">
            <v>3</v>
          </cell>
          <cell r="AG67">
            <v>120</v>
          </cell>
        </row>
        <row r="68">
          <cell r="A68" t="str">
            <v>Key West Inn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2</v>
          </cell>
          <cell r="M68">
            <v>2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102</v>
          </cell>
          <cell r="Y68">
            <v>171</v>
          </cell>
          <cell r="Z68">
            <v>2</v>
          </cell>
          <cell r="AA68">
            <v>116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9">
          <cell r="A69" t="str">
            <v>Knights Inn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40</v>
          </cell>
          <cell r="Z69">
            <v>3</v>
          </cell>
          <cell r="AA69">
            <v>207</v>
          </cell>
          <cell r="AB69">
            <v>0</v>
          </cell>
          <cell r="AC69">
            <v>0</v>
          </cell>
          <cell r="AD69">
            <v>2</v>
          </cell>
          <cell r="AE69">
            <v>76</v>
          </cell>
          <cell r="AF69">
            <v>1</v>
          </cell>
          <cell r="AG69">
            <v>68</v>
          </cell>
        </row>
        <row r="70">
          <cell r="A70" t="str">
            <v>La Quinta Inn</v>
          </cell>
          <cell r="D70">
            <v>0</v>
          </cell>
          <cell r="E70">
            <v>0</v>
          </cell>
          <cell r="F70">
            <v>0</v>
          </cell>
          <cell r="G70">
            <v>1</v>
          </cell>
          <cell r="H70">
            <v>8</v>
          </cell>
          <cell r="I70">
            <v>4</v>
          </cell>
          <cell r="J70">
            <v>7</v>
          </cell>
          <cell r="K70">
            <v>4</v>
          </cell>
          <cell r="L70">
            <v>6</v>
          </cell>
          <cell r="M70">
            <v>9</v>
          </cell>
          <cell r="P70">
            <v>0</v>
          </cell>
          <cell r="Q70">
            <v>0</v>
          </cell>
          <cell r="R70">
            <v>0</v>
          </cell>
          <cell r="S70">
            <v>184</v>
          </cell>
          <cell r="T70">
            <v>1098</v>
          </cell>
          <cell r="U70">
            <v>537</v>
          </cell>
          <cell r="V70">
            <v>950</v>
          </cell>
          <cell r="W70">
            <v>578</v>
          </cell>
          <cell r="X70">
            <v>746</v>
          </cell>
          <cell r="Y70">
            <v>1131</v>
          </cell>
          <cell r="Z70">
            <v>7</v>
          </cell>
          <cell r="AA70">
            <v>835</v>
          </cell>
          <cell r="AB70">
            <v>1</v>
          </cell>
          <cell r="AC70">
            <v>131</v>
          </cell>
          <cell r="AD70">
            <v>9</v>
          </cell>
          <cell r="AE70">
            <v>1094</v>
          </cell>
          <cell r="AF70">
            <v>4</v>
          </cell>
          <cell r="AG70">
            <v>494</v>
          </cell>
        </row>
        <row r="71">
          <cell r="A71" t="str">
            <v>Larkspur Landing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253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A72" t="str">
            <v>Loews Hotel</v>
          </cell>
          <cell r="D72">
            <v>1</v>
          </cell>
          <cell r="E72">
            <v>0</v>
          </cell>
          <cell r="F72">
            <v>0</v>
          </cell>
          <cell r="G72">
            <v>1</v>
          </cell>
          <cell r="H72">
            <v>0</v>
          </cell>
          <cell r="I72">
            <v>0</v>
          </cell>
          <cell r="J72">
            <v>2</v>
          </cell>
          <cell r="K72">
            <v>0</v>
          </cell>
          <cell r="L72">
            <v>0</v>
          </cell>
          <cell r="M72">
            <v>0</v>
          </cell>
          <cell r="P72">
            <v>583</v>
          </cell>
          <cell r="Q72">
            <v>0</v>
          </cell>
          <cell r="R72">
            <v>0</v>
          </cell>
          <cell r="S72">
            <v>650</v>
          </cell>
          <cell r="T72">
            <v>0</v>
          </cell>
          <cell r="U72">
            <v>0</v>
          </cell>
          <cell r="V72">
            <v>1167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</row>
        <row r="73">
          <cell r="A73" t="str">
            <v>MainStay Suites</v>
          </cell>
          <cell r="D73">
            <v>1</v>
          </cell>
          <cell r="E73">
            <v>2</v>
          </cell>
          <cell r="F73">
            <v>2</v>
          </cell>
          <cell r="G73">
            <v>1</v>
          </cell>
          <cell r="H73">
            <v>3</v>
          </cell>
          <cell r="I73">
            <v>4</v>
          </cell>
          <cell r="J73">
            <v>1</v>
          </cell>
          <cell r="K73">
            <v>3</v>
          </cell>
          <cell r="L73">
            <v>4</v>
          </cell>
          <cell r="M73">
            <v>7</v>
          </cell>
          <cell r="P73">
            <v>72</v>
          </cell>
          <cell r="Q73">
            <v>207</v>
          </cell>
          <cell r="R73">
            <v>166</v>
          </cell>
          <cell r="S73">
            <v>98</v>
          </cell>
          <cell r="T73">
            <v>273</v>
          </cell>
          <cell r="U73">
            <v>325</v>
          </cell>
          <cell r="V73">
            <v>102</v>
          </cell>
          <cell r="W73">
            <v>335</v>
          </cell>
          <cell r="X73">
            <v>362</v>
          </cell>
          <cell r="Y73">
            <v>616</v>
          </cell>
          <cell r="Z73">
            <v>2</v>
          </cell>
          <cell r="AA73">
            <v>185</v>
          </cell>
          <cell r="AB73">
            <v>1</v>
          </cell>
          <cell r="AC73">
            <v>94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A74" t="str">
            <v>Marriott Hotel</v>
          </cell>
          <cell r="D74">
            <v>1</v>
          </cell>
          <cell r="E74">
            <v>3</v>
          </cell>
          <cell r="F74">
            <v>1</v>
          </cell>
          <cell r="G74">
            <v>3</v>
          </cell>
          <cell r="H74">
            <v>4</v>
          </cell>
          <cell r="I74">
            <v>1</v>
          </cell>
          <cell r="J74">
            <v>4</v>
          </cell>
          <cell r="K74">
            <v>2</v>
          </cell>
          <cell r="L74">
            <v>2</v>
          </cell>
          <cell r="M74">
            <v>1</v>
          </cell>
          <cell r="P74">
            <v>393</v>
          </cell>
          <cell r="Q74">
            <v>1335</v>
          </cell>
          <cell r="R74">
            <v>295</v>
          </cell>
          <cell r="S74">
            <v>802</v>
          </cell>
          <cell r="T74">
            <v>1112</v>
          </cell>
          <cell r="U74">
            <v>295</v>
          </cell>
          <cell r="V74">
            <v>1050</v>
          </cell>
          <cell r="W74">
            <v>542</v>
          </cell>
          <cell r="X74">
            <v>456</v>
          </cell>
          <cell r="Y74">
            <v>264</v>
          </cell>
          <cell r="Z74">
            <v>1</v>
          </cell>
          <cell r="AA74">
            <v>278</v>
          </cell>
          <cell r="AB74">
            <v>0</v>
          </cell>
          <cell r="AC74">
            <v>0</v>
          </cell>
          <cell r="AD74">
            <v>1</v>
          </cell>
          <cell r="AE74">
            <v>155</v>
          </cell>
          <cell r="AF74">
            <v>0</v>
          </cell>
          <cell r="AG74">
            <v>0</v>
          </cell>
        </row>
        <row r="75">
          <cell r="A75" t="str">
            <v>Meridien Hotel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6">
          <cell r="A76" t="str">
            <v>Microtel Inn</v>
          </cell>
          <cell r="D76">
            <v>7</v>
          </cell>
          <cell r="E76">
            <v>15</v>
          </cell>
          <cell r="F76">
            <v>11</v>
          </cell>
          <cell r="G76">
            <v>12</v>
          </cell>
          <cell r="H76">
            <v>23</v>
          </cell>
          <cell r="I76">
            <v>11</v>
          </cell>
          <cell r="J76">
            <v>14</v>
          </cell>
          <cell r="K76">
            <v>13</v>
          </cell>
          <cell r="L76">
            <v>21</v>
          </cell>
          <cell r="M76">
            <v>13</v>
          </cell>
          <cell r="P76">
            <v>442</v>
          </cell>
          <cell r="Q76">
            <v>1063</v>
          </cell>
          <cell r="R76">
            <v>825</v>
          </cell>
          <cell r="S76">
            <v>807</v>
          </cell>
          <cell r="T76">
            <v>1616</v>
          </cell>
          <cell r="U76">
            <v>774</v>
          </cell>
          <cell r="V76">
            <v>928</v>
          </cell>
          <cell r="W76">
            <v>1030</v>
          </cell>
          <cell r="X76">
            <v>1372</v>
          </cell>
          <cell r="Y76">
            <v>1009</v>
          </cell>
          <cell r="Z76">
            <v>7</v>
          </cell>
          <cell r="AA76">
            <v>479</v>
          </cell>
          <cell r="AB76">
            <v>16</v>
          </cell>
          <cell r="AC76">
            <v>1136</v>
          </cell>
          <cell r="AD76">
            <v>9</v>
          </cell>
          <cell r="AE76">
            <v>673</v>
          </cell>
          <cell r="AF76">
            <v>5</v>
          </cell>
          <cell r="AG76">
            <v>348</v>
          </cell>
        </row>
        <row r="77">
          <cell r="A77" t="str">
            <v>Motel 6</v>
          </cell>
          <cell r="D77">
            <v>8</v>
          </cell>
          <cell r="E77">
            <v>4</v>
          </cell>
          <cell r="F77">
            <v>4</v>
          </cell>
          <cell r="G77">
            <v>4</v>
          </cell>
          <cell r="H77">
            <v>6</v>
          </cell>
          <cell r="I77">
            <v>4</v>
          </cell>
          <cell r="J77">
            <v>4</v>
          </cell>
          <cell r="K77">
            <v>8</v>
          </cell>
          <cell r="L77">
            <v>4</v>
          </cell>
          <cell r="M77">
            <v>1</v>
          </cell>
          <cell r="P77">
            <v>626</v>
          </cell>
          <cell r="Q77">
            <v>341</v>
          </cell>
          <cell r="R77">
            <v>179</v>
          </cell>
          <cell r="S77">
            <v>282</v>
          </cell>
          <cell r="T77">
            <v>445</v>
          </cell>
          <cell r="U77">
            <v>247</v>
          </cell>
          <cell r="V77">
            <v>217</v>
          </cell>
          <cell r="W77">
            <v>699</v>
          </cell>
          <cell r="X77">
            <v>418</v>
          </cell>
          <cell r="Y77">
            <v>121</v>
          </cell>
          <cell r="Z77">
            <v>5</v>
          </cell>
          <cell r="AA77">
            <v>287</v>
          </cell>
          <cell r="AB77">
            <v>3</v>
          </cell>
          <cell r="AC77">
            <v>310</v>
          </cell>
          <cell r="AD77">
            <v>6</v>
          </cell>
          <cell r="AE77">
            <v>460</v>
          </cell>
          <cell r="AF77">
            <v>0</v>
          </cell>
          <cell r="AG77">
            <v>0</v>
          </cell>
        </row>
        <row r="78">
          <cell r="A78" t="str">
            <v>Omni Hotel</v>
          </cell>
          <cell r="D78">
            <v>0</v>
          </cell>
          <cell r="E78">
            <v>0</v>
          </cell>
          <cell r="F78">
            <v>0</v>
          </cell>
          <cell r="G78">
            <v>1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P78">
            <v>0</v>
          </cell>
          <cell r="Q78">
            <v>0</v>
          </cell>
          <cell r="R78">
            <v>0</v>
          </cell>
          <cell r="S78">
            <v>390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</row>
        <row r="79">
          <cell r="A79" t="str">
            <v>Park Inn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2</v>
          </cell>
          <cell r="L79">
            <v>0</v>
          </cell>
          <cell r="M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174</v>
          </cell>
          <cell r="X79">
            <v>0</v>
          </cell>
          <cell r="Y79">
            <v>0</v>
          </cell>
          <cell r="Z79">
            <v>1</v>
          </cell>
          <cell r="AA79">
            <v>25</v>
          </cell>
          <cell r="AB79">
            <v>1</v>
          </cell>
          <cell r="AC79">
            <v>24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</row>
        <row r="80">
          <cell r="A80" t="str">
            <v>Platinum Suites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</row>
        <row r="81">
          <cell r="A81" t="str">
            <v>Quality Inn</v>
          </cell>
          <cell r="D81">
            <v>1</v>
          </cell>
          <cell r="E81">
            <v>1</v>
          </cell>
          <cell r="F81">
            <v>2</v>
          </cell>
          <cell r="G81">
            <v>1</v>
          </cell>
          <cell r="H81">
            <v>3</v>
          </cell>
          <cell r="I81">
            <v>7</v>
          </cell>
          <cell r="J81">
            <v>1</v>
          </cell>
          <cell r="K81">
            <v>2</v>
          </cell>
          <cell r="L81">
            <v>1</v>
          </cell>
          <cell r="M81">
            <v>3</v>
          </cell>
          <cell r="P81">
            <v>68</v>
          </cell>
          <cell r="Q81">
            <v>60</v>
          </cell>
          <cell r="R81">
            <v>174</v>
          </cell>
          <cell r="S81">
            <v>47</v>
          </cell>
          <cell r="T81">
            <v>225</v>
          </cell>
          <cell r="U81">
            <v>495</v>
          </cell>
          <cell r="V81">
            <v>30</v>
          </cell>
          <cell r="W81">
            <v>122</v>
          </cell>
          <cell r="X81">
            <v>72</v>
          </cell>
          <cell r="Y81">
            <v>233</v>
          </cell>
          <cell r="Z81">
            <v>3</v>
          </cell>
          <cell r="AA81">
            <v>157</v>
          </cell>
          <cell r="AB81">
            <v>3</v>
          </cell>
          <cell r="AC81">
            <v>206</v>
          </cell>
          <cell r="AD81">
            <v>5</v>
          </cell>
          <cell r="AE81">
            <v>379</v>
          </cell>
          <cell r="AF81">
            <v>1</v>
          </cell>
          <cell r="AG81">
            <v>69</v>
          </cell>
        </row>
        <row r="82">
          <cell r="A82" t="str">
            <v>Quality Suites</v>
          </cell>
          <cell r="D82">
            <v>2</v>
          </cell>
          <cell r="E82">
            <v>0</v>
          </cell>
          <cell r="F82">
            <v>0</v>
          </cell>
          <cell r="G82">
            <v>2</v>
          </cell>
          <cell r="H82">
            <v>0</v>
          </cell>
          <cell r="I82">
            <v>0</v>
          </cell>
          <cell r="J82">
            <v>2</v>
          </cell>
          <cell r="K82">
            <v>2</v>
          </cell>
          <cell r="L82">
            <v>2</v>
          </cell>
          <cell r="M82">
            <v>2</v>
          </cell>
          <cell r="P82">
            <v>180</v>
          </cell>
          <cell r="Q82">
            <v>0</v>
          </cell>
          <cell r="R82">
            <v>0</v>
          </cell>
          <cell r="S82">
            <v>172</v>
          </cell>
          <cell r="T82">
            <v>0</v>
          </cell>
          <cell r="U82">
            <v>0</v>
          </cell>
          <cell r="V82">
            <v>129</v>
          </cell>
          <cell r="W82">
            <v>149</v>
          </cell>
          <cell r="X82">
            <v>140</v>
          </cell>
          <cell r="Y82">
            <v>161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</row>
        <row r="83">
          <cell r="A83" t="str">
            <v>Radisson Hotel</v>
          </cell>
          <cell r="D83">
            <v>0</v>
          </cell>
          <cell r="E83">
            <v>1</v>
          </cell>
          <cell r="F83">
            <v>1</v>
          </cell>
          <cell r="G83">
            <v>0</v>
          </cell>
          <cell r="H83">
            <v>1</v>
          </cell>
          <cell r="I83">
            <v>0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P83">
            <v>0</v>
          </cell>
          <cell r="Q83">
            <v>250</v>
          </cell>
          <cell r="R83">
            <v>72</v>
          </cell>
          <cell r="S83">
            <v>0</v>
          </cell>
          <cell r="T83">
            <v>224</v>
          </cell>
          <cell r="U83">
            <v>0</v>
          </cell>
          <cell r="V83">
            <v>130</v>
          </cell>
          <cell r="W83">
            <v>250</v>
          </cell>
          <cell r="X83">
            <v>141</v>
          </cell>
          <cell r="Y83">
            <v>120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1</v>
          </cell>
          <cell r="AG83">
            <v>163</v>
          </cell>
        </row>
        <row r="84">
          <cell r="A84" t="str">
            <v>Ramada Inn</v>
          </cell>
          <cell r="D84">
            <v>3</v>
          </cell>
          <cell r="E84">
            <v>1</v>
          </cell>
          <cell r="F84">
            <v>2</v>
          </cell>
          <cell r="G84">
            <v>1</v>
          </cell>
          <cell r="H84">
            <v>2</v>
          </cell>
          <cell r="I84">
            <v>2</v>
          </cell>
          <cell r="J84">
            <v>2</v>
          </cell>
          <cell r="K84">
            <v>0</v>
          </cell>
          <cell r="L84">
            <v>6</v>
          </cell>
          <cell r="M84">
            <v>2</v>
          </cell>
          <cell r="P84">
            <v>174</v>
          </cell>
          <cell r="Q84">
            <v>49</v>
          </cell>
          <cell r="R84">
            <v>103</v>
          </cell>
          <cell r="S84">
            <v>45</v>
          </cell>
          <cell r="T84">
            <v>145</v>
          </cell>
          <cell r="U84">
            <v>158</v>
          </cell>
          <cell r="V84">
            <v>156</v>
          </cell>
          <cell r="W84">
            <v>0</v>
          </cell>
          <cell r="X84">
            <v>325</v>
          </cell>
          <cell r="Y84">
            <v>103</v>
          </cell>
          <cell r="Z84">
            <v>2</v>
          </cell>
          <cell r="AA84">
            <v>138</v>
          </cell>
          <cell r="AB84">
            <v>3</v>
          </cell>
          <cell r="AC84">
            <v>149</v>
          </cell>
          <cell r="AD84">
            <v>6</v>
          </cell>
          <cell r="AE84">
            <v>527</v>
          </cell>
          <cell r="AF84">
            <v>2</v>
          </cell>
          <cell r="AG84">
            <v>118</v>
          </cell>
        </row>
        <row r="85">
          <cell r="A85" t="str">
            <v>Ramada Limited</v>
          </cell>
          <cell r="D85">
            <v>2</v>
          </cell>
          <cell r="E85">
            <v>2</v>
          </cell>
          <cell r="F85">
            <v>3</v>
          </cell>
          <cell r="G85">
            <v>6</v>
          </cell>
          <cell r="H85">
            <v>0</v>
          </cell>
          <cell r="I85">
            <v>2</v>
          </cell>
          <cell r="J85">
            <v>4</v>
          </cell>
          <cell r="K85">
            <v>3</v>
          </cell>
          <cell r="L85">
            <v>4</v>
          </cell>
          <cell r="M85">
            <v>5</v>
          </cell>
          <cell r="P85">
            <v>117</v>
          </cell>
          <cell r="Q85">
            <v>83</v>
          </cell>
          <cell r="R85">
            <v>192</v>
          </cell>
          <cell r="S85">
            <v>344</v>
          </cell>
          <cell r="T85">
            <v>0</v>
          </cell>
          <cell r="U85">
            <v>105</v>
          </cell>
          <cell r="V85">
            <v>296</v>
          </cell>
          <cell r="W85">
            <v>199</v>
          </cell>
          <cell r="X85">
            <v>242</v>
          </cell>
          <cell r="Y85">
            <v>277</v>
          </cell>
          <cell r="Z85">
            <v>6</v>
          </cell>
          <cell r="AA85">
            <v>341</v>
          </cell>
          <cell r="AB85">
            <v>7</v>
          </cell>
          <cell r="AC85">
            <v>524</v>
          </cell>
          <cell r="AD85">
            <v>8</v>
          </cell>
          <cell r="AE85">
            <v>473</v>
          </cell>
          <cell r="AF85">
            <v>8</v>
          </cell>
          <cell r="AG85">
            <v>585</v>
          </cell>
        </row>
        <row r="86">
          <cell r="A86" t="str">
            <v>Ramada Plaza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A87" t="str">
            <v>Red Roof Inn</v>
          </cell>
          <cell r="D87">
            <v>6</v>
          </cell>
          <cell r="E87">
            <v>3</v>
          </cell>
          <cell r="F87">
            <v>1</v>
          </cell>
          <cell r="G87">
            <v>6</v>
          </cell>
          <cell r="H87">
            <v>9</v>
          </cell>
          <cell r="I87">
            <v>6</v>
          </cell>
          <cell r="J87">
            <v>2</v>
          </cell>
          <cell r="K87">
            <v>2</v>
          </cell>
          <cell r="L87">
            <v>2</v>
          </cell>
          <cell r="M87">
            <v>4</v>
          </cell>
          <cell r="P87">
            <v>542</v>
          </cell>
          <cell r="Q87">
            <v>223</v>
          </cell>
          <cell r="R87">
            <v>83</v>
          </cell>
          <cell r="S87">
            <v>524</v>
          </cell>
          <cell r="T87">
            <v>651</v>
          </cell>
          <cell r="U87">
            <v>611</v>
          </cell>
          <cell r="V87">
            <v>192</v>
          </cell>
          <cell r="W87">
            <v>215</v>
          </cell>
          <cell r="X87">
            <v>272</v>
          </cell>
          <cell r="Y87">
            <v>530</v>
          </cell>
          <cell r="Z87">
            <v>2</v>
          </cell>
          <cell r="AA87">
            <v>261</v>
          </cell>
          <cell r="AB87">
            <v>1</v>
          </cell>
          <cell r="AC87">
            <v>117</v>
          </cell>
          <cell r="AD87">
            <v>1</v>
          </cell>
          <cell r="AE87">
            <v>218</v>
          </cell>
          <cell r="AF87">
            <v>1</v>
          </cell>
          <cell r="AG87">
            <v>125</v>
          </cell>
        </row>
        <row r="88">
          <cell r="A88" t="str">
            <v>Renaissance Hotel</v>
          </cell>
          <cell r="D88">
            <v>0</v>
          </cell>
          <cell r="E88">
            <v>1</v>
          </cell>
          <cell r="F88">
            <v>1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P88">
            <v>0</v>
          </cell>
          <cell r="Q88">
            <v>311</v>
          </cell>
          <cell r="R88">
            <v>275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</row>
        <row r="89">
          <cell r="A89" t="str">
            <v>Residence Inn</v>
          </cell>
          <cell r="D89">
            <v>10</v>
          </cell>
          <cell r="E89">
            <v>10</v>
          </cell>
          <cell r="F89">
            <v>5</v>
          </cell>
          <cell r="G89">
            <v>10</v>
          </cell>
          <cell r="H89">
            <v>10</v>
          </cell>
          <cell r="I89">
            <v>10</v>
          </cell>
          <cell r="J89">
            <v>5</v>
          </cell>
          <cell r="K89">
            <v>11</v>
          </cell>
          <cell r="L89">
            <v>12</v>
          </cell>
          <cell r="M89">
            <v>7</v>
          </cell>
          <cell r="P89">
            <v>1220</v>
          </cell>
          <cell r="Q89">
            <v>1032</v>
          </cell>
          <cell r="R89">
            <v>552</v>
          </cell>
          <cell r="S89">
            <v>1088</v>
          </cell>
          <cell r="T89">
            <v>1295</v>
          </cell>
          <cell r="U89">
            <v>1280</v>
          </cell>
          <cell r="V89">
            <v>508</v>
          </cell>
          <cell r="W89">
            <v>1384</v>
          </cell>
          <cell r="X89">
            <v>1403</v>
          </cell>
          <cell r="Y89">
            <v>708</v>
          </cell>
          <cell r="Z89">
            <v>8</v>
          </cell>
          <cell r="AA89">
            <v>796</v>
          </cell>
          <cell r="AB89">
            <v>10</v>
          </cell>
          <cell r="AC89">
            <v>1160</v>
          </cell>
          <cell r="AD89">
            <v>8</v>
          </cell>
          <cell r="AE89">
            <v>762</v>
          </cell>
          <cell r="AF89">
            <v>6</v>
          </cell>
          <cell r="AG89">
            <v>742</v>
          </cell>
        </row>
        <row r="90">
          <cell r="A90" t="str">
            <v>Ritz-Carlton</v>
          </cell>
          <cell r="D90">
            <v>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P90">
            <v>330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</row>
        <row r="91">
          <cell r="A91" t="str">
            <v>Rodeway Inn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</v>
          </cell>
          <cell r="K91">
            <v>3</v>
          </cell>
          <cell r="L91">
            <v>1</v>
          </cell>
          <cell r="M91">
            <v>2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59</v>
          </cell>
          <cell r="W91">
            <v>158</v>
          </cell>
          <cell r="X91">
            <v>59</v>
          </cell>
          <cell r="Y91">
            <v>86</v>
          </cell>
          <cell r="Z91">
            <v>1</v>
          </cell>
          <cell r="AA91">
            <v>78</v>
          </cell>
          <cell r="AB91">
            <v>3</v>
          </cell>
          <cell r="AC91">
            <v>117</v>
          </cell>
          <cell r="AD91">
            <v>4</v>
          </cell>
          <cell r="AE91">
            <v>169</v>
          </cell>
          <cell r="AF91">
            <v>0</v>
          </cell>
          <cell r="AG91">
            <v>0</v>
          </cell>
        </row>
        <row r="92">
          <cell r="A92" t="str">
            <v>Scottish Inn</v>
          </cell>
          <cell r="D92">
            <v>0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P92">
            <v>0</v>
          </cell>
          <cell r="Q92">
            <v>38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</row>
        <row r="93">
          <cell r="A93" t="str">
            <v>Select Inn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</row>
        <row r="94">
          <cell r="A94" t="str">
            <v>Sheraton Hotel</v>
          </cell>
          <cell r="D94">
            <v>0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2</v>
          </cell>
          <cell r="J94">
            <v>0</v>
          </cell>
          <cell r="K94">
            <v>2</v>
          </cell>
          <cell r="L94">
            <v>0</v>
          </cell>
          <cell r="M94">
            <v>0</v>
          </cell>
          <cell r="P94">
            <v>0</v>
          </cell>
          <cell r="Q94">
            <v>286</v>
          </cell>
          <cell r="R94">
            <v>0</v>
          </cell>
          <cell r="S94">
            <v>0</v>
          </cell>
          <cell r="T94">
            <v>0</v>
          </cell>
          <cell r="U94">
            <v>301</v>
          </cell>
          <cell r="V94">
            <v>0</v>
          </cell>
          <cell r="W94">
            <v>287</v>
          </cell>
          <cell r="X94">
            <v>0</v>
          </cell>
          <cell r="Y94">
            <v>0</v>
          </cell>
          <cell r="Z94">
            <v>1</v>
          </cell>
          <cell r="AA94">
            <v>502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</row>
        <row r="95">
          <cell r="A95" t="str">
            <v>Shilo Inn</v>
          </cell>
          <cell r="D95">
            <v>0</v>
          </cell>
          <cell r="E95">
            <v>0</v>
          </cell>
          <cell r="P95">
            <v>0</v>
          </cell>
          <cell r="Q95">
            <v>0</v>
          </cell>
        </row>
        <row r="96">
          <cell r="A96" t="str">
            <v>Shoney's Inn</v>
          </cell>
          <cell r="D96">
            <v>0</v>
          </cell>
          <cell r="E96">
            <v>0</v>
          </cell>
          <cell r="F96">
            <v>2</v>
          </cell>
          <cell r="G96">
            <v>1</v>
          </cell>
          <cell r="H96">
            <v>1</v>
          </cell>
          <cell r="I96">
            <v>0</v>
          </cell>
          <cell r="J96">
            <v>1</v>
          </cell>
          <cell r="K96">
            <v>0</v>
          </cell>
          <cell r="L96">
            <v>2</v>
          </cell>
          <cell r="M96">
            <v>4</v>
          </cell>
          <cell r="P96">
            <v>0</v>
          </cell>
          <cell r="Q96">
            <v>0</v>
          </cell>
          <cell r="R96">
            <v>135</v>
          </cell>
          <cell r="S96">
            <v>75</v>
          </cell>
          <cell r="T96">
            <v>43</v>
          </cell>
          <cell r="U96">
            <v>0</v>
          </cell>
          <cell r="V96">
            <v>50</v>
          </cell>
          <cell r="W96">
            <v>0</v>
          </cell>
          <cell r="X96">
            <v>90</v>
          </cell>
          <cell r="Y96">
            <v>267</v>
          </cell>
          <cell r="Z96">
            <v>0</v>
          </cell>
          <cell r="AA96">
            <v>0</v>
          </cell>
          <cell r="AB96">
            <v>1</v>
          </cell>
          <cell r="AC96">
            <v>40</v>
          </cell>
          <cell r="AD96">
            <v>0</v>
          </cell>
          <cell r="AE96">
            <v>0</v>
          </cell>
          <cell r="AF96">
            <v>1</v>
          </cell>
          <cell r="AG96">
            <v>63</v>
          </cell>
        </row>
        <row r="97">
          <cell r="A97" t="str">
            <v>Sierra Suites</v>
          </cell>
          <cell r="D97">
            <v>0</v>
          </cell>
          <cell r="E97">
            <v>1</v>
          </cell>
          <cell r="F97">
            <v>0</v>
          </cell>
          <cell r="G97">
            <v>0</v>
          </cell>
          <cell r="H97">
            <v>2</v>
          </cell>
          <cell r="I97">
            <v>0</v>
          </cell>
          <cell r="J97">
            <v>2</v>
          </cell>
          <cell r="K97">
            <v>2</v>
          </cell>
          <cell r="L97">
            <v>3</v>
          </cell>
          <cell r="M97">
            <v>1</v>
          </cell>
          <cell r="P97">
            <v>0</v>
          </cell>
          <cell r="Q97">
            <v>137</v>
          </cell>
          <cell r="R97">
            <v>0</v>
          </cell>
          <cell r="S97">
            <v>0</v>
          </cell>
          <cell r="T97">
            <v>232</v>
          </cell>
          <cell r="U97">
            <v>0</v>
          </cell>
          <cell r="V97">
            <v>236</v>
          </cell>
          <cell r="W97">
            <v>269</v>
          </cell>
          <cell r="X97">
            <v>339</v>
          </cell>
          <cell r="Y97">
            <v>151</v>
          </cell>
          <cell r="Z97">
            <v>0</v>
          </cell>
          <cell r="AA97">
            <v>0</v>
          </cell>
          <cell r="AB97">
            <v>3</v>
          </cell>
          <cell r="AC97">
            <v>288</v>
          </cell>
          <cell r="AD97">
            <v>0</v>
          </cell>
          <cell r="AE97">
            <v>0</v>
          </cell>
          <cell r="AF97">
            <v>1</v>
          </cell>
          <cell r="AG97">
            <v>102</v>
          </cell>
        </row>
        <row r="98">
          <cell r="A98" t="str">
            <v>Signature Inns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  <cell r="AG98">
            <v>81</v>
          </cell>
        </row>
        <row r="99">
          <cell r="A99" t="str">
            <v>Sleep Inn</v>
          </cell>
          <cell r="D99">
            <v>8</v>
          </cell>
          <cell r="E99">
            <v>11</v>
          </cell>
          <cell r="F99">
            <v>5</v>
          </cell>
          <cell r="G99">
            <v>10</v>
          </cell>
          <cell r="H99">
            <v>9</v>
          </cell>
          <cell r="I99">
            <v>9</v>
          </cell>
          <cell r="J99">
            <v>9</v>
          </cell>
          <cell r="K99">
            <v>14</v>
          </cell>
          <cell r="L99">
            <v>7</v>
          </cell>
          <cell r="M99">
            <v>7</v>
          </cell>
          <cell r="P99">
            <v>566</v>
          </cell>
          <cell r="Q99">
            <v>803</v>
          </cell>
          <cell r="R99">
            <v>388</v>
          </cell>
          <cell r="S99">
            <v>701</v>
          </cell>
          <cell r="T99">
            <v>671</v>
          </cell>
          <cell r="U99">
            <v>815</v>
          </cell>
          <cell r="V99">
            <v>755</v>
          </cell>
          <cell r="W99">
            <v>1054</v>
          </cell>
          <cell r="X99">
            <v>574</v>
          </cell>
          <cell r="Y99">
            <v>685</v>
          </cell>
          <cell r="Z99">
            <v>10</v>
          </cell>
          <cell r="AA99">
            <v>807</v>
          </cell>
          <cell r="AB99">
            <v>9</v>
          </cell>
          <cell r="AC99">
            <v>744</v>
          </cell>
          <cell r="AD99">
            <v>13</v>
          </cell>
          <cell r="AE99">
            <v>873</v>
          </cell>
          <cell r="AF99">
            <v>8</v>
          </cell>
          <cell r="AG99">
            <v>620</v>
          </cell>
        </row>
        <row r="100">
          <cell r="A100" t="str">
            <v>SpringHill Suites</v>
          </cell>
          <cell r="D100">
            <v>5</v>
          </cell>
          <cell r="E100">
            <v>7</v>
          </cell>
          <cell r="F100">
            <v>4</v>
          </cell>
          <cell r="G100">
            <v>3</v>
          </cell>
          <cell r="H100">
            <v>3</v>
          </cell>
          <cell r="I100">
            <v>5</v>
          </cell>
          <cell r="J100">
            <v>5</v>
          </cell>
          <cell r="K100">
            <v>6</v>
          </cell>
          <cell r="L100">
            <v>1</v>
          </cell>
          <cell r="M100">
            <v>3</v>
          </cell>
          <cell r="P100">
            <v>487</v>
          </cell>
          <cell r="Q100">
            <v>706</v>
          </cell>
          <cell r="R100">
            <v>386</v>
          </cell>
          <cell r="S100">
            <v>336</v>
          </cell>
          <cell r="T100">
            <v>313</v>
          </cell>
          <cell r="U100">
            <v>512</v>
          </cell>
          <cell r="V100">
            <v>495</v>
          </cell>
          <cell r="W100">
            <v>570</v>
          </cell>
          <cell r="X100">
            <v>102</v>
          </cell>
          <cell r="Y100">
            <v>321</v>
          </cell>
          <cell r="Z100">
            <v>1</v>
          </cell>
          <cell r="AA100">
            <v>109</v>
          </cell>
          <cell r="AB100">
            <v>1</v>
          </cell>
          <cell r="AC100">
            <v>122</v>
          </cell>
          <cell r="AD100">
            <v>0</v>
          </cell>
          <cell r="AE100">
            <v>0</v>
          </cell>
          <cell r="AF100">
            <v>1</v>
          </cell>
          <cell r="AG100">
            <v>105</v>
          </cell>
        </row>
        <row r="101">
          <cell r="A101" t="str">
            <v>Staybridge Suites</v>
          </cell>
          <cell r="D101">
            <v>2</v>
          </cell>
          <cell r="E101">
            <v>2</v>
          </cell>
          <cell r="F101">
            <v>9</v>
          </cell>
          <cell r="G101">
            <v>1</v>
          </cell>
          <cell r="H101">
            <v>0</v>
          </cell>
          <cell r="I101">
            <v>0</v>
          </cell>
          <cell r="J101">
            <v>1</v>
          </cell>
          <cell r="K101">
            <v>0</v>
          </cell>
          <cell r="L101">
            <v>0</v>
          </cell>
          <cell r="M101">
            <v>0</v>
          </cell>
          <cell r="P101">
            <v>234</v>
          </cell>
          <cell r="Q101">
            <v>195</v>
          </cell>
          <cell r="R101">
            <v>1039</v>
          </cell>
          <cell r="S101">
            <v>118</v>
          </cell>
          <cell r="T101">
            <v>0</v>
          </cell>
          <cell r="U101">
            <v>0</v>
          </cell>
          <cell r="V101">
            <v>118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A102" t="str">
            <v>StudioPlus Hotel</v>
          </cell>
          <cell r="D102">
            <v>0</v>
          </cell>
          <cell r="E102">
            <v>0</v>
          </cell>
          <cell r="F102">
            <v>2</v>
          </cell>
          <cell r="G102">
            <v>3</v>
          </cell>
          <cell r="H102">
            <v>5</v>
          </cell>
          <cell r="I102">
            <v>5</v>
          </cell>
          <cell r="J102">
            <v>6</v>
          </cell>
          <cell r="K102">
            <v>7</v>
          </cell>
          <cell r="L102">
            <v>5</v>
          </cell>
          <cell r="M102">
            <v>8</v>
          </cell>
          <cell r="P102">
            <v>0</v>
          </cell>
          <cell r="Q102">
            <v>0</v>
          </cell>
          <cell r="R102">
            <v>196</v>
          </cell>
          <cell r="S102">
            <v>252</v>
          </cell>
          <cell r="T102">
            <v>472</v>
          </cell>
          <cell r="U102">
            <v>397</v>
          </cell>
          <cell r="V102">
            <v>487</v>
          </cell>
          <cell r="W102">
            <v>533</v>
          </cell>
          <cell r="X102">
            <v>433</v>
          </cell>
          <cell r="Y102">
            <v>663</v>
          </cell>
          <cell r="Z102">
            <v>16</v>
          </cell>
          <cell r="AA102">
            <v>1356</v>
          </cell>
          <cell r="AB102">
            <v>9</v>
          </cell>
          <cell r="AC102">
            <v>767</v>
          </cell>
          <cell r="AD102">
            <v>3</v>
          </cell>
          <cell r="AE102">
            <v>219</v>
          </cell>
          <cell r="AF102">
            <v>3</v>
          </cell>
          <cell r="AG102">
            <v>215</v>
          </cell>
        </row>
        <row r="103">
          <cell r="A103" t="str">
            <v>Suburban Lodge</v>
          </cell>
          <cell r="D103">
            <v>3</v>
          </cell>
          <cell r="E103">
            <v>5</v>
          </cell>
          <cell r="F103">
            <v>3</v>
          </cell>
          <cell r="G103">
            <v>1</v>
          </cell>
          <cell r="H103">
            <v>10</v>
          </cell>
          <cell r="I103">
            <v>9</v>
          </cell>
          <cell r="J103">
            <v>9</v>
          </cell>
          <cell r="K103">
            <v>7</v>
          </cell>
          <cell r="L103">
            <v>5</v>
          </cell>
          <cell r="M103">
            <v>6</v>
          </cell>
          <cell r="P103">
            <v>412</v>
          </cell>
          <cell r="Q103">
            <v>859</v>
          </cell>
          <cell r="R103">
            <v>403</v>
          </cell>
          <cell r="S103">
            <v>149</v>
          </cell>
          <cell r="T103">
            <v>1270</v>
          </cell>
          <cell r="U103">
            <v>1217</v>
          </cell>
          <cell r="V103">
            <v>1238</v>
          </cell>
          <cell r="W103">
            <v>942</v>
          </cell>
          <cell r="X103">
            <v>706</v>
          </cell>
          <cell r="Y103">
            <v>809</v>
          </cell>
          <cell r="Z103">
            <v>19</v>
          </cell>
          <cell r="AA103">
            <v>2547</v>
          </cell>
          <cell r="AB103">
            <v>6</v>
          </cell>
          <cell r="AC103">
            <v>831</v>
          </cell>
          <cell r="AD103">
            <v>2</v>
          </cell>
          <cell r="AE103">
            <v>275</v>
          </cell>
          <cell r="AF103">
            <v>4</v>
          </cell>
          <cell r="AG103">
            <v>544</v>
          </cell>
        </row>
        <row r="104">
          <cell r="A104" t="str">
            <v>Suite Carolina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69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5">
          <cell r="A105" t="str">
            <v>Summerfield Suites by Wyndham</v>
          </cell>
          <cell r="D105">
            <v>0</v>
          </cell>
          <cell r="E105">
            <v>2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1</v>
          </cell>
          <cell r="K105">
            <v>1</v>
          </cell>
          <cell r="L105">
            <v>1</v>
          </cell>
          <cell r="M105">
            <v>0</v>
          </cell>
          <cell r="P105">
            <v>0</v>
          </cell>
          <cell r="Q105">
            <v>291</v>
          </cell>
          <cell r="R105">
            <v>157</v>
          </cell>
          <cell r="S105">
            <v>0</v>
          </cell>
          <cell r="T105">
            <v>0</v>
          </cell>
          <cell r="U105">
            <v>0</v>
          </cell>
          <cell r="V105">
            <v>164</v>
          </cell>
          <cell r="W105">
            <v>102</v>
          </cell>
          <cell r="X105">
            <v>128</v>
          </cell>
          <cell r="Y105">
            <v>0</v>
          </cell>
          <cell r="Z105">
            <v>0</v>
          </cell>
          <cell r="AA105">
            <v>0</v>
          </cell>
          <cell r="AB105">
            <v>1</v>
          </cell>
          <cell r="AC105">
            <v>133</v>
          </cell>
          <cell r="AD105">
            <v>3</v>
          </cell>
          <cell r="AE105">
            <v>423</v>
          </cell>
          <cell r="AF105">
            <v>0</v>
          </cell>
          <cell r="AG105">
            <v>0</v>
          </cell>
        </row>
        <row r="106">
          <cell r="A106" t="str">
            <v>Sumner Suites</v>
          </cell>
          <cell r="D106">
            <v>0</v>
          </cell>
          <cell r="E106">
            <v>0</v>
          </cell>
          <cell r="F106">
            <v>1</v>
          </cell>
          <cell r="G106">
            <v>0</v>
          </cell>
          <cell r="H106">
            <v>2</v>
          </cell>
          <cell r="I106">
            <v>1</v>
          </cell>
          <cell r="J106">
            <v>1</v>
          </cell>
          <cell r="K106">
            <v>4</v>
          </cell>
          <cell r="L106">
            <v>0</v>
          </cell>
          <cell r="M106">
            <v>1</v>
          </cell>
          <cell r="P106">
            <v>0</v>
          </cell>
          <cell r="Q106">
            <v>0</v>
          </cell>
          <cell r="R106">
            <v>135</v>
          </cell>
          <cell r="S106">
            <v>0</v>
          </cell>
          <cell r="T106">
            <v>270</v>
          </cell>
          <cell r="U106">
            <v>124</v>
          </cell>
          <cell r="V106">
            <v>135</v>
          </cell>
          <cell r="W106">
            <v>483</v>
          </cell>
          <cell r="X106">
            <v>0</v>
          </cell>
          <cell r="Y106">
            <v>135</v>
          </cell>
          <cell r="Z106">
            <v>1</v>
          </cell>
          <cell r="AA106">
            <v>126</v>
          </cell>
          <cell r="AB106">
            <v>2</v>
          </cell>
          <cell r="AC106">
            <v>247</v>
          </cell>
          <cell r="AD106">
            <v>1</v>
          </cell>
          <cell r="AE106">
            <v>117</v>
          </cell>
          <cell r="AF106">
            <v>1</v>
          </cell>
          <cell r="AG106">
            <v>100</v>
          </cell>
        </row>
        <row r="107">
          <cell r="A107" t="str">
            <v>Sun Suites</v>
          </cell>
          <cell r="D107">
            <v>1</v>
          </cell>
          <cell r="E107">
            <v>0</v>
          </cell>
          <cell r="F107">
            <v>1</v>
          </cell>
          <cell r="G107">
            <v>1</v>
          </cell>
          <cell r="H107">
            <v>0</v>
          </cell>
          <cell r="I107">
            <v>4</v>
          </cell>
          <cell r="J107">
            <v>2</v>
          </cell>
          <cell r="K107">
            <v>0</v>
          </cell>
          <cell r="L107">
            <v>2</v>
          </cell>
          <cell r="M107">
            <v>0</v>
          </cell>
          <cell r="P107">
            <v>135</v>
          </cell>
          <cell r="Q107">
            <v>0</v>
          </cell>
          <cell r="R107">
            <v>141</v>
          </cell>
          <cell r="S107">
            <v>135</v>
          </cell>
          <cell r="T107">
            <v>0</v>
          </cell>
          <cell r="U107">
            <v>540</v>
          </cell>
          <cell r="V107">
            <v>247</v>
          </cell>
          <cell r="W107">
            <v>0</v>
          </cell>
          <cell r="X107">
            <v>254</v>
          </cell>
          <cell r="Y107">
            <v>0</v>
          </cell>
          <cell r="Z107">
            <v>0</v>
          </cell>
          <cell r="AA107">
            <v>0</v>
          </cell>
          <cell r="AB107">
            <v>1</v>
          </cell>
          <cell r="AC107">
            <v>100</v>
          </cell>
          <cell r="AD107">
            <v>2</v>
          </cell>
          <cell r="AE107">
            <v>259</v>
          </cell>
          <cell r="AF107">
            <v>0</v>
          </cell>
          <cell r="AG107">
            <v>0</v>
          </cell>
        </row>
        <row r="108">
          <cell r="A108" t="str">
            <v>Super 8</v>
          </cell>
          <cell r="D108">
            <v>20</v>
          </cell>
          <cell r="E108">
            <v>10</v>
          </cell>
          <cell r="F108">
            <v>19</v>
          </cell>
          <cell r="G108">
            <v>10</v>
          </cell>
          <cell r="H108">
            <v>13</v>
          </cell>
          <cell r="I108">
            <v>29</v>
          </cell>
          <cell r="J108">
            <v>16</v>
          </cell>
          <cell r="K108">
            <v>22</v>
          </cell>
          <cell r="L108">
            <v>20</v>
          </cell>
          <cell r="M108">
            <v>5</v>
          </cell>
          <cell r="P108">
            <v>1045</v>
          </cell>
          <cell r="Q108">
            <v>470</v>
          </cell>
          <cell r="R108">
            <v>1044</v>
          </cell>
          <cell r="S108">
            <v>523</v>
          </cell>
          <cell r="T108">
            <v>656</v>
          </cell>
          <cell r="U108">
            <v>1424</v>
          </cell>
          <cell r="V108">
            <v>878</v>
          </cell>
          <cell r="W108">
            <v>1169</v>
          </cell>
          <cell r="X108">
            <v>1087</v>
          </cell>
          <cell r="Y108">
            <v>312</v>
          </cell>
          <cell r="Z108">
            <v>1</v>
          </cell>
          <cell r="AA108">
            <v>65</v>
          </cell>
          <cell r="AB108">
            <v>18</v>
          </cell>
          <cell r="AC108">
            <v>908</v>
          </cell>
          <cell r="AD108">
            <v>30</v>
          </cell>
          <cell r="AE108">
            <v>1544</v>
          </cell>
          <cell r="AF108">
            <v>19</v>
          </cell>
          <cell r="AG108">
            <v>1120</v>
          </cell>
        </row>
        <row r="109">
          <cell r="A109" t="str">
            <v>Susse Chalet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</row>
        <row r="110">
          <cell r="A110" t="str">
            <v>Swissotel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</row>
        <row r="111">
          <cell r="A111" t="str">
            <v>TownePlace Suites</v>
          </cell>
          <cell r="D111">
            <v>5</v>
          </cell>
          <cell r="E111">
            <v>7</v>
          </cell>
          <cell r="F111">
            <v>13</v>
          </cell>
          <cell r="G111">
            <v>8</v>
          </cell>
          <cell r="H111">
            <v>13</v>
          </cell>
          <cell r="I111">
            <v>11</v>
          </cell>
          <cell r="J111">
            <v>7</v>
          </cell>
          <cell r="K111">
            <v>2</v>
          </cell>
          <cell r="L111">
            <v>3</v>
          </cell>
          <cell r="M111">
            <v>4</v>
          </cell>
          <cell r="P111">
            <v>490</v>
          </cell>
          <cell r="Q111">
            <v>683</v>
          </cell>
          <cell r="R111">
            <v>1293</v>
          </cell>
          <cell r="S111">
            <v>766</v>
          </cell>
          <cell r="T111">
            <v>1322</v>
          </cell>
          <cell r="U111">
            <v>1126</v>
          </cell>
          <cell r="V111">
            <v>705</v>
          </cell>
          <cell r="W111">
            <v>214</v>
          </cell>
          <cell r="X111">
            <v>288</v>
          </cell>
          <cell r="Y111">
            <v>399</v>
          </cell>
          <cell r="Z111">
            <v>1</v>
          </cell>
          <cell r="AA111">
            <v>89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95</v>
          </cell>
        </row>
        <row r="112">
          <cell r="A112" t="str">
            <v>Travelodge</v>
          </cell>
          <cell r="D112">
            <v>2</v>
          </cell>
          <cell r="E112">
            <v>1</v>
          </cell>
          <cell r="F112">
            <v>1</v>
          </cell>
          <cell r="G112">
            <v>3</v>
          </cell>
          <cell r="H112">
            <v>3</v>
          </cell>
          <cell r="I112">
            <v>4</v>
          </cell>
          <cell r="J112">
            <v>0</v>
          </cell>
          <cell r="K112">
            <v>1</v>
          </cell>
          <cell r="L112">
            <v>3</v>
          </cell>
          <cell r="M112">
            <v>1</v>
          </cell>
          <cell r="P112">
            <v>130</v>
          </cell>
          <cell r="Q112">
            <v>40</v>
          </cell>
          <cell r="R112">
            <v>51</v>
          </cell>
          <cell r="S112">
            <v>182</v>
          </cell>
          <cell r="T112">
            <v>198</v>
          </cell>
          <cell r="U112">
            <v>205</v>
          </cell>
          <cell r="V112">
            <v>0</v>
          </cell>
          <cell r="W112">
            <v>38</v>
          </cell>
          <cell r="X112">
            <v>236</v>
          </cell>
          <cell r="Y112">
            <v>177</v>
          </cell>
          <cell r="Z112">
            <v>4</v>
          </cell>
          <cell r="AA112">
            <v>181</v>
          </cell>
          <cell r="AB112">
            <v>4</v>
          </cell>
          <cell r="AC112">
            <v>203</v>
          </cell>
          <cell r="AD112">
            <v>4</v>
          </cell>
          <cell r="AE112">
            <v>190</v>
          </cell>
          <cell r="AF112">
            <v>4</v>
          </cell>
          <cell r="AG112">
            <v>279</v>
          </cell>
        </row>
        <row r="113">
          <cell r="A113" t="str">
            <v>Vagabond Inn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</row>
        <row r="114">
          <cell r="A114" t="str">
            <v>Villager Lodge</v>
          </cell>
          <cell r="D114">
            <v>1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P114">
            <v>40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2</v>
          </cell>
          <cell r="AA114">
            <v>136</v>
          </cell>
          <cell r="AB114">
            <v>0</v>
          </cell>
          <cell r="AC114">
            <v>0</v>
          </cell>
          <cell r="AD114">
            <v>1</v>
          </cell>
          <cell r="AE114">
            <v>33</v>
          </cell>
          <cell r="AF114">
            <v>1</v>
          </cell>
          <cell r="AG114">
            <v>182</v>
          </cell>
        </row>
        <row r="115">
          <cell r="A115" t="str">
            <v>W Hotel</v>
          </cell>
          <cell r="D115">
            <v>0</v>
          </cell>
          <cell r="E115">
            <v>0</v>
          </cell>
          <cell r="F115">
            <v>0</v>
          </cell>
          <cell r="G115">
            <v>1</v>
          </cell>
          <cell r="H115">
            <v>1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426</v>
          </cell>
          <cell r="T115">
            <v>423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</row>
        <row r="116">
          <cell r="A116" t="str">
            <v>Wellesley Inn</v>
          </cell>
          <cell r="D116">
            <v>0</v>
          </cell>
          <cell r="E116">
            <v>0</v>
          </cell>
          <cell r="F116">
            <v>1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P116">
            <v>0</v>
          </cell>
          <cell r="Q116">
            <v>0</v>
          </cell>
          <cell r="R116">
            <v>87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</row>
        <row r="117">
          <cell r="A117" t="str">
            <v>Westin  Hotel</v>
          </cell>
          <cell r="D117">
            <v>2</v>
          </cell>
          <cell r="E117">
            <v>0</v>
          </cell>
          <cell r="F117">
            <v>2</v>
          </cell>
          <cell r="G117">
            <v>1</v>
          </cell>
          <cell r="H117">
            <v>1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P117">
            <v>554</v>
          </cell>
          <cell r="Q117">
            <v>0</v>
          </cell>
          <cell r="R117">
            <v>877</v>
          </cell>
          <cell r="S117">
            <v>205</v>
          </cell>
          <cell r="T117">
            <v>508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</row>
        <row r="118">
          <cell r="A118" t="str">
            <v>Wilson Inn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111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A119" t="str">
            <v>Wingate Inn</v>
          </cell>
          <cell r="D119">
            <v>5</v>
          </cell>
          <cell r="E119">
            <v>9</v>
          </cell>
          <cell r="F119">
            <v>6</v>
          </cell>
          <cell r="G119">
            <v>6</v>
          </cell>
          <cell r="H119">
            <v>5</v>
          </cell>
          <cell r="I119">
            <v>6</v>
          </cell>
          <cell r="J119">
            <v>8</v>
          </cell>
          <cell r="K119">
            <v>8</v>
          </cell>
          <cell r="L119">
            <v>6</v>
          </cell>
          <cell r="M119">
            <v>8</v>
          </cell>
          <cell r="P119">
            <v>446</v>
          </cell>
          <cell r="Q119">
            <v>898</v>
          </cell>
          <cell r="R119">
            <v>572</v>
          </cell>
          <cell r="S119">
            <v>528</v>
          </cell>
          <cell r="T119">
            <v>483</v>
          </cell>
          <cell r="U119">
            <v>540</v>
          </cell>
          <cell r="V119">
            <v>748</v>
          </cell>
          <cell r="W119">
            <v>771</v>
          </cell>
          <cell r="X119">
            <v>505</v>
          </cell>
          <cell r="Y119">
            <v>784</v>
          </cell>
          <cell r="Z119">
            <v>6</v>
          </cell>
          <cell r="AA119">
            <v>567</v>
          </cell>
          <cell r="AB119">
            <v>7</v>
          </cell>
          <cell r="AC119">
            <v>660</v>
          </cell>
          <cell r="AD119">
            <v>2</v>
          </cell>
          <cell r="AE119">
            <v>184</v>
          </cell>
          <cell r="AF119">
            <v>3</v>
          </cell>
          <cell r="AG119">
            <v>242</v>
          </cell>
        </row>
        <row r="120">
          <cell r="A120" t="str">
            <v>Woodfield Suites</v>
          </cell>
          <cell r="D120">
            <v>0</v>
          </cell>
          <cell r="E120">
            <v>0</v>
          </cell>
          <cell r="F120">
            <v>1</v>
          </cell>
          <cell r="G120">
            <v>0</v>
          </cell>
          <cell r="H120">
            <v>0</v>
          </cell>
          <cell r="I120">
            <v>1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P120">
            <v>0</v>
          </cell>
          <cell r="Q120">
            <v>0</v>
          </cell>
          <cell r="R120">
            <v>155</v>
          </cell>
          <cell r="S120">
            <v>0</v>
          </cell>
          <cell r="T120">
            <v>0</v>
          </cell>
          <cell r="U120">
            <v>127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</v>
          </cell>
          <cell r="AC120">
            <v>120</v>
          </cell>
          <cell r="AD120">
            <v>0</v>
          </cell>
          <cell r="AE120">
            <v>0</v>
          </cell>
          <cell r="AF120">
            <v>1</v>
          </cell>
          <cell r="AG120">
            <v>151</v>
          </cell>
        </row>
        <row r="121">
          <cell r="A121" t="str">
            <v>Woodfin Suites</v>
          </cell>
          <cell r="D121">
            <v>0</v>
          </cell>
          <cell r="E121">
            <v>0</v>
          </cell>
          <cell r="F121">
            <v>1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P121">
            <v>0</v>
          </cell>
          <cell r="Q121">
            <v>0</v>
          </cell>
          <cell r="R121">
            <v>156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 t="str">
            <v xml:space="preserve">Wyndham Garden </v>
          </cell>
          <cell r="D122">
            <v>0</v>
          </cell>
          <cell r="E122">
            <v>0</v>
          </cell>
          <cell r="F122">
            <v>1</v>
          </cell>
          <cell r="G122">
            <v>0</v>
          </cell>
          <cell r="H122">
            <v>1</v>
          </cell>
          <cell r="I122">
            <v>0</v>
          </cell>
          <cell r="J122">
            <v>1</v>
          </cell>
          <cell r="K122">
            <v>1</v>
          </cell>
          <cell r="L122">
            <v>0</v>
          </cell>
          <cell r="M122">
            <v>0</v>
          </cell>
          <cell r="P122">
            <v>0</v>
          </cell>
          <cell r="Q122">
            <v>0</v>
          </cell>
          <cell r="R122">
            <v>180</v>
          </cell>
          <cell r="S122">
            <v>0</v>
          </cell>
          <cell r="T122">
            <v>210</v>
          </cell>
          <cell r="U122">
            <v>0</v>
          </cell>
          <cell r="V122">
            <v>197</v>
          </cell>
          <cell r="W122">
            <v>198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3</v>
          </cell>
          <cell r="AE122">
            <v>543</v>
          </cell>
          <cell r="AF122">
            <v>0</v>
          </cell>
          <cell r="AG122">
            <v>0</v>
          </cell>
        </row>
        <row r="123">
          <cell r="A123" t="str">
            <v>Wyndham Hotel</v>
          </cell>
          <cell r="D123">
            <v>0</v>
          </cell>
          <cell r="E123">
            <v>0</v>
          </cell>
          <cell r="F123">
            <v>0</v>
          </cell>
          <cell r="G123">
            <v>1</v>
          </cell>
          <cell r="H123">
            <v>1</v>
          </cell>
          <cell r="I123">
            <v>0</v>
          </cell>
          <cell r="J123">
            <v>1</v>
          </cell>
          <cell r="K123">
            <v>0</v>
          </cell>
          <cell r="L123">
            <v>0</v>
          </cell>
          <cell r="M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362</v>
          </cell>
          <cell r="T123">
            <v>418</v>
          </cell>
          <cell r="U123">
            <v>0</v>
          </cell>
          <cell r="V123">
            <v>116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 t="str">
            <v>zIndependent Hotel</v>
          </cell>
          <cell r="D124">
            <v>19</v>
          </cell>
          <cell r="E124">
            <v>22</v>
          </cell>
          <cell r="F124">
            <v>13</v>
          </cell>
          <cell r="G124">
            <v>23</v>
          </cell>
          <cell r="H124">
            <v>27</v>
          </cell>
          <cell r="I124">
            <v>22</v>
          </cell>
          <cell r="J124">
            <v>30</v>
          </cell>
          <cell r="K124">
            <v>25</v>
          </cell>
          <cell r="L124">
            <v>30</v>
          </cell>
          <cell r="M124">
            <v>11</v>
          </cell>
          <cell r="P124">
            <v>2313</v>
          </cell>
          <cell r="Q124">
            <v>2498</v>
          </cell>
          <cell r="R124">
            <v>1597</v>
          </cell>
          <cell r="S124">
            <v>3535</v>
          </cell>
          <cell r="T124">
            <v>2891</v>
          </cell>
          <cell r="U124">
            <v>4696</v>
          </cell>
          <cell r="V124">
            <v>3465</v>
          </cell>
          <cell r="W124">
            <v>2945</v>
          </cell>
          <cell r="X124">
            <v>3526</v>
          </cell>
          <cell r="Y124">
            <v>1209</v>
          </cell>
          <cell r="Z124">
            <v>12</v>
          </cell>
          <cell r="AA124">
            <v>1323</v>
          </cell>
          <cell r="AB124">
            <v>20</v>
          </cell>
          <cell r="AC124">
            <v>3748</v>
          </cell>
          <cell r="AD124">
            <v>31</v>
          </cell>
          <cell r="AE124">
            <v>3739</v>
          </cell>
          <cell r="AF124">
            <v>14</v>
          </cell>
          <cell r="AG124">
            <v>1399</v>
          </cell>
        </row>
      </sheetData>
      <sheetData sheetId="1" refreshError="1">
        <row r="5">
          <cell r="A5" t="str">
            <v>Adam's Mark</v>
          </cell>
          <cell r="F5">
            <v>1</v>
          </cell>
          <cell r="G5">
            <v>415</v>
          </cell>
          <cell r="H5">
            <v>2</v>
          </cell>
          <cell r="I5">
            <v>825</v>
          </cell>
          <cell r="J5">
            <v>1</v>
          </cell>
          <cell r="K5">
            <v>1339</v>
          </cell>
          <cell r="L5">
            <v>1</v>
          </cell>
          <cell r="M5">
            <v>13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-</v>
          </cell>
        </row>
        <row r="6">
          <cell r="A6" t="str">
            <v>AFFILIATION UNDETERMINED</v>
          </cell>
          <cell r="F6">
            <v>41</v>
          </cell>
          <cell r="G6">
            <v>12554</v>
          </cell>
          <cell r="J6">
            <v>0</v>
          </cell>
          <cell r="K6">
            <v>0</v>
          </cell>
        </row>
        <row r="7">
          <cell r="A7" t="str">
            <v>AmericInn</v>
          </cell>
          <cell r="B7">
            <v>4</v>
          </cell>
          <cell r="C7">
            <v>5</v>
          </cell>
          <cell r="D7">
            <v>7</v>
          </cell>
          <cell r="E7">
            <v>8</v>
          </cell>
          <cell r="F7">
            <v>24</v>
          </cell>
          <cell r="G7">
            <v>1166</v>
          </cell>
          <cell r="H7">
            <v>12</v>
          </cell>
          <cell r="I7">
            <v>588</v>
          </cell>
          <cell r="J7">
            <v>21</v>
          </cell>
          <cell r="K7">
            <v>1210</v>
          </cell>
          <cell r="L7">
            <v>18</v>
          </cell>
          <cell r="M7">
            <v>972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</row>
        <row r="8">
          <cell r="A8" t="str">
            <v>AmeriHost Inn</v>
          </cell>
          <cell r="F8">
            <v>18</v>
          </cell>
          <cell r="G8">
            <v>1086</v>
          </cell>
          <cell r="H8">
            <v>23</v>
          </cell>
          <cell r="I8">
            <v>1421</v>
          </cell>
          <cell r="J8">
            <v>10</v>
          </cell>
          <cell r="K8">
            <v>639</v>
          </cell>
          <cell r="L8">
            <v>6</v>
          </cell>
          <cell r="M8">
            <v>383</v>
          </cell>
          <cell r="N8" t="str">
            <v>-</v>
          </cell>
          <cell r="O8" t="str">
            <v>-</v>
          </cell>
          <cell r="P8" t="str">
            <v>-</v>
          </cell>
          <cell r="Q8" t="str">
            <v>-</v>
          </cell>
          <cell r="R8" t="str">
            <v>-</v>
          </cell>
          <cell r="S8" t="str">
            <v>-</v>
          </cell>
          <cell r="T8" t="str">
            <v>-</v>
          </cell>
          <cell r="U8" t="str">
            <v>-</v>
          </cell>
        </row>
        <row r="9">
          <cell r="A9" t="str">
            <v>AmeriSuites</v>
          </cell>
          <cell r="B9">
            <v>2</v>
          </cell>
          <cell r="C9">
            <v>1</v>
          </cell>
          <cell r="D9">
            <v>4</v>
          </cell>
          <cell r="E9">
            <v>2</v>
          </cell>
          <cell r="F9">
            <v>15</v>
          </cell>
          <cell r="G9">
            <v>1857</v>
          </cell>
          <cell r="H9">
            <v>44</v>
          </cell>
          <cell r="I9">
            <v>4925</v>
          </cell>
          <cell r="J9">
            <v>20</v>
          </cell>
          <cell r="K9">
            <v>2721</v>
          </cell>
          <cell r="L9">
            <v>13</v>
          </cell>
          <cell r="M9">
            <v>1655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 t="str">
            <v>-</v>
          </cell>
        </row>
        <row r="10">
          <cell r="A10" t="str">
            <v>Baymont Inn</v>
          </cell>
          <cell r="B10">
            <v>6</v>
          </cell>
          <cell r="C10">
            <v>5</v>
          </cell>
          <cell r="D10">
            <v>6</v>
          </cell>
          <cell r="E10">
            <v>13</v>
          </cell>
          <cell r="F10">
            <v>17</v>
          </cell>
          <cell r="G10">
            <v>1712</v>
          </cell>
          <cell r="H10">
            <v>15</v>
          </cell>
          <cell r="I10">
            <v>1339</v>
          </cell>
          <cell r="J10">
            <v>12</v>
          </cell>
          <cell r="K10">
            <v>1088</v>
          </cell>
          <cell r="L10">
            <v>14</v>
          </cell>
          <cell r="M10">
            <v>1132</v>
          </cell>
          <cell r="N10" t="str">
            <v>-</v>
          </cell>
          <cell r="O10" t="str">
            <v>-</v>
          </cell>
          <cell r="P10" t="str">
            <v>-</v>
          </cell>
          <cell r="Q10" t="str">
            <v>-</v>
          </cell>
          <cell r="R10" t="str">
            <v>-</v>
          </cell>
          <cell r="S10" t="str">
            <v>-</v>
          </cell>
          <cell r="T10" t="str">
            <v>-</v>
          </cell>
          <cell r="U10" t="str">
            <v>-</v>
          </cell>
        </row>
        <row r="11">
          <cell r="A11" t="str">
            <v>Best Inn &amp; Suites</v>
          </cell>
          <cell r="F11">
            <v>3</v>
          </cell>
          <cell r="G11">
            <v>277</v>
          </cell>
          <cell r="L11">
            <v>8</v>
          </cell>
          <cell r="M11">
            <v>617</v>
          </cell>
          <cell r="N11" t="str">
            <v>-</v>
          </cell>
          <cell r="O11" t="str">
            <v>-</v>
          </cell>
          <cell r="P11" t="str">
            <v>-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-</v>
          </cell>
        </row>
        <row r="12">
          <cell r="A12" t="str">
            <v>Best Western</v>
          </cell>
          <cell r="B12">
            <v>25</v>
          </cell>
          <cell r="C12">
            <v>34</v>
          </cell>
          <cell r="D12">
            <v>34</v>
          </cell>
          <cell r="E12">
            <v>51</v>
          </cell>
          <cell r="F12">
            <v>49</v>
          </cell>
          <cell r="G12">
            <v>2990</v>
          </cell>
          <cell r="H12">
            <v>80</v>
          </cell>
          <cell r="I12">
            <v>4659</v>
          </cell>
          <cell r="J12">
            <v>50</v>
          </cell>
          <cell r="K12">
            <v>3330</v>
          </cell>
          <cell r="L12">
            <v>53</v>
          </cell>
          <cell r="M12">
            <v>3286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-</v>
          </cell>
          <cell r="R12" t="str">
            <v>-</v>
          </cell>
          <cell r="S12" t="str">
            <v>-</v>
          </cell>
          <cell r="T12" t="str">
            <v>-</v>
          </cell>
          <cell r="U12" t="str">
            <v>-</v>
          </cell>
        </row>
        <row r="13">
          <cell r="A13" t="str">
            <v>Bradford Homesuites</v>
          </cell>
          <cell r="H13">
            <v>3</v>
          </cell>
          <cell r="I13">
            <v>394</v>
          </cell>
          <cell r="J13">
            <v>1</v>
          </cell>
          <cell r="K13">
            <v>121</v>
          </cell>
          <cell r="L13">
            <v>2</v>
          </cell>
          <cell r="M13">
            <v>261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</row>
        <row r="14">
          <cell r="A14" t="str">
            <v>Bradford Homesuites**</v>
          </cell>
          <cell r="L14">
            <v>2</v>
          </cell>
          <cell r="M14">
            <v>261</v>
          </cell>
        </row>
        <row r="15">
          <cell r="A15" t="str">
            <v>Budget Host</v>
          </cell>
          <cell r="F15">
            <v>1</v>
          </cell>
          <cell r="G15">
            <v>27</v>
          </cell>
          <cell r="L15">
            <v>2</v>
          </cell>
          <cell r="M15">
            <v>35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</row>
        <row r="16">
          <cell r="A16" t="str">
            <v>Budget Inn</v>
          </cell>
          <cell r="L16">
            <v>1</v>
          </cell>
          <cell r="M16">
            <v>24</v>
          </cell>
        </row>
        <row r="17">
          <cell r="A17" t="str">
            <v>Budget Suites of America</v>
          </cell>
          <cell r="J17">
            <v>2</v>
          </cell>
          <cell r="K17">
            <v>636</v>
          </cell>
          <cell r="L17">
            <v>7</v>
          </cell>
          <cell r="M17">
            <v>2454</v>
          </cell>
          <cell r="N17" t="str">
            <v>-</v>
          </cell>
          <cell r="O17" t="str">
            <v>-</v>
          </cell>
          <cell r="P17" t="str">
            <v>-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-</v>
          </cell>
        </row>
        <row r="18">
          <cell r="A18" t="str">
            <v>Candlewood Suites</v>
          </cell>
          <cell r="F18">
            <v>1</v>
          </cell>
          <cell r="G18">
            <v>107</v>
          </cell>
          <cell r="H18">
            <v>21</v>
          </cell>
          <cell r="I18">
            <v>2029</v>
          </cell>
          <cell r="J18">
            <v>47</v>
          </cell>
          <cell r="K18">
            <v>5566</v>
          </cell>
          <cell r="L18">
            <v>13</v>
          </cell>
          <cell r="M18">
            <v>1582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</row>
        <row r="19">
          <cell r="A19" t="str">
            <v>CASINOS</v>
          </cell>
          <cell r="B19" t="str">
            <v>-NA-</v>
          </cell>
          <cell r="C19" t="str">
            <v>-NA-</v>
          </cell>
          <cell r="D19" t="str">
            <v>-NA-</v>
          </cell>
          <cell r="E19" t="str">
            <v>-NA-</v>
          </cell>
          <cell r="F19">
            <v>4</v>
          </cell>
          <cell r="G19">
            <v>3962</v>
          </cell>
          <cell r="H19">
            <v>6</v>
          </cell>
          <cell r="I19">
            <v>4715</v>
          </cell>
          <cell r="J19">
            <v>13</v>
          </cell>
          <cell r="K19">
            <v>7301</v>
          </cell>
          <cell r="L19">
            <v>12</v>
          </cell>
          <cell r="M19">
            <v>13668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</row>
        <row r="20">
          <cell r="A20" t="str">
            <v>Clarion</v>
          </cell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49</v>
          </cell>
          <cell r="H20">
            <v>4</v>
          </cell>
          <cell r="I20">
            <v>430</v>
          </cell>
          <cell r="J20">
            <v>4</v>
          </cell>
          <cell r="K20">
            <v>436</v>
          </cell>
          <cell r="L20">
            <v>2</v>
          </cell>
          <cell r="M20">
            <v>163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</row>
        <row r="21">
          <cell r="A21" t="str">
            <v>Club Hotel by Doubletree</v>
          </cell>
          <cell r="F21">
            <v>1</v>
          </cell>
          <cell r="G21">
            <v>200</v>
          </cell>
          <cell r="H21">
            <v>1</v>
          </cell>
          <cell r="I21">
            <v>200</v>
          </cell>
          <cell r="J21">
            <v>4</v>
          </cell>
          <cell r="K21">
            <v>841</v>
          </cell>
          <cell r="L21">
            <v>3</v>
          </cell>
          <cell r="M21">
            <v>603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</row>
        <row r="22">
          <cell r="A22" t="str">
            <v>Comfort Inn</v>
          </cell>
          <cell r="B22">
            <v>60</v>
          </cell>
          <cell r="C22">
            <v>60</v>
          </cell>
          <cell r="D22">
            <v>73</v>
          </cell>
          <cell r="E22">
            <v>85</v>
          </cell>
          <cell r="F22">
            <v>98</v>
          </cell>
          <cell r="G22">
            <v>5943</v>
          </cell>
          <cell r="H22">
            <v>67</v>
          </cell>
          <cell r="I22">
            <v>3936</v>
          </cell>
          <cell r="J22">
            <v>39</v>
          </cell>
          <cell r="K22">
            <v>2429</v>
          </cell>
          <cell r="L22">
            <v>50</v>
          </cell>
          <cell r="M22">
            <v>3211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</row>
        <row r="23">
          <cell r="A23" t="str">
            <v>Comfort Suites</v>
          </cell>
          <cell r="F23">
            <v>26</v>
          </cell>
          <cell r="G23">
            <v>1760</v>
          </cell>
          <cell r="H23">
            <v>42</v>
          </cell>
          <cell r="I23">
            <v>3458</v>
          </cell>
          <cell r="J23">
            <v>29</v>
          </cell>
          <cell r="K23">
            <v>2217</v>
          </cell>
          <cell r="L23">
            <v>37</v>
          </cell>
          <cell r="M23">
            <v>2911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</row>
        <row r="24">
          <cell r="A24" t="str">
            <v>Country Hearth Inn</v>
          </cell>
          <cell r="E24">
            <v>1</v>
          </cell>
          <cell r="F24">
            <v>2</v>
          </cell>
          <cell r="G24">
            <v>101</v>
          </cell>
          <cell r="H24">
            <v>6</v>
          </cell>
          <cell r="I24">
            <v>312</v>
          </cell>
          <cell r="J24">
            <v>5</v>
          </cell>
          <cell r="K24">
            <v>254</v>
          </cell>
          <cell r="L24">
            <v>10</v>
          </cell>
          <cell r="M24">
            <v>477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</row>
        <row r="25">
          <cell r="A25" t="str">
            <v>Country Inn &amp; Suites</v>
          </cell>
          <cell r="B25">
            <v>1</v>
          </cell>
          <cell r="C25">
            <v>4</v>
          </cell>
          <cell r="D25">
            <v>7</v>
          </cell>
          <cell r="E25">
            <v>18</v>
          </cell>
          <cell r="F25">
            <v>19</v>
          </cell>
          <cell r="G25">
            <v>1147</v>
          </cell>
          <cell r="H25">
            <v>32</v>
          </cell>
          <cell r="I25">
            <v>2184</v>
          </cell>
          <cell r="J25">
            <v>43</v>
          </cell>
          <cell r="K25">
            <v>2938</v>
          </cell>
          <cell r="L25">
            <v>35</v>
          </cell>
          <cell r="M25">
            <v>2471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</row>
        <row r="26">
          <cell r="A26" t="str">
            <v>Courtyard by Marriott</v>
          </cell>
          <cell r="B26">
            <v>3</v>
          </cell>
          <cell r="C26">
            <v>2</v>
          </cell>
          <cell r="D26">
            <v>5</v>
          </cell>
          <cell r="E26">
            <v>15</v>
          </cell>
          <cell r="F26">
            <v>32</v>
          </cell>
          <cell r="G26">
            <v>3476</v>
          </cell>
          <cell r="H26">
            <v>49</v>
          </cell>
          <cell r="I26">
            <v>5240</v>
          </cell>
          <cell r="J26">
            <v>45</v>
          </cell>
          <cell r="K26">
            <v>5694</v>
          </cell>
          <cell r="L26">
            <v>50</v>
          </cell>
          <cell r="M26">
            <v>7353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</row>
        <row r="27">
          <cell r="A27" t="str">
            <v>Crossland Economy Studios</v>
          </cell>
          <cell r="H27">
            <v>6</v>
          </cell>
          <cell r="I27">
            <v>719</v>
          </cell>
          <cell r="J27">
            <v>30</v>
          </cell>
          <cell r="K27">
            <v>3860</v>
          </cell>
          <cell r="L27">
            <v>5</v>
          </cell>
          <cell r="M27">
            <v>663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</row>
        <row r="28">
          <cell r="A28" t="str">
            <v>Crowne Plaza</v>
          </cell>
          <cell r="D28">
            <v>1</v>
          </cell>
          <cell r="E28">
            <v>2</v>
          </cell>
          <cell r="F28">
            <v>1</v>
          </cell>
          <cell r="G28">
            <v>318</v>
          </cell>
          <cell r="H28">
            <v>1</v>
          </cell>
          <cell r="I28">
            <v>288</v>
          </cell>
          <cell r="J28">
            <v>3</v>
          </cell>
          <cell r="K28">
            <v>583</v>
          </cell>
          <cell r="L28">
            <v>1</v>
          </cell>
          <cell r="M28">
            <v>140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</row>
        <row r="29">
          <cell r="A29" t="str">
            <v>Days Inn</v>
          </cell>
          <cell r="B29">
            <v>45</v>
          </cell>
          <cell r="C29">
            <v>35</v>
          </cell>
          <cell r="D29">
            <v>43</v>
          </cell>
          <cell r="E29">
            <v>55</v>
          </cell>
          <cell r="F29">
            <v>44</v>
          </cell>
          <cell r="G29">
            <v>2221</v>
          </cell>
          <cell r="H29">
            <v>43</v>
          </cell>
          <cell r="I29">
            <v>2202</v>
          </cell>
          <cell r="J29">
            <v>27</v>
          </cell>
          <cell r="K29">
            <v>1595</v>
          </cell>
          <cell r="L29">
            <v>30</v>
          </cell>
          <cell r="M29">
            <v>1486</v>
          </cell>
          <cell r="N29" t="str">
            <v>-</v>
          </cell>
          <cell r="O29" t="str">
            <v>-</v>
          </cell>
          <cell r="P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</row>
        <row r="30">
          <cell r="A30" t="str">
            <v>Doubletree Guest Suites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-</v>
          </cell>
          <cell r="T30" t="str">
            <v>-</v>
          </cell>
          <cell r="U30" t="str">
            <v>-</v>
          </cell>
        </row>
        <row r="31">
          <cell r="A31" t="str">
            <v>Doubletree Hotel</v>
          </cell>
          <cell r="H31">
            <v>1</v>
          </cell>
          <cell r="I31">
            <v>388</v>
          </cell>
          <cell r="J31">
            <v>1</v>
          </cell>
          <cell r="K31">
            <v>210</v>
          </cell>
          <cell r="L31">
            <v>1</v>
          </cell>
          <cell r="M31">
            <v>252</v>
          </cell>
          <cell r="N31" t="str">
            <v>-</v>
          </cell>
          <cell r="O31" t="str">
            <v>-</v>
          </cell>
          <cell r="P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</row>
        <row r="32">
          <cell r="A32" t="str">
            <v>Drury Inn</v>
          </cell>
          <cell r="B32">
            <v>1</v>
          </cell>
          <cell r="C32">
            <v>3</v>
          </cell>
          <cell r="D32">
            <v>3</v>
          </cell>
          <cell r="E32">
            <v>5</v>
          </cell>
          <cell r="F32">
            <v>8</v>
          </cell>
          <cell r="G32">
            <v>1052</v>
          </cell>
          <cell r="H32">
            <v>7</v>
          </cell>
          <cell r="I32">
            <v>873</v>
          </cell>
          <cell r="J32">
            <v>3</v>
          </cell>
          <cell r="K32">
            <v>460</v>
          </cell>
          <cell r="L32">
            <v>3</v>
          </cell>
          <cell r="M32">
            <v>456</v>
          </cell>
          <cell r="N32" t="str">
            <v>-</v>
          </cell>
          <cell r="O32" t="str">
            <v>-</v>
          </cell>
          <cell r="P32" t="str">
            <v>-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-</v>
          </cell>
        </row>
        <row r="33">
          <cell r="A33" t="str">
            <v>Econo Lodge</v>
          </cell>
          <cell r="B33">
            <v>12</v>
          </cell>
          <cell r="C33">
            <v>7</v>
          </cell>
          <cell r="D33">
            <v>7</v>
          </cell>
          <cell r="E33">
            <v>5</v>
          </cell>
          <cell r="F33">
            <v>11</v>
          </cell>
          <cell r="G33">
            <v>597</v>
          </cell>
          <cell r="H33">
            <v>11</v>
          </cell>
          <cell r="I33">
            <v>546</v>
          </cell>
          <cell r="J33">
            <v>4</v>
          </cell>
          <cell r="K33">
            <v>223</v>
          </cell>
          <cell r="L33">
            <v>6</v>
          </cell>
          <cell r="M33">
            <v>256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</row>
        <row r="34">
          <cell r="A34" t="str">
            <v>Embassy Suites</v>
          </cell>
          <cell r="B34">
            <v>1</v>
          </cell>
          <cell r="C34">
            <v>1</v>
          </cell>
          <cell r="D34">
            <v>1</v>
          </cell>
          <cell r="E34">
            <v>2</v>
          </cell>
          <cell r="F34">
            <v>1</v>
          </cell>
          <cell r="G34">
            <v>153</v>
          </cell>
          <cell r="H34">
            <v>5</v>
          </cell>
          <cell r="I34">
            <v>1305</v>
          </cell>
          <cell r="J34">
            <v>7</v>
          </cell>
          <cell r="K34">
            <v>1264</v>
          </cell>
          <cell r="L34">
            <v>6</v>
          </cell>
          <cell r="M34">
            <v>1486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</row>
        <row r="35">
          <cell r="A35" t="str">
            <v>Extended Stay America</v>
          </cell>
          <cell r="F35">
            <v>30</v>
          </cell>
          <cell r="G35">
            <v>3870</v>
          </cell>
          <cell r="H35">
            <v>74</v>
          </cell>
          <cell r="I35">
            <v>8037</v>
          </cell>
          <cell r="J35">
            <v>68</v>
          </cell>
          <cell r="K35">
            <v>7340</v>
          </cell>
          <cell r="L35">
            <v>40</v>
          </cell>
          <cell r="M35">
            <v>4429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</row>
        <row r="36">
          <cell r="A36" t="str">
            <v>Fairfield Inn</v>
          </cell>
          <cell r="B36">
            <v>21</v>
          </cell>
          <cell r="C36">
            <v>13</v>
          </cell>
          <cell r="D36">
            <v>31</v>
          </cell>
          <cell r="E36">
            <v>59</v>
          </cell>
          <cell r="F36">
            <v>49</v>
          </cell>
          <cell r="G36">
            <v>4205</v>
          </cell>
          <cell r="H36">
            <v>57</v>
          </cell>
          <cell r="I36">
            <v>5029</v>
          </cell>
          <cell r="J36">
            <v>34</v>
          </cell>
          <cell r="K36">
            <v>3022</v>
          </cell>
          <cell r="L36">
            <v>35</v>
          </cell>
          <cell r="M36">
            <v>2928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</row>
        <row r="37">
          <cell r="A37" t="str">
            <v>Four Points Hotel</v>
          </cell>
          <cell r="J37">
            <v>4</v>
          </cell>
          <cell r="K37">
            <v>448</v>
          </cell>
          <cell r="L37">
            <v>1</v>
          </cell>
          <cell r="M37">
            <v>74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</row>
        <row r="38">
          <cell r="A38" t="str">
            <v>Four Seasons</v>
          </cell>
          <cell r="C38">
            <v>1</v>
          </cell>
          <cell r="F38">
            <v>1</v>
          </cell>
          <cell r="G38">
            <v>243</v>
          </cell>
          <cell r="H38">
            <v>1</v>
          </cell>
          <cell r="I38">
            <v>571</v>
          </cell>
          <cell r="L38">
            <v>2</v>
          </cell>
          <cell r="M38">
            <v>634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</row>
        <row r="39">
          <cell r="A39" t="str">
            <v>Grand Bay Hotel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</row>
        <row r="40">
          <cell r="A40" t="str">
            <v>GuestHouse Inn</v>
          </cell>
          <cell r="F40">
            <v>2</v>
          </cell>
          <cell r="G40">
            <v>307</v>
          </cell>
          <cell r="J40">
            <v>3</v>
          </cell>
          <cell r="K40">
            <v>227</v>
          </cell>
          <cell r="L40">
            <v>5</v>
          </cell>
          <cell r="M40">
            <v>261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</row>
        <row r="41">
          <cell r="A41" t="str">
            <v>Hampton Inn</v>
          </cell>
          <cell r="B41">
            <v>28</v>
          </cell>
          <cell r="C41">
            <v>33</v>
          </cell>
          <cell r="D41">
            <v>57</v>
          </cell>
          <cell r="E41">
            <v>79</v>
          </cell>
          <cell r="F41">
            <v>93</v>
          </cell>
          <cell r="G41">
            <v>7959</v>
          </cell>
          <cell r="H41">
            <v>106</v>
          </cell>
          <cell r="I41">
            <v>9211</v>
          </cell>
          <cell r="J41">
            <v>97</v>
          </cell>
          <cell r="K41">
            <v>8684</v>
          </cell>
          <cell r="L41">
            <v>92</v>
          </cell>
          <cell r="M41">
            <v>8696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</row>
        <row r="42">
          <cell r="A42" t="str">
            <v>Hampton Inn &amp; Suites</v>
          </cell>
          <cell r="E42">
            <v>5</v>
          </cell>
          <cell r="F42">
            <v>11</v>
          </cell>
          <cell r="G42">
            <v>1347</v>
          </cell>
          <cell r="H42">
            <v>10</v>
          </cell>
          <cell r="I42">
            <v>996</v>
          </cell>
          <cell r="J42">
            <v>12</v>
          </cell>
          <cell r="K42">
            <v>1441</v>
          </cell>
          <cell r="L42">
            <v>13</v>
          </cell>
          <cell r="M42">
            <v>1478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</row>
        <row r="43">
          <cell r="A43" t="str">
            <v>Hawthorn Suites</v>
          </cell>
          <cell r="F43">
            <v>1</v>
          </cell>
          <cell r="G43">
            <v>50</v>
          </cell>
          <cell r="H43">
            <v>3</v>
          </cell>
          <cell r="I43">
            <v>441</v>
          </cell>
          <cell r="J43">
            <v>17</v>
          </cell>
          <cell r="K43">
            <v>1703</v>
          </cell>
          <cell r="L43">
            <v>30</v>
          </cell>
          <cell r="M43">
            <v>3008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</row>
        <row r="44">
          <cell r="A44" t="str">
            <v>Hearthside Inn</v>
          </cell>
          <cell r="H44">
            <v>2</v>
          </cell>
          <cell r="I44">
            <v>308</v>
          </cell>
          <cell r="J44">
            <v>3</v>
          </cell>
          <cell r="K44">
            <v>456</v>
          </cell>
          <cell r="L44">
            <v>2</v>
          </cell>
          <cell r="M44">
            <v>314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</row>
        <row r="45">
          <cell r="A45" t="str">
            <v>Hilton Garden Inn</v>
          </cell>
          <cell r="H45">
            <v>5</v>
          </cell>
          <cell r="I45">
            <v>581</v>
          </cell>
          <cell r="J45">
            <v>8</v>
          </cell>
          <cell r="K45">
            <v>1168</v>
          </cell>
          <cell r="L45">
            <v>44</v>
          </cell>
          <cell r="M45">
            <v>6212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</row>
        <row r="46">
          <cell r="A46" t="str">
            <v>Hilton Hotel</v>
          </cell>
          <cell r="B46">
            <v>4</v>
          </cell>
          <cell r="E46">
            <v>1</v>
          </cell>
          <cell r="F46">
            <v>2</v>
          </cell>
          <cell r="G46">
            <v>264</v>
          </cell>
          <cell r="H46">
            <v>1</v>
          </cell>
          <cell r="I46">
            <v>131</v>
          </cell>
          <cell r="J46">
            <v>2</v>
          </cell>
          <cell r="K46">
            <v>276</v>
          </cell>
          <cell r="L46">
            <v>3</v>
          </cell>
          <cell r="M46">
            <v>859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</row>
        <row r="47">
          <cell r="A47" t="str">
            <v>HoJo Inn</v>
          </cell>
          <cell r="B47">
            <v>2</v>
          </cell>
          <cell r="C47">
            <v>5</v>
          </cell>
          <cell r="D47">
            <v>1</v>
          </cell>
        </row>
        <row r="48">
          <cell r="A48" t="str">
            <v>Holiday Inn</v>
          </cell>
          <cell r="B48">
            <v>4</v>
          </cell>
          <cell r="C48">
            <v>1</v>
          </cell>
          <cell r="D48">
            <v>2</v>
          </cell>
          <cell r="E48">
            <v>7</v>
          </cell>
          <cell r="F48">
            <v>6</v>
          </cell>
          <cell r="G48">
            <v>841</v>
          </cell>
          <cell r="H48">
            <v>5</v>
          </cell>
          <cell r="I48">
            <v>788</v>
          </cell>
          <cell r="J48">
            <v>8</v>
          </cell>
          <cell r="K48">
            <v>1295</v>
          </cell>
          <cell r="L48">
            <v>11</v>
          </cell>
          <cell r="M48">
            <v>1799</v>
          </cell>
          <cell r="N48" t="str">
            <v>-</v>
          </cell>
          <cell r="O48" t="str">
            <v>-</v>
          </cell>
          <cell r="P48" t="str">
            <v>-</v>
          </cell>
          <cell r="Q48" t="str">
            <v>-</v>
          </cell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</row>
        <row r="49">
          <cell r="A49" t="str">
            <v>Holiday Inn Express</v>
          </cell>
          <cell r="B49">
            <v>11</v>
          </cell>
          <cell r="C49">
            <v>25</v>
          </cell>
          <cell r="D49">
            <v>47</v>
          </cell>
          <cell r="E49">
            <v>96</v>
          </cell>
          <cell r="F49">
            <v>126</v>
          </cell>
          <cell r="G49">
            <v>8493</v>
          </cell>
          <cell r="H49">
            <v>129</v>
          </cell>
          <cell r="I49">
            <v>8040</v>
          </cell>
          <cell r="J49">
            <v>129</v>
          </cell>
          <cell r="K49">
            <v>9256</v>
          </cell>
          <cell r="L49">
            <v>86</v>
          </cell>
          <cell r="M49">
            <v>6135</v>
          </cell>
          <cell r="N49" t="str">
            <v>-</v>
          </cell>
          <cell r="O49" t="str">
            <v>-</v>
          </cell>
          <cell r="P49" t="str">
            <v>-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-</v>
          </cell>
          <cell r="U49" t="str">
            <v>-</v>
          </cell>
        </row>
        <row r="50">
          <cell r="A50" t="str">
            <v>Holiday Inn Express &amp; Suites</v>
          </cell>
          <cell r="L50">
            <v>30</v>
          </cell>
          <cell r="M50">
            <v>2312</v>
          </cell>
        </row>
        <row r="51">
          <cell r="A51" t="str">
            <v>Holiday Inn Select</v>
          </cell>
          <cell r="E51">
            <v>1</v>
          </cell>
          <cell r="F51">
            <v>2</v>
          </cell>
          <cell r="G51">
            <v>219</v>
          </cell>
          <cell r="J51">
            <v>1</v>
          </cell>
          <cell r="K51">
            <v>300</v>
          </cell>
        </row>
        <row r="52">
          <cell r="A52" t="str">
            <v>Homegate Studios</v>
          </cell>
          <cell r="F52">
            <v>1</v>
          </cell>
          <cell r="G52">
            <v>139</v>
          </cell>
          <cell r="H52">
            <v>8</v>
          </cell>
          <cell r="I52">
            <v>1023</v>
          </cell>
          <cell r="J52">
            <v>21</v>
          </cell>
          <cell r="K52">
            <v>2554</v>
          </cell>
          <cell r="L52">
            <v>8</v>
          </cell>
          <cell r="M52">
            <v>982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</row>
        <row r="53">
          <cell r="A53" t="str">
            <v>Homestead Village</v>
          </cell>
          <cell r="D53">
            <v>1</v>
          </cell>
          <cell r="E53">
            <v>2</v>
          </cell>
          <cell r="F53">
            <v>9</v>
          </cell>
          <cell r="G53">
            <v>1244</v>
          </cell>
          <cell r="H53">
            <v>34</v>
          </cell>
          <cell r="I53">
            <v>4422</v>
          </cell>
          <cell r="J53">
            <v>57</v>
          </cell>
          <cell r="K53">
            <v>7568</v>
          </cell>
          <cell r="L53">
            <v>16</v>
          </cell>
          <cell r="M53">
            <v>2037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</row>
        <row r="54">
          <cell r="A54" t="str">
            <v>Homewood Suites by Hilton</v>
          </cell>
          <cell r="B54">
            <v>1</v>
          </cell>
          <cell r="D54">
            <v>2</v>
          </cell>
          <cell r="E54">
            <v>5</v>
          </cell>
          <cell r="F54">
            <v>8</v>
          </cell>
          <cell r="H54">
            <v>15</v>
          </cell>
          <cell r="I54">
            <v>1264</v>
          </cell>
          <cell r="J54">
            <v>25</v>
          </cell>
          <cell r="K54">
            <v>2859</v>
          </cell>
          <cell r="L54">
            <v>11</v>
          </cell>
          <cell r="M54">
            <v>1477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</row>
        <row r="55">
          <cell r="A55" t="str">
            <v>Hotel Sofitel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</row>
        <row r="56">
          <cell r="A56" t="str">
            <v>Howard Johnson Express Inn</v>
          </cell>
          <cell r="B56">
            <v>2</v>
          </cell>
          <cell r="C56">
            <v>7</v>
          </cell>
          <cell r="D56">
            <v>4</v>
          </cell>
          <cell r="E56">
            <v>10</v>
          </cell>
          <cell r="F56">
            <v>12</v>
          </cell>
          <cell r="G56">
            <v>747</v>
          </cell>
          <cell r="H56">
            <v>6</v>
          </cell>
          <cell r="I56">
            <v>326</v>
          </cell>
          <cell r="J56">
            <v>3</v>
          </cell>
          <cell r="K56">
            <v>181</v>
          </cell>
          <cell r="L56">
            <v>8</v>
          </cell>
          <cell r="M56">
            <v>466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</row>
        <row r="57">
          <cell r="A57" t="str">
            <v>Howard Johnson Hotel</v>
          </cell>
          <cell r="F57">
            <v>1</v>
          </cell>
          <cell r="G57">
            <v>129</v>
          </cell>
          <cell r="H57">
            <v>1</v>
          </cell>
          <cell r="I57">
            <v>170</v>
          </cell>
          <cell r="J57">
            <v>1</v>
          </cell>
          <cell r="K57">
            <v>48</v>
          </cell>
          <cell r="N57" t="str">
            <v>-</v>
          </cell>
          <cell r="O57" t="str">
            <v>-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</row>
        <row r="58">
          <cell r="A58" t="str">
            <v>Howard Johnson Inn</v>
          </cell>
          <cell r="J58">
            <v>5</v>
          </cell>
          <cell r="K58">
            <v>410</v>
          </cell>
          <cell r="N58" t="str">
            <v>-</v>
          </cell>
          <cell r="O58" t="str">
            <v>-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</row>
        <row r="59">
          <cell r="A59" t="str">
            <v>Hyatt Hotel</v>
          </cell>
          <cell r="B59">
            <v>3</v>
          </cell>
          <cell r="C59">
            <v>2</v>
          </cell>
          <cell r="H59">
            <v>1</v>
          </cell>
          <cell r="I59">
            <v>303</v>
          </cell>
          <cell r="J59">
            <v>2</v>
          </cell>
          <cell r="K59">
            <v>1050</v>
          </cell>
          <cell r="L59">
            <v>2</v>
          </cell>
          <cell r="M59">
            <v>702</v>
          </cell>
          <cell r="N59" t="str">
            <v>-</v>
          </cell>
          <cell r="O59" t="str">
            <v>-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-</v>
          </cell>
          <cell r="T59" t="str">
            <v>-</v>
          </cell>
          <cell r="U59" t="str">
            <v>-</v>
          </cell>
        </row>
        <row r="60">
          <cell r="A60" t="str">
            <v>Inter-Continental</v>
          </cell>
          <cell r="L60">
            <v>1</v>
          </cell>
          <cell r="M60">
            <v>291</v>
          </cell>
          <cell r="N60" t="str">
            <v>-</v>
          </cell>
          <cell r="O60" t="str">
            <v>-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-</v>
          </cell>
          <cell r="T60" t="str">
            <v>-</v>
          </cell>
          <cell r="U60" t="str">
            <v>-</v>
          </cell>
        </row>
        <row r="61">
          <cell r="A61" t="str">
            <v>Intown Suites</v>
          </cell>
          <cell r="F61">
            <v>1</v>
          </cell>
          <cell r="G61">
            <v>137</v>
          </cell>
          <cell r="H61">
            <v>3</v>
          </cell>
          <cell r="I61">
            <v>366</v>
          </cell>
          <cell r="J61">
            <v>12</v>
          </cell>
          <cell r="K61">
            <v>1465</v>
          </cell>
          <cell r="L61">
            <v>6</v>
          </cell>
          <cell r="M61">
            <v>692</v>
          </cell>
          <cell r="N61" t="str">
            <v>-</v>
          </cell>
          <cell r="O61" t="str">
            <v>-</v>
          </cell>
          <cell r="P61" t="str">
            <v>-</v>
          </cell>
          <cell r="Q61" t="str">
            <v>-</v>
          </cell>
          <cell r="R61" t="str">
            <v>-</v>
          </cell>
          <cell r="S61" t="str">
            <v>-</v>
          </cell>
          <cell r="T61" t="str">
            <v>-</v>
          </cell>
          <cell r="U61" t="str">
            <v>-</v>
          </cell>
        </row>
        <row r="62">
          <cell r="A62" t="str">
            <v>Intown Suites**</v>
          </cell>
          <cell r="L62">
            <v>6</v>
          </cell>
          <cell r="M62">
            <v>692</v>
          </cell>
        </row>
        <row r="63">
          <cell r="A63" t="str">
            <v>Jameson Inn</v>
          </cell>
          <cell r="B63">
            <v>3</v>
          </cell>
          <cell r="C63">
            <v>2</v>
          </cell>
          <cell r="D63">
            <v>5</v>
          </cell>
          <cell r="E63">
            <v>11</v>
          </cell>
          <cell r="F63">
            <v>12</v>
          </cell>
          <cell r="G63">
            <v>530</v>
          </cell>
          <cell r="H63">
            <v>19</v>
          </cell>
          <cell r="I63">
            <v>824</v>
          </cell>
          <cell r="J63">
            <v>18</v>
          </cell>
          <cell r="K63">
            <v>735</v>
          </cell>
          <cell r="L63">
            <v>9</v>
          </cell>
          <cell r="M63">
            <v>524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-</v>
          </cell>
          <cell r="R63" t="str">
            <v>-</v>
          </cell>
          <cell r="S63" t="str">
            <v>-</v>
          </cell>
          <cell r="T63" t="str">
            <v>-</v>
          </cell>
          <cell r="U63" t="str">
            <v>-</v>
          </cell>
        </row>
        <row r="64">
          <cell r="A64" t="str">
            <v>Key West Inn</v>
          </cell>
          <cell r="F64">
            <v>3</v>
          </cell>
          <cell r="G64">
            <v>132</v>
          </cell>
          <cell r="H64">
            <v>2</v>
          </cell>
          <cell r="I64">
            <v>116</v>
          </cell>
          <cell r="J64">
            <v>4</v>
          </cell>
          <cell r="K64">
            <v>273</v>
          </cell>
          <cell r="N64" t="str">
            <v>-</v>
          </cell>
          <cell r="O64" t="str">
            <v>-</v>
          </cell>
          <cell r="P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</row>
        <row r="65">
          <cell r="A65" t="str">
            <v>Knights Inn</v>
          </cell>
          <cell r="F65">
            <v>2</v>
          </cell>
          <cell r="G65">
            <v>65</v>
          </cell>
          <cell r="H65">
            <v>6</v>
          </cell>
          <cell r="I65">
            <v>351</v>
          </cell>
          <cell r="J65">
            <v>1</v>
          </cell>
          <cell r="K65">
            <v>40</v>
          </cell>
          <cell r="N65" t="str">
            <v>-</v>
          </cell>
          <cell r="O65" t="str">
            <v>-</v>
          </cell>
          <cell r="P65" t="str">
            <v>-</v>
          </cell>
          <cell r="Q65" t="str">
            <v>-</v>
          </cell>
          <cell r="R65" t="str">
            <v>-</v>
          </cell>
          <cell r="S65" t="str">
            <v>-</v>
          </cell>
          <cell r="T65" t="str">
            <v>-</v>
          </cell>
          <cell r="U65" t="str">
            <v>-</v>
          </cell>
        </row>
        <row r="66">
          <cell r="A66" t="str">
            <v>La Quinta Inn</v>
          </cell>
          <cell r="C66">
            <v>1</v>
          </cell>
          <cell r="F66">
            <v>10</v>
          </cell>
          <cell r="G66">
            <v>1408</v>
          </cell>
          <cell r="H66">
            <v>21</v>
          </cell>
          <cell r="I66">
            <v>2554</v>
          </cell>
          <cell r="J66">
            <v>26</v>
          </cell>
          <cell r="K66">
            <v>3405</v>
          </cell>
          <cell r="L66">
            <v>13</v>
          </cell>
          <cell r="M66">
            <v>1819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</row>
        <row r="67">
          <cell r="A67" t="str">
            <v>Larkspur Landing</v>
          </cell>
          <cell r="J67">
            <v>2</v>
          </cell>
          <cell r="K67">
            <v>253</v>
          </cell>
          <cell r="N67" t="str">
            <v>-</v>
          </cell>
          <cell r="O67" t="str">
            <v>-</v>
          </cell>
          <cell r="P67" t="str">
            <v>-</v>
          </cell>
          <cell r="Q67" t="str">
            <v>-</v>
          </cell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</row>
        <row r="68">
          <cell r="A68" t="str">
            <v>Loews Hotel</v>
          </cell>
          <cell r="J68">
            <v>2</v>
          </cell>
          <cell r="K68">
            <v>1167</v>
          </cell>
          <cell r="L68">
            <v>1</v>
          </cell>
          <cell r="M68">
            <v>750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 t="str">
            <v>-</v>
          </cell>
          <cell r="T68" t="str">
            <v>-</v>
          </cell>
          <cell r="U68" t="str">
            <v>-</v>
          </cell>
        </row>
        <row r="69">
          <cell r="A69" t="str">
            <v>MainStay Suites</v>
          </cell>
          <cell r="F69">
            <v>1</v>
          </cell>
          <cell r="G69">
            <v>96</v>
          </cell>
          <cell r="H69">
            <v>3</v>
          </cell>
          <cell r="I69">
            <v>279</v>
          </cell>
          <cell r="J69">
            <v>15</v>
          </cell>
          <cell r="K69">
            <v>1413</v>
          </cell>
          <cell r="L69">
            <v>10</v>
          </cell>
          <cell r="M69">
            <v>862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</row>
        <row r="70">
          <cell r="A70" t="str">
            <v>Marriott Hotel</v>
          </cell>
          <cell r="B70">
            <v>2</v>
          </cell>
          <cell r="C70">
            <v>4</v>
          </cell>
          <cell r="E70">
            <v>3</v>
          </cell>
          <cell r="F70">
            <v>3</v>
          </cell>
          <cell r="G70">
            <v>742</v>
          </cell>
          <cell r="H70">
            <v>2</v>
          </cell>
          <cell r="I70">
            <v>433</v>
          </cell>
          <cell r="J70">
            <v>8</v>
          </cell>
          <cell r="K70">
            <v>2149</v>
          </cell>
          <cell r="L70">
            <v>9</v>
          </cell>
          <cell r="M70">
            <v>2504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 t="str">
            <v>-</v>
          </cell>
          <cell r="T70" t="str">
            <v>-</v>
          </cell>
          <cell r="U70" t="str">
            <v>-</v>
          </cell>
        </row>
        <row r="71">
          <cell r="A71" t="str">
            <v>Meridien Hotel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</row>
        <row r="72">
          <cell r="A72" t="str">
            <v>Microtel Inn</v>
          </cell>
          <cell r="B72">
            <v>3</v>
          </cell>
          <cell r="C72">
            <v>5</v>
          </cell>
          <cell r="D72">
            <v>5</v>
          </cell>
          <cell r="E72">
            <v>5</v>
          </cell>
          <cell r="F72">
            <v>5</v>
          </cell>
          <cell r="G72">
            <v>458</v>
          </cell>
          <cell r="H72">
            <v>38</v>
          </cell>
          <cell r="I72">
            <v>2636</v>
          </cell>
          <cell r="J72">
            <v>62</v>
          </cell>
          <cell r="K72">
            <v>4356</v>
          </cell>
          <cell r="L72">
            <v>57</v>
          </cell>
          <cell r="M72">
            <v>4022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</row>
        <row r="73">
          <cell r="A73" t="str">
            <v>Motel 6</v>
          </cell>
          <cell r="B73">
            <v>1</v>
          </cell>
          <cell r="F73">
            <v>1</v>
          </cell>
          <cell r="G73">
            <v>121</v>
          </cell>
          <cell r="H73">
            <v>14</v>
          </cell>
          <cell r="I73">
            <v>1057</v>
          </cell>
          <cell r="J73">
            <v>16</v>
          </cell>
          <cell r="K73">
            <v>1394</v>
          </cell>
          <cell r="L73">
            <v>17</v>
          </cell>
          <cell r="M73">
            <v>1091</v>
          </cell>
          <cell r="N73" t="str">
            <v>-</v>
          </cell>
          <cell r="O73" t="str">
            <v>-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</row>
        <row r="74">
          <cell r="A74" t="str">
            <v>Omni Hotel</v>
          </cell>
          <cell r="E74">
            <v>1</v>
          </cell>
          <cell r="F74">
            <v>1</v>
          </cell>
          <cell r="G74">
            <v>98</v>
          </cell>
          <cell r="L74">
            <v>1</v>
          </cell>
          <cell r="M74">
            <v>390</v>
          </cell>
          <cell r="N74" t="str">
            <v>-</v>
          </cell>
          <cell r="O74" t="str">
            <v>-</v>
          </cell>
          <cell r="P74" t="str">
            <v>-</v>
          </cell>
          <cell r="Q74" t="str">
            <v>-</v>
          </cell>
          <cell r="R74" t="str">
            <v>-</v>
          </cell>
          <cell r="S74" t="str">
            <v>-</v>
          </cell>
          <cell r="T74" t="str">
            <v>-</v>
          </cell>
          <cell r="U74" t="str">
            <v>-</v>
          </cell>
        </row>
        <row r="75">
          <cell r="A75" t="str">
            <v>Park Inn</v>
          </cell>
          <cell r="B75">
            <v>2</v>
          </cell>
          <cell r="D75">
            <v>4</v>
          </cell>
          <cell r="E75">
            <v>3</v>
          </cell>
          <cell r="F75">
            <v>1</v>
          </cell>
          <cell r="G75">
            <v>50</v>
          </cell>
          <cell r="H75">
            <v>2</v>
          </cell>
          <cell r="I75">
            <v>49</v>
          </cell>
          <cell r="J75">
            <v>2</v>
          </cell>
          <cell r="K75">
            <v>174</v>
          </cell>
          <cell r="N75" t="str">
            <v>-</v>
          </cell>
          <cell r="O75" t="str">
            <v>-</v>
          </cell>
          <cell r="P75" t="str">
            <v>-</v>
          </cell>
          <cell r="Q75" t="str">
            <v>-</v>
          </cell>
          <cell r="R75" t="str">
            <v>-</v>
          </cell>
          <cell r="S75" t="str">
            <v>-</v>
          </cell>
          <cell r="T75" t="str">
            <v>-</v>
          </cell>
          <cell r="U75" t="str">
            <v>-</v>
          </cell>
        </row>
        <row r="76">
          <cell r="A76" t="str">
            <v>Platinum Suites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</row>
        <row r="77">
          <cell r="A77" t="str">
            <v>Quality Inn</v>
          </cell>
          <cell r="B77">
            <v>3</v>
          </cell>
          <cell r="C77">
            <v>2</v>
          </cell>
          <cell r="E77">
            <v>5</v>
          </cell>
          <cell r="F77">
            <v>4</v>
          </cell>
          <cell r="G77">
            <v>269</v>
          </cell>
          <cell r="H77">
            <v>12</v>
          </cell>
          <cell r="I77">
            <v>811</v>
          </cell>
          <cell r="J77">
            <v>7</v>
          </cell>
          <cell r="K77">
            <v>457</v>
          </cell>
          <cell r="L77">
            <v>13</v>
          </cell>
          <cell r="M77">
            <v>941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</row>
        <row r="78">
          <cell r="A78" t="str">
            <v>Quality Suites</v>
          </cell>
          <cell r="J78">
            <v>8</v>
          </cell>
          <cell r="K78">
            <v>579</v>
          </cell>
          <cell r="L78">
            <v>2</v>
          </cell>
          <cell r="M78">
            <v>172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</row>
        <row r="79">
          <cell r="A79" t="str">
            <v>Radisson Hotel</v>
          </cell>
          <cell r="B79">
            <v>4</v>
          </cell>
          <cell r="C79">
            <v>1</v>
          </cell>
          <cell r="D79">
            <v>1</v>
          </cell>
          <cell r="E79">
            <v>4</v>
          </cell>
          <cell r="F79">
            <v>5</v>
          </cell>
          <cell r="G79">
            <v>667</v>
          </cell>
          <cell r="H79">
            <v>1</v>
          </cell>
          <cell r="I79">
            <v>163</v>
          </cell>
          <cell r="J79">
            <v>4</v>
          </cell>
          <cell r="K79">
            <v>592</v>
          </cell>
          <cell r="L79">
            <v>2</v>
          </cell>
          <cell r="M79">
            <v>296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</row>
        <row r="80">
          <cell r="A80" t="str">
            <v>Ramada Inn</v>
          </cell>
          <cell r="D80">
            <v>1</v>
          </cell>
          <cell r="E80">
            <v>6</v>
          </cell>
          <cell r="F80">
            <v>22</v>
          </cell>
          <cell r="G80">
            <v>1673</v>
          </cell>
          <cell r="H80">
            <v>14</v>
          </cell>
          <cell r="I80">
            <v>1034</v>
          </cell>
          <cell r="J80">
            <v>10</v>
          </cell>
          <cell r="K80">
            <v>556</v>
          </cell>
          <cell r="L80">
            <v>7</v>
          </cell>
          <cell r="M80">
            <v>451</v>
          </cell>
          <cell r="N80" t="str">
            <v>-</v>
          </cell>
          <cell r="O80" t="str">
            <v>-</v>
          </cell>
          <cell r="P80" t="str">
            <v>-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-</v>
          </cell>
          <cell r="U80" t="str">
            <v>-</v>
          </cell>
        </row>
        <row r="81">
          <cell r="A81" t="str">
            <v>Ramada Limited</v>
          </cell>
          <cell r="B81">
            <v>2</v>
          </cell>
          <cell r="C81">
            <v>15</v>
          </cell>
          <cell r="D81">
            <v>21</v>
          </cell>
          <cell r="E81">
            <v>13</v>
          </cell>
          <cell r="F81">
            <v>19</v>
          </cell>
          <cell r="G81">
            <v>1075</v>
          </cell>
          <cell r="H81">
            <v>36</v>
          </cell>
          <cell r="I81">
            <v>2706</v>
          </cell>
          <cell r="J81">
            <v>14</v>
          </cell>
          <cell r="K81">
            <v>868</v>
          </cell>
          <cell r="L81">
            <v>10</v>
          </cell>
          <cell r="M81">
            <v>581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</row>
        <row r="82">
          <cell r="A82" t="str">
            <v>Ramada Plaza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</row>
        <row r="83">
          <cell r="A83" t="str">
            <v>Red Roof Inn</v>
          </cell>
          <cell r="E83">
            <v>1</v>
          </cell>
          <cell r="F83">
            <v>11</v>
          </cell>
          <cell r="G83">
            <v>1335</v>
          </cell>
          <cell r="H83">
            <v>5</v>
          </cell>
          <cell r="I83">
            <v>721</v>
          </cell>
          <cell r="J83">
            <v>10</v>
          </cell>
          <cell r="K83">
            <v>1203</v>
          </cell>
          <cell r="L83">
            <v>23</v>
          </cell>
          <cell r="M83">
            <v>1929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</row>
        <row r="84">
          <cell r="A84" t="str">
            <v>Renaissance Hotel</v>
          </cell>
          <cell r="B84">
            <v>3</v>
          </cell>
          <cell r="L84">
            <v>1</v>
          </cell>
          <cell r="M84">
            <v>275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 t="str">
            <v>-</v>
          </cell>
        </row>
        <row r="85">
          <cell r="A85" t="str">
            <v>Residence Inn</v>
          </cell>
          <cell r="B85">
            <v>4</v>
          </cell>
          <cell r="C85">
            <v>5</v>
          </cell>
          <cell r="D85">
            <v>6</v>
          </cell>
          <cell r="E85">
            <v>7</v>
          </cell>
          <cell r="F85">
            <v>25</v>
          </cell>
          <cell r="G85">
            <v>2556</v>
          </cell>
          <cell r="H85">
            <v>33</v>
          </cell>
          <cell r="I85">
            <v>3487</v>
          </cell>
          <cell r="J85">
            <v>36</v>
          </cell>
          <cell r="K85">
            <v>4122</v>
          </cell>
          <cell r="L85">
            <v>35</v>
          </cell>
          <cell r="M85">
            <v>4215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</row>
        <row r="86">
          <cell r="A86" t="str">
            <v>Ritz-Carlton</v>
          </cell>
          <cell r="B86">
            <v>2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</row>
        <row r="87">
          <cell r="A87" t="str">
            <v>Rodeway Inn</v>
          </cell>
          <cell r="B87">
            <v>1</v>
          </cell>
          <cell r="C87">
            <v>1</v>
          </cell>
          <cell r="D87">
            <v>2</v>
          </cell>
          <cell r="E87">
            <v>7</v>
          </cell>
          <cell r="F87">
            <v>11</v>
          </cell>
          <cell r="G87">
            <v>568</v>
          </cell>
          <cell r="H87">
            <v>8</v>
          </cell>
          <cell r="I87">
            <v>364</v>
          </cell>
          <cell r="J87">
            <v>7</v>
          </cell>
          <cell r="K87">
            <v>362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</row>
        <row r="88">
          <cell r="A88" t="str">
            <v>Sheraton Hotel</v>
          </cell>
          <cell r="B88">
            <v>3</v>
          </cell>
          <cell r="C88">
            <v>1</v>
          </cell>
          <cell r="H88">
            <v>1</v>
          </cell>
          <cell r="I88">
            <v>502</v>
          </cell>
          <cell r="J88">
            <v>2</v>
          </cell>
          <cell r="K88">
            <v>287</v>
          </cell>
          <cell r="L88">
            <v>2</v>
          </cell>
          <cell r="M88">
            <v>301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</row>
        <row r="89">
          <cell r="A89" t="str">
            <v>Shilo Inn</v>
          </cell>
          <cell r="F89">
            <v>2</v>
          </cell>
          <cell r="G89">
            <v>271</v>
          </cell>
        </row>
        <row r="90">
          <cell r="A90" t="str">
            <v>Shoney's Inn</v>
          </cell>
          <cell r="C90">
            <v>2</v>
          </cell>
          <cell r="D90">
            <v>7</v>
          </cell>
          <cell r="E90">
            <v>9</v>
          </cell>
          <cell r="F90">
            <v>9</v>
          </cell>
          <cell r="G90">
            <v>573</v>
          </cell>
          <cell r="H90">
            <v>2</v>
          </cell>
          <cell r="I90">
            <v>103</v>
          </cell>
          <cell r="J90">
            <v>7</v>
          </cell>
          <cell r="K90">
            <v>407</v>
          </cell>
          <cell r="L90">
            <v>4</v>
          </cell>
          <cell r="M90">
            <v>253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</row>
        <row r="91">
          <cell r="A91" t="str">
            <v>Sierra Suites</v>
          </cell>
          <cell r="H91">
            <v>4</v>
          </cell>
          <cell r="I91">
            <v>390</v>
          </cell>
          <cell r="J91">
            <v>8</v>
          </cell>
          <cell r="K91">
            <v>995</v>
          </cell>
          <cell r="L91">
            <v>2</v>
          </cell>
          <cell r="M91">
            <v>232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</row>
        <row r="92">
          <cell r="A92" t="str">
            <v>Sleep Inn</v>
          </cell>
          <cell r="B92">
            <v>5</v>
          </cell>
          <cell r="C92">
            <v>6</v>
          </cell>
          <cell r="D92">
            <v>21</v>
          </cell>
          <cell r="E92">
            <v>26</v>
          </cell>
          <cell r="F92">
            <v>44</v>
          </cell>
          <cell r="G92">
            <v>3179</v>
          </cell>
          <cell r="H92">
            <v>40</v>
          </cell>
          <cell r="I92">
            <v>2895</v>
          </cell>
          <cell r="J92">
            <v>36</v>
          </cell>
          <cell r="K92">
            <v>3003</v>
          </cell>
          <cell r="L92">
            <v>33</v>
          </cell>
          <cell r="M92">
            <v>2575</v>
          </cell>
          <cell r="N92" t="str">
            <v>-</v>
          </cell>
          <cell r="O92" t="str">
            <v>-</v>
          </cell>
          <cell r="P92" t="str">
            <v>-</v>
          </cell>
          <cell r="Q92" t="str">
            <v>-</v>
          </cell>
          <cell r="R92" t="str">
            <v>-</v>
          </cell>
          <cell r="S92" t="str">
            <v>-</v>
          </cell>
          <cell r="T92" t="str">
            <v>-</v>
          </cell>
          <cell r="U92" t="str">
            <v>-</v>
          </cell>
        </row>
        <row r="93">
          <cell r="A93" t="str">
            <v>SpringHill Suites</v>
          </cell>
          <cell r="H93">
            <v>3</v>
          </cell>
          <cell r="I93">
            <v>336</v>
          </cell>
          <cell r="J93">
            <v>16</v>
          </cell>
          <cell r="K93">
            <v>1568</v>
          </cell>
          <cell r="L93">
            <v>15</v>
          </cell>
          <cell r="M93">
            <v>1547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</row>
        <row r="94">
          <cell r="A94" t="str">
            <v>Staybridge Suites</v>
          </cell>
          <cell r="J94">
            <v>1</v>
          </cell>
          <cell r="K94">
            <v>118</v>
          </cell>
          <cell r="L94">
            <v>10</v>
          </cell>
          <cell r="M94">
            <v>1157</v>
          </cell>
          <cell r="N94" t="str">
            <v>-</v>
          </cell>
          <cell r="O94" t="str">
            <v>-</v>
          </cell>
          <cell r="P94" t="str">
            <v>-</v>
          </cell>
          <cell r="Q94" t="str">
            <v>-</v>
          </cell>
          <cell r="R94" t="str">
            <v>-</v>
          </cell>
          <cell r="S94" t="str">
            <v>-</v>
          </cell>
          <cell r="T94" t="str">
            <v>-</v>
          </cell>
          <cell r="U94" t="str">
            <v>-</v>
          </cell>
        </row>
        <row r="95">
          <cell r="A95" t="str">
            <v>StudioPlus Hotel</v>
          </cell>
          <cell r="B95">
            <v>1</v>
          </cell>
          <cell r="C95">
            <v>2</v>
          </cell>
          <cell r="D95">
            <v>1</v>
          </cell>
          <cell r="E95">
            <v>4</v>
          </cell>
          <cell r="F95">
            <v>13</v>
          </cell>
          <cell r="G95">
            <v>925</v>
          </cell>
          <cell r="H95">
            <v>31</v>
          </cell>
          <cell r="I95">
            <v>2402</v>
          </cell>
          <cell r="J95">
            <v>26</v>
          </cell>
          <cell r="K95">
            <v>2125</v>
          </cell>
          <cell r="L95">
            <v>15</v>
          </cell>
          <cell r="M95">
            <v>1338</v>
          </cell>
          <cell r="N95" t="str">
            <v>-</v>
          </cell>
          <cell r="O95" t="str">
            <v>-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</row>
        <row r="96">
          <cell r="A96" t="str">
            <v>Suburban Lodge</v>
          </cell>
          <cell r="F96">
            <v>9</v>
          </cell>
          <cell r="G96">
            <v>1248</v>
          </cell>
          <cell r="H96">
            <v>31</v>
          </cell>
          <cell r="I96">
            <v>4038</v>
          </cell>
          <cell r="J96">
            <v>27</v>
          </cell>
          <cell r="K96">
            <v>3694</v>
          </cell>
          <cell r="L96">
            <v>23</v>
          </cell>
          <cell r="M96">
            <v>3039</v>
          </cell>
          <cell r="N96" t="str">
            <v>-</v>
          </cell>
          <cell r="O96" t="str">
            <v>-</v>
          </cell>
          <cell r="P96" t="str">
            <v>-</v>
          </cell>
          <cell r="Q96" t="str">
            <v>-</v>
          </cell>
          <cell r="R96" t="str">
            <v>-</v>
          </cell>
          <cell r="S96" t="str">
            <v>-</v>
          </cell>
          <cell r="T96" t="str">
            <v>-</v>
          </cell>
          <cell r="U96" t="str">
            <v>-</v>
          </cell>
        </row>
        <row r="97">
          <cell r="A97" t="str">
            <v>Suite Carolina</v>
          </cell>
          <cell r="J97">
            <v>1</v>
          </cell>
          <cell r="K97">
            <v>69</v>
          </cell>
          <cell r="N97" t="str">
            <v>-</v>
          </cell>
          <cell r="O97" t="str">
            <v>-</v>
          </cell>
          <cell r="P97" t="str">
            <v>-</v>
          </cell>
          <cell r="Q97" t="str">
            <v>-</v>
          </cell>
          <cell r="R97" t="str">
            <v>-</v>
          </cell>
          <cell r="S97" t="str">
            <v>-</v>
          </cell>
          <cell r="T97" t="str">
            <v>-</v>
          </cell>
          <cell r="U97" t="str">
            <v>-</v>
          </cell>
        </row>
        <row r="98">
          <cell r="A98" t="str">
            <v>Summerfield Suites by Wyndham</v>
          </cell>
          <cell r="C98">
            <v>1</v>
          </cell>
          <cell r="E98">
            <v>2</v>
          </cell>
          <cell r="F98">
            <v>3</v>
          </cell>
          <cell r="G98">
            <v>396</v>
          </cell>
          <cell r="H98">
            <v>4</v>
          </cell>
          <cell r="I98">
            <v>556</v>
          </cell>
          <cell r="J98">
            <v>3</v>
          </cell>
          <cell r="K98">
            <v>394</v>
          </cell>
          <cell r="L98">
            <v>1</v>
          </cell>
          <cell r="M98">
            <v>157</v>
          </cell>
          <cell r="N98" t="str">
            <v>-</v>
          </cell>
          <cell r="O98" t="str">
            <v>-</v>
          </cell>
          <cell r="P98" t="str">
            <v>-</v>
          </cell>
          <cell r="Q98" t="str">
            <v>-</v>
          </cell>
          <cell r="R98" t="str">
            <v>-</v>
          </cell>
          <cell r="S98" t="str">
            <v>-</v>
          </cell>
          <cell r="T98" t="str">
            <v>-</v>
          </cell>
          <cell r="U98" t="str">
            <v>-</v>
          </cell>
        </row>
        <row r="99">
          <cell r="A99" t="str">
            <v>Sumner Suites</v>
          </cell>
          <cell r="F99">
            <v>11</v>
          </cell>
          <cell r="G99">
            <v>1341</v>
          </cell>
          <cell r="H99">
            <v>5</v>
          </cell>
          <cell r="I99">
            <v>590</v>
          </cell>
          <cell r="J99">
            <v>6</v>
          </cell>
          <cell r="K99">
            <v>753</v>
          </cell>
          <cell r="L99">
            <v>4</v>
          </cell>
          <cell r="M99">
            <v>529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</row>
        <row r="100">
          <cell r="A100" t="str">
            <v>Sun Suites</v>
          </cell>
          <cell r="F100">
            <v>2</v>
          </cell>
          <cell r="G100">
            <v>229</v>
          </cell>
          <cell r="H100">
            <v>3</v>
          </cell>
          <cell r="I100">
            <v>359</v>
          </cell>
          <cell r="J100">
            <v>4</v>
          </cell>
          <cell r="K100">
            <v>501</v>
          </cell>
          <cell r="L100">
            <v>5</v>
          </cell>
          <cell r="M100">
            <v>675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</row>
        <row r="101">
          <cell r="A101" t="str">
            <v>Super 8</v>
          </cell>
          <cell r="B101">
            <v>54</v>
          </cell>
          <cell r="C101">
            <v>58</v>
          </cell>
          <cell r="D101">
            <v>62</v>
          </cell>
          <cell r="E101">
            <v>38</v>
          </cell>
          <cell r="F101">
            <v>80</v>
          </cell>
          <cell r="G101">
            <v>4409</v>
          </cell>
          <cell r="H101">
            <v>71</v>
          </cell>
          <cell r="I101">
            <v>3384</v>
          </cell>
          <cell r="J101">
            <v>61</v>
          </cell>
          <cell r="K101">
            <v>3309</v>
          </cell>
          <cell r="L101">
            <v>69</v>
          </cell>
          <cell r="M101">
            <v>3538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</row>
        <row r="102">
          <cell r="A102" t="str">
            <v>Susse Chalet</v>
          </cell>
          <cell r="N102" t="str">
            <v>-</v>
          </cell>
          <cell r="O102" t="str">
            <v>-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</row>
        <row r="103">
          <cell r="A103" t="str">
            <v>Swissotel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</row>
        <row r="104">
          <cell r="A104" t="str">
            <v>TownePlace Suites</v>
          </cell>
          <cell r="H104">
            <v>2</v>
          </cell>
          <cell r="I104">
            <v>184</v>
          </cell>
          <cell r="J104">
            <v>16</v>
          </cell>
          <cell r="K104">
            <v>1620</v>
          </cell>
          <cell r="L104">
            <v>45</v>
          </cell>
          <cell r="M104">
            <v>4507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</row>
        <row r="105">
          <cell r="A105" t="str">
            <v>Travelodge</v>
          </cell>
          <cell r="B105">
            <v>11</v>
          </cell>
          <cell r="C105">
            <v>5</v>
          </cell>
          <cell r="D105">
            <v>8</v>
          </cell>
          <cell r="E105">
            <v>1</v>
          </cell>
          <cell r="F105">
            <v>10</v>
          </cell>
          <cell r="G105">
            <v>640</v>
          </cell>
          <cell r="H105">
            <v>16</v>
          </cell>
          <cell r="I105">
            <v>853</v>
          </cell>
          <cell r="J105">
            <v>5</v>
          </cell>
          <cell r="K105">
            <v>451</v>
          </cell>
          <cell r="L105">
            <v>10</v>
          </cell>
          <cell r="M105">
            <v>572</v>
          </cell>
          <cell r="N105" t="str">
            <v>-</v>
          </cell>
          <cell r="O105" t="str">
            <v>-</v>
          </cell>
          <cell r="P105" t="str">
            <v>-</v>
          </cell>
          <cell r="Q105" t="str">
            <v>-</v>
          </cell>
          <cell r="R105" t="str">
            <v>-</v>
          </cell>
          <cell r="S105" t="str">
            <v>-</v>
          </cell>
          <cell r="T105" t="str">
            <v>-</v>
          </cell>
          <cell r="U105" t="str">
            <v>-</v>
          </cell>
        </row>
        <row r="106">
          <cell r="A106" t="str">
            <v>Vagabond Inn</v>
          </cell>
        </row>
        <row r="107">
          <cell r="A107" t="str">
            <v>Villager Lodge</v>
          </cell>
          <cell r="F107">
            <v>2</v>
          </cell>
          <cell r="G107">
            <v>84</v>
          </cell>
          <cell r="H107">
            <v>4</v>
          </cell>
          <cell r="I107">
            <v>351</v>
          </cell>
          <cell r="N107" t="str">
            <v>-</v>
          </cell>
          <cell r="O107" t="str">
            <v>-</v>
          </cell>
          <cell r="P107" t="str">
            <v>-</v>
          </cell>
          <cell r="Q107" t="str">
            <v>-</v>
          </cell>
          <cell r="R107" t="str">
            <v>-</v>
          </cell>
          <cell r="S107" t="str">
            <v>-</v>
          </cell>
          <cell r="T107" t="str">
            <v>-</v>
          </cell>
          <cell r="U107" t="str">
            <v>-</v>
          </cell>
        </row>
        <row r="108">
          <cell r="A108" t="str">
            <v>W Hotel</v>
          </cell>
          <cell r="L108">
            <v>2</v>
          </cell>
          <cell r="M108">
            <v>849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</row>
        <row r="109">
          <cell r="A109" t="str">
            <v>Wellesley Inn</v>
          </cell>
          <cell r="C109">
            <v>1</v>
          </cell>
          <cell r="D109">
            <v>2</v>
          </cell>
          <cell r="L109">
            <v>1</v>
          </cell>
          <cell r="M109">
            <v>87</v>
          </cell>
          <cell r="N109" t="str">
            <v>-</v>
          </cell>
          <cell r="O109" t="str">
            <v>-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-</v>
          </cell>
          <cell r="U109" t="str">
            <v>-</v>
          </cell>
        </row>
        <row r="110">
          <cell r="A110" t="str">
            <v>Westin  Hotel</v>
          </cell>
          <cell r="B110">
            <v>1</v>
          </cell>
          <cell r="D110">
            <v>2</v>
          </cell>
          <cell r="L110">
            <v>4</v>
          </cell>
          <cell r="M110">
            <v>1590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</row>
        <row r="111">
          <cell r="A111" t="str">
            <v>Wilson Inn</v>
          </cell>
          <cell r="N111" t="str">
            <v>-</v>
          </cell>
          <cell r="O111" t="str">
            <v>-</v>
          </cell>
          <cell r="P111" t="str">
            <v>-</v>
          </cell>
          <cell r="Q111" t="str">
            <v>-</v>
          </cell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</row>
        <row r="112">
          <cell r="A112" t="str">
            <v>Wingate Inn</v>
          </cell>
          <cell r="F112">
            <v>4</v>
          </cell>
          <cell r="G112">
            <v>407</v>
          </cell>
          <cell r="H112">
            <v>18</v>
          </cell>
          <cell r="I112">
            <v>1653</v>
          </cell>
          <cell r="J112">
            <v>32</v>
          </cell>
          <cell r="K112">
            <v>3036</v>
          </cell>
          <cell r="L112">
            <v>23</v>
          </cell>
          <cell r="M112">
            <v>2123</v>
          </cell>
          <cell r="N112" t="str">
            <v>-</v>
          </cell>
          <cell r="O112" t="str">
            <v>-</v>
          </cell>
          <cell r="P112" t="str">
            <v>-</v>
          </cell>
          <cell r="Q112" t="str">
            <v>-</v>
          </cell>
          <cell r="R112" t="str">
            <v>-</v>
          </cell>
          <cell r="S112" t="str">
            <v>-</v>
          </cell>
          <cell r="T112" t="str">
            <v>-</v>
          </cell>
          <cell r="U112" t="str">
            <v>-</v>
          </cell>
        </row>
        <row r="113">
          <cell r="A113" t="str">
            <v>Woodfield Suites</v>
          </cell>
          <cell r="H113">
            <v>2</v>
          </cell>
          <cell r="I113">
            <v>271</v>
          </cell>
          <cell r="L113">
            <v>2</v>
          </cell>
          <cell r="M113">
            <v>282</v>
          </cell>
          <cell r="N113" t="str">
            <v>-</v>
          </cell>
          <cell r="O113" t="str">
            <v>-</v>
          </cell>
          <cell r="P113" t="str">
            <v>-</v>
          </cell>
          <cell r="Q113" t="str">
            <v>-</v>
          </cell>
          <cell r="R113" t="str">
            <v>-</v>
          </cell>
          <cell r="S113" t="str">
            <v>-</v>
          </cell>
          <cell r="T113" t="str">
            <v>-</v>
          </cell>
          <cell r="U113" t="str">
            <v>-</v>
          </cell>
        </row>
        <row r="114">
          <cell r="A114" t="str">
            <v>Woodfin Suites</v>
          </cell>
          <cell r="L114">
            <v>1</v>
          </cell>
          <cell r="M114">
            <v>156</v>
          </cell>
          <cell r="N114" t="str">
            <v>-</v>
          </cell>
          <cell r="O114" t="str">
            <v>-</v>
          </cell>
          <cell r="P114" t="str">
            <v>-</v>
          </cell>
          <cell r="Q114" t="str">
            <v>-</v>
          </cell>
          <cell r="R114" t="str">
            <v>-</v>
          </cell>
          <cell r="S114" t="str">
            <v>-</v>
          </cell>
          <cell r="T114" t="str">
            <v>-</v>
          </cell>
          <cell r="U114" t="str">
            <v>-</v>
          </cell>
        </row>
        <row r="115">
          <cell r="A115" t="str">
            <v xml:space="preserve">Wyndham Garden </v>
          </cell>
          <cell r="B115">
            <v>1</v>
          </cell>
          <cell r="F115">
            <v>1</v>
          </cell>
          <cell r="G115">
            <v>137</v>
          </cell>
          <cell r="H115">
            <v>3</v>
          </cell>
          <cell r="I115">
            <v>543</v>
          </cell>
          <cell r="J115">
            <v>2</v>
          </cell>
          <cell r="K115">
            <v>395</v>
          </cell>
          <cell r="L115">
            <v>2</v>
          </cell>
          <cell r="M115">
            <v>390</v>
          </cell>
          <cell r="N115" t="str">
            <v>-</v>
          </cell>
          <cell r="O115" t="str">
            <v>-</v>
          </cell>
          <cell r="P115" t="str">
            <v>-</v>
          </cell>
          <cell r="Q115" t="str">
            <v>-</v>
          </cell>
          <cell r="R115" t="str">
            <v>-</v>
          </cell>
          <cell r="S115" t="str">
            <v>-</v>
          </cell>
          <cell r="T115" t="str">
            <v>-</v>
          </cell>
          <cell r="U115" t="str">
            <v>-</v>
          </cell>
        </row>
        <row r="116">
          <cell r="A116" t="str">
            <v>Wyndham Hotel</v>
          </cell>
          <cell r="E116">
            <v>1</v>
          </cell>
          <cell r="F116">
            <v>1</v>
          </cell>
          <cell r="G116">
            <v>202</v>
          </cell>
          <cell r="L116">
            <v>2</v>
          </cell>
          <cell r="M116">
            <v>780</v>
          </cell>
          <cell r="N116" t="str">
            <v>-</v>
          </cell>
          <cell r="O116" t="str">
            <v>-</v>
          </cell>
          <cell r="P116" t="str">
            <v>-</v>
          </cell>
          <cell r="Q116" t="str">
            <v>-</v>
          </cell>
          <cell r="R116" t="str">
            <v>-</v>
          </cell>
          <cell r="S116" t="str">
            <v>-</v>
          </cell>
          <cell r="T116" t="str">
            <v>-</v>
          </cell>
          <cell r="U116" t="str">
            <v>-</v>
          </cell>
        </row>
      </sheetData>
      <sheetData sheetId="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lookup"/>
      <sheetName val="PIVOTS"/>
      <sheetName val="CENSUS LOOKUP"/>
      <sheetName val="TRACT LOOKUP"/>
      <sheetName val="CHAIN LOOKUP"/>
      <sheetName val="rawdata"/>
      <sheetName val="Sheet2"/>
      <sheetName val="Sheet3"/>
    </sheetNames>
    <sheetDataSet>
      <sheetData sheetId="0" refreshError="1">
        <row r="212">
          <cell r="B212" t="str">
            <v>Budget Suites of America</v>
          </cell>
          <cell r="C212">
            <v>7</v>
          </cell>
          <cell r="D212">
            <v>3416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</row>
        <row r="213">
          <cell r="B213" t="str">
            <v>Days Inn</v>
          </cell>
          <cell r="C213">
            <v>3</v>
          </cell>
          <cell r="D213">
            <v>834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Hilton Hotel</v>
          </cell>
          <cell r="C214">
            <v>3</v>
          </cell>
          <cell r="D214">
            <v>6743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Holiday Inn</v>
          </cell>
          <cell r="C215">
            <v>3</v>
          </cell>
          <cell r="D215">
            <v>1606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Hyatt Hotel</v>
          </cell>
          <cell r="C216">
            <v>2</v>
          </cell>
          <cell r="D216">
            <v>992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Motel 6</v>
          </cell>
          <cell r="C217">
            <v>3</v>
          </cell>
          <cell r="D217">
            <v>908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Residence Inn</v>
          </cell>
          <cell r="C218">
            <v>4</v>
          </cell>
          <cell r="D218">
            <v>830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Sheraton Hotel</v>
          </cell>
          <cell r="C219">
            <v>1</v>
          </cell>
          <cell r="D219">
            <v>821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1">
          <cell r="B221" t="str">
            <v>ACCOR</v>
          </cell>
          <cell r="C221">
            <v>3</v>
          </cell>
          <cell r="D221">
            <v>908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Bass Hotels &amp; Resorts</v>
          </cell>
          <cell r="C222">
            <v>7</v>
          </cell>
          <cell r="D222">
            <v>2041</v>
          </cell>
          <cell r="E222">
            <v>1</v>
          </cell>
          <cell r="F222">
            <v>74</v>
          </cell>
          <cell r="G222">
            <v>1</v>
          </cell>
          <cell r="H222">
            <v>101</v>
          </cell>
        </row>
        <row r="223">
          <cell r="B223" t="str">
            <v>Bigelow Cos.</v>
          </cell>
          <cell r="C223">
            <v>7</v>
          </cell>
          <cell r="D223">
            <v>3416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Cendant</v>
          </cell>
          <cell r="C224">
            <v>19</v>
          </cell>
          <cell r="D224">
            <v>3299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Hilton Hotel Corp.</v>
          </cell>
          <cell r="C225">
            <v>9</v>
          </cell>
          <cell r="D225">
            <v>7992</v>
          </cell>
          <cell r="E225">
            <v>1</v>
          </cell>
          <cell r="F225">
            <v>286</v>
          </cell>
          <cell r="G225">
            <v>0</v>
          </cell>
          <cell r="H225">
            <v>0</v>
          </cell>
        </row>
        <row r="226">
          <cell r="B226" t="str">
            <v>Hyatt Hotel Corp.</v>
          </cell>
          <cell r="C226">
            <v>2</v>
          </cell>
          <cell r="D226">
            <v>992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Marriott Int'l</v>
          </cell>
          <cell r="C227">
            <v>9</v>
          </cell>
          <cell r="D227">
            <v>1695</v>
          </cell>
          <cell r="E227">
            <v>1</v>
          </cell>
          <cell r="F227">
            <v>154</v>
          </cell>
          <cell r="G227">
            <v>0</v>
          </cell>
          <cell r="H227">
            <v>0</v>
          </cell>
        </row>
        <row r="228">
          <cell r="B228" t="str">
            <v>Starwood Hotels</v>
          </cell>
          <cell r="C228">
            <v>1</v>
          </cell>
          <cell r="D228">
            <v>821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30">
          <cell r="B230" t="str">
            <v>Economy</v>
          </cell>
          <cell r="C230">
            <v>26</v>
          </cell>
          <cell r="D230">
            <v>4251</v>
          </cell>
        </row>
        <row r="231">
          <cell r="B231" t="str">
            <v>Independent</v>
          </cell>
          <cell r="C231">
            <v>228</v>
          </cell>
          <cell r="D231">
            <v>102314</v>
          </cell>
        </row>
        <row r="232">
          <cell r="B232" t="str">
            <v>Midscale w/ F&amp;B</v>
          </cell>
          <cell r="C232">
            <v>19</v>
          </cell>
          <cell r="D232">
            <v>3912</v>
          </cell>
        </row>
        <row r="233">
          <cell r="B233" t="str">
            <v>Midscale w/o F&amp;B</v>
          </cell>
          <cell r="C233">
            <v>15</v>
          </cell>
          <cell r="D233">
            <v>2075</v>
          </cell>
        </row>
        <row r="234">
          <cell r="B234" t="str">
            <v>Upper Upscale</v>
          </cell>
          <cell r="C234">
            <v>9</v>
          </cell>
          <cell r="D234">
            <v>11887</v>
          </cell>
        </row>
        <row r="235">
          <cell r="B235" t="str">
            <v>Upscale</v>
          </cell>
          <cell r="C235">
            <v>11</v>
          </cell>
          <cell r="D235">
            <v>3502</v>
          </cell>
        </row>
      </sheetData>
      <sheetData sheetId="1" refreshError="1">
        <row r="36">
          <cell r="EP36">
            <v>129283</v>
          </cell>
          <cell r="EQ36">
            <v>124286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25 Summ full"/>
      <sheetName val="Top Cos conv full"/>
      <sheetName val="Top Cos Summ full"/>
      <sheetName val="Chain Scale Summ p1"/>
      <sheetName val="Top Cos Summ p2"/>
      <sheetName val="Top Cos conv p3"/>
      <sheetName val="Top 25 Summ p4"/>
      <sheetName val="Top 25 Summ"/>
      <sheetName val="Top 25 Piv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AA5" t="str">
            <v>Anaheim, CA</v>
          </cell>
          <cell r="AB5">
            <v>375</v>
          </cell>
          <cell r="AC5">
            <v>51128</v>
          </cell>
          <cell r="AD5">
            <v>12</v>
          </cell>
          <cell r="AE5">
            <v>8</v>
          </cell>
          <cell r="AF5">
            <v>5</v>
          </cell>
          <cell r="AG5">
            <v>13</v>
          </cell>
          <cell r="AH5">
            <v>5</v>
          </cell>
          <cell r="AI5">
            <v>2415</v>
          </cell>
          <cell r="AJ5">
            <v>1771</v>
          </cell>
          <cell r="AK5">
            <v>863</v>
          </cell>
          <cell r="AL5">
            <v>2634</v>
          </cell>
          <cell r="AM5">
            <v>1687</v>
          </cell>
          <cell r="AN5">
            <v>15</v>
          </cell>
          <cell r="AO5">
            <v>10</v>
          </cell>
          <cell r="AP5">
            <v>5</v>
          </cell>
          <cell r="AQ5">
            <v>15</v>
          </cell>
          <cell r="AR5">
            <v>5</v>
          </cell>
          <cell r="AS5">
            <v>3448</v>
          </cell>
          <cell r="AT5">
            <v>2139</v>
          </cell>
          <cell r="AU5">
            <v>919</v>
          </cell>
          <cell r="AV5">
            <v>3058</v>
          </cell>
          <cell r="AW5">
            <v>1960</v>
          </cell>
          <cell r="AX5">
            <v>-3</v>
          </cell>
          <cell r="AY5">
            <v>-2</v>
          </cell>
          <cell r="AZ5">
            <v>0</v>
          </cell>
          <cell r="BA5">
            <v>-2</v>
          </cell>
          <cell r="BB5">
            <v>0</v>
          </cell>
          <cell r="BC5">
            <v>-1033</v>
          </cell>
          <cell r="BD5">
            <v>-368</v>
          </cell>
          <cell r="BE5">
            <v>-56</v>
          </cell>
          <cell r="BF5">
            <v>-424</v>
          </cell>
          <cell r="BG5">
            <v>-273</v>
          </cell>
          <cell r="BH5">
            <v>2</v>
          </cell>
          <cell r="BI5">
            <v>373</v>
          </cell>
          <cell r="BJ5">
            <v>5</v>
          </cell>
          <cell r="BK5">
            <v>847</v>
          </cell>
          <cell r="BL5">
            <v>4</v>
          </cell>
          <cell r="BM5">
            <v>1036</v>
          </cell>
          <cell r="BN5">
            <v>9</v>
          </cell>
          <cell r="BO5">
            <v>2438</v>
          </cell>
          <cell r="BP5">
            <v>18</v>
          </cell>
          <cell r="BQ5">
            <v>4321</v>
          </cell>
          <cell r="BR5">
            <v>18</v>
          </cell>
          <cell r="BS5">
            <v>4321</v>
          </cell>
          <cell r="BT5">
            <v>0</v>
          </cell>
        </row>
        <row r="6">
          <cell r="AA6" t="str">
            <v>Atlanta, GA</v>
          </cell>
          <cell r="AB6">
            <v>660</v>
          </cell>
          <cell r="AC6">
            <v>87040</v>
          </cell>
          <cell r="AD6">
            <v>25</v>
          </cell>
          <cell r="AE6">
            <v>14</v>
          </cell>
          <cell r="AF6">
            <v>13</v>
          </cell>
          <cell r="AG6">
            <v>27</v>
          </cell>
          <cell r="AH6">
            <v>14</v>
          </cell>
          <cell r="AI6">
            <v>2119</v>
          </cell>
          <cell r="AJ6">
            <v>1727</v>
          </cell>
          <cell r="AK6">
            <v>1676</v>
          </cell>
          <cell r="AL6">
            <v>3403</v>
          </cell>
          <cell r="AM6">
            <v>1990</v>
          </cell>
          <cell r="AN6">
            <v>26</v>
          </cell>
          <cell r="AO6">
            <v>16</v>
          </cell>
          <cell r="AP6">
            <v>16</v>
          </cell>
          <cell r="AQ6">
            <v>32</v>
          </cell>
          <cell r="AR6">
            <v>18</v>
          </cell>
          <cell r="AS6">
            <v>2543</v>
          </cell>
          <cell r="AT6">
            <v>1368</v>
          </cell>
          <cell r="AU6">
            <v>2559</v>
          </cell>
          <cell r="AV6">
            <v>3927</v>
          </cell>
          <cell r="AW6">
            <v>3236</v>
          </cell>
          <cell r="AX6">
            <v>-1</v>
          </cell>
          <cell r="AY6">
            <v>-2</v>
          </cell>
          <cell r="AZ6">
            <v>-3</v>
          </cell>
          <cell r="BA6">
            <v>-5</v>
          </cell>
          <cell r="BB6">
            <v>-4</v>
          </cell>
          <cell r="BC6">
            <v>-424</v>
          </cell>
          <cell r="BD6">
            <v>359</v>
          </cell>
          <cell r="BE6">
            <v>-883</v>
          </cell>
          <cell r="BF6">
            <v>-524</v>
          </cell>
          <cell r="BG6">
            <v>-1246</v>
          </cell>
          <cell r="BH6">
            <v>3</v>
          </cell>
          <cell r="BI6">
            <v>223</v>
          </cell>
          <cell r="BJ6">
            <v>12</v>
          </cell>
          <cell r="BK6">
            <v>884</v>
          </cell>
          <cell r="BL6">
            <v>10</v>
          </cell>
          <cell r="BM6">
            <v>1232</v>
          </cell>
          <cell r="BN6">
            <v>19</v>
          </cell>
          <cell r="BO6">
            <v>3277</v>
          </cell>
          <cell r="BP6">
            <v>41</v>
          </cell>
          <cell r="BQ6">
            <v>5393</v>
          </cell>
          <cell r="BR6">
            <v>41</v>
          </cell>
          <cell r="BS6">
            <v>5393</v>
          </cell>
          <cell r="BT6">
            <v>0</v>
          </cell>
        </row>
        <row r="7">
          <cell r="AA7" t="str">
            <v>Boston, MA</v>
          </cell>
          <cell r="AB7">
            <v>286</v>
          </cell>
          <cell r="AC7">
            <v>44501</v>
          </cell>
          <cell r="AD7">
            <v>13</v>
          </cell>
          <cell r="AE7">
            <v>18</v>
          </cell>
          <cell r="AF7">
            <v>13</v>
          </cell>
          <cell r="AG7">
            <v>31</v>
          </cell>
          <cell r="AH7">
            <v>10</v>
          </cell>
          <cell r="AI7">
            <v>1801</v>
          </cell>
          <cell r="AJ7">
            <v>2628</v>
          </cell>
          <cell r="AK7">
            <v>3343</v>
          </cell>
          <cell r="AL7">
            <v>5971</v>
          </cell>
          <cell r="AM7">
            <v>1778</v>
          </cell>
          <cell r="AN7">
            <v>16</v>
          </cell>
          <cell r="AO7">
            <v>17</v>
          </cell>
          <cell r="AP7">
            <v>16</v>
          </cell>
          <cell r="AQ7">
            <v>33</v>
          </cell>
          <cell r="AR7">
            <v>9</v>
          </cell>
          <cell r="AS7">
            <v>2375</v>
          </cell>
          <cell r="AT7">
            <v>2392</v>
          </cell>
          <cell r="AU7">
            <v>3715</v>
          </cell>
          <cell r="AV7">
            <v>6107</v>
          </cell>
          <cell r="AW7">
            <v>1353</v>
          </cell>
          <cell r="AX7">
            <v>-3</v>
          </cell>
          <cell r="AY7">
            <v>1</v>
          </cell>
          <cell r="AZ7">
            <v>-3</v>
          </cell>
          <cell r="BA7">
            <v>-2</v>
          </cell>
          <cell r="BB7">
            <v>1</v>
          </cell>
          <cell r="BC7">
            <v>-574</v>
          </cell>
          <cell r="BD7">
            <v>236</v>
          </cell>
          <cell r="BE7">
            <v>-372</v>
          </cell>
          <cell r="BF7">
            <v>-136</v>
          </cell>
          <cell r="BG7">
            <v>425</v>
          </cell>
          <cell r="BH7">
            <v>2</v>
          </cell>
          <cell r="BI7">
            <v>136</v>
          </cell>
          <cell r="BJ7">
            <v>13</v>
          </cell>
          <cell r="BK7">
            <v>1514</v>
          </cell>
          <cell r="BL7">
            <v>8</v>
          </cell>
          <cell r="BM7">
            <v>1368</v>
          </cell>
          <cell r="BN7">
            <v>20</v>
          </cell>
          <cell r="BO7">
            <v>4867</v>
          </cell>
          <cell r="BP7">
            <v>41</v>
          </cell>
          <cell r="BQ7">
            <v>7749</v>
          </cell>
          <cell r="BR7">
            <v>41</v>
          </cell>
          <cell r="BS7">
            <v>7749</v>
          </cell>
          <cell r="BT7">
            <v>0</v>
          </cell>
        </row>
        <row r="8">
          <cell r="AA8" t="str">
            <v>Chicago, IL</v>
          </cell>
          <cell r="AB8">
            <v>492</v>
          </cell>
          <cell r="AC8">
            <v>84380</v>
          </cell>
          <cell r="AD8">
            <v>16</v>
          </cell>
          <cell r="AE8">
            <v>11</v>
          </cell>
          <cell r="AF8">
            <v>21</v>
          </cell>
          <cell r="AG8">
            <v>32</v>
          </cell>
          <cell r="AH8">
            <v>12</v>
          </cell>
          <cell r="AI8">
            <v>2772</v>
          </cell>
          <cell r="AJ8">
            <v>1955</v>
          </cell>
          <cell r="AK8">
            <v>2951</v>
          </cell>
          <cell r="AL8">
            <v>4906</v>
          </cell>
          <cell r="AM8">
            <v>2737</v>
          </cell>
          <cell r="AN8">
            <v>17</v>
          </cell>
          <cell r="AO8">
            <v>15</v>
          </cell>
          <cell r="AP8">
            <v>15</v>
          </cell>
          <cell r="AQ8">
            <v>30</v>
          </cell>
          <cell r="AR8">
            <v>12</v>
          </cell>
          <cell r="AS8">
            <v>2727</v>
          </cell>
          <cell r="AT8">
            <v>2310</v>
          </cell>
          <cell r="AU8">
            <v>2303</v>
          </cell>
          <cell r="AV8">
            <v>4613</v>
          </cell>
          <cell r="AW8">
            <v>2186</v>
          </cell>
          <cell r="AX8">
            <v>-1</v>
          </cell>
          <cell r="AY8">
            <v>-4</v>
          </cell>
          <cell r="AZ8">
            <v>6</v>
          </cell>
          <cell r="BA8">
            <v>2</v>
          </cell>
          <cell r="BB8">
            <v>0</v>
          </cell>
          <cell r="BC8">
            <v>45</v>
          </cell>
          <cell r="BD8">
            <v>-355</v>
          </cell>
          <cell r="BE8">
            <v>648</v>
          </cell>
          <cell r="BF8">
            <v>293</v>
          </cell>
          <cell r="BG8">
            <v>551</v>
          </cell>
          <cell r="BH8">
            <v>3</v>
          </cell>
          <cell r="BI8">
            <v>325</v>
          </cell>
          <cell r="BJ8">
            <v>11</v>
          </cell>
          <cell r="BK8">
            <v>1859</v>
          </cell>
          <cell r="BL8">
            <v>12</v>
          </cell>
          <cell r="BM8">
            <v>1204</v>
          </cell>
          <cell r="BN8">
            <v>22</v>
          </cell>
          <cell r="BO8">
            <v>4804</v>
          </cell>
          <cell r="BP8">
            <v>45</v>
          </cell>
          <cell r="BQ8">
            <v>7867</v>
          </cell>
          <cell r="BR8">
            <v>44</v>
          </cell>
          <cell r="BS8">
            <v>7643</v>
          </cell>
          <cell r="BT8">
            <v>0</v>
          </cell>
        </row>
        <row r="9">
          <cell r="AA9" t="str">
            <v>Dallas, TX</v>
          </cell>
          <cell r="AB9">
            <v>453</v>
          </cell>
          <cell r="AC9">
            <v>64211</v>
          </cell>
          <cell r="AD9">
            <v>13</v>
          </cell>
          <cell r="AE9">
            <v>7</v>
          </cell>
          <cell r="AF9">
            <v>10</v>
          </cell>
          <cell r="AG9">
            <v>17</v>
          </cell>
          <cell r="AH9">
            <v>6</v>
          </cell>
          <cell r="AI9">
            <v>1357</v>
          </cell>
          <cell r="AJ9">
            <v>1282</v>
          </cell>
          <cell r="AK9">
            <v>1380</v>
          </cell>
          <cell r="AL9">
            <v>2662</v>
          </cell>
          <cell r="AM9">
            <v>962</v>
          </cell>
          <cell r="AN9">
            <v>17</v>
          </cell>
          <cell r="AO9">
            <v>9</v>
          </cell>
          <cell r="AP9">
            <v>11</v>
          </cell>
          <cell r="AQ9">
            <v>20</v>
          </cell>
          <cell r="AR9">
            <v>9</v>
          </cell>
          <cell r="AS9">
            <v>2154</v>
          </cell>
          <cell r="AT9">
            <v>1470</v>
          </cell>
          <cell r="AU9">
            <v>1209</v>
          </cell>
          <cell r="AV9">
            <v>2679</v>
          </cell>
          <cell r="AW9">
            <v>1886</v>
          </cell>
          <cell r="AX9">
            <v>-4</v>
          </cell>
          <cell r="AY9">
            <v>-2</v>
          </cell>
          <cell r="AZ9">
            <v>-1</v>
          </cell>
          <cell r="BA9">
            <v>-3</v>
          </cell>
          <cell r="BB9">
            <v>-3</v>
          </cell>
          <cell r="BC9">
            <v>-797</v>
          </cell>
          <cell r="BD9">
            <v>-188</v>
          </cell>
          <cell r="BE9">
            <v>171</v>
          </cell>
          <cell r="BF9">
            <v>-17</v>
          </cell>
          <cell r="BG9">
            <v>-924</v>
          </cell>
          <cell r="BH9">
            <v>3</v>
          </cell>
          <cell r="BI9">
            <v>276</v>
          </cell>
          <cell r="BJ9">
            <v>6</v>
          </cell>
          <cell r="BK9">
            <v>952</v>
          </cell>
          <cell r="BL9">
            <v>8</v>
          </cell>
          <cell r="BM9">
            <v>760</v>
          </cell>
          <cell r="BN9">
            <v>9</v>
          </cell>
          <cell r="BO9">
            <v>1912</v>
          </cell>
          <cell r="BP9">
            <v>23</v>
          </cell>
          <cell r="BQ9">
            <v>3624</v>
          </cell>
          <cell r="BR9">
            <v>23</v>
          </cell>
          <cell r="BS9">
            <v>3624</v>
          </cell>
          <cell r="BT9">
            <v>0</v>
          </cell>
        </row>
        <row r="10">
          <cell r="AA10" t="str">
            <v>Denver, CO</v>
          </cell>
          <cell r="AB10">
            <v>235</v>
          </cell>
          <cell r="AC10">
            <v>35326</v>
          </cell>
          <cell r="AD10">
            <v>4</v>
          </cell>
          <cell r="AE10">
            <v>5</v>
          </cell>
          <cell r="AF10">
            <v>12</v>
          </cell>
          <cell r="AG10">
            <v>17</v>
          </cell>
          <cell r="AH10">
            <v>8</v>
          </cell>
          <cell r="AI10">
            <v>325</v>
          </cell>
          <cell r="AJ10">
            <v>923</v>
          </cell>
          <cell r="AK10">
            <v>2996</v>
          </cell>
          <cell r="AL10">
            <v>3919</v>
          </cell>
          <cell r="AM10">
            <v>855</v>
          </cell>
          <cell r="AN10">
            <v>5</v>
          </cell>
          <cell r="AO10">
            <v>5</v>
          </cell>
          <cell r="AP10">
            <v>12</v>
          </cell>
          <cell r="AQ10">
            <v>17</v>
          </cell>
          <cell r="AR10">
            <v>5</v>
          </cell>
          <cell r="AS10">
            <v>393</v>
          </cell>
          <cell r="AT10">
            <v>936</v>
          </cell>
          <cell r="AU10">
            <v>2996</v>
          </cell>
          <cell r="AV10">
            <v>3932</v>
          </cell>
          <cell r="AW10">
            <v>505</v>
          </cell>
          <cell r="AX10">
            <v>-1</v>
          </cell>
          <cell r="AY10">
            <v>0</v>
          </cell>
          <cell r="AZ10">
            <v>0</v>
          </cell>
          <cell r="BA10">
            <v>0</v>
          </cell>
          <cell r="BB10">
            <v>3</v>
          </cell>
          <cell r="BC10">
            <v>-68</v>
          </cell>
          <cell r="BD10">
            <v>-13</v>
          </cell>
          <cell r="BE10">
            <v>0</v>
          </cell>
          <cell r="BF10">
            <v>-13</v>
          </cell>
          <cell r="BG10">
            <v>350</v>
          </cell>
          <cell r="BH10">
            <v>0</v>
          </cell>
          <cell r="BI10">
            <v>0</v>
          </cell>
          <cell r="BJ10">
            <v>3</v>
          </cell>
          <cell r="BK10">
            <v>470</v>
          </cell>
          <cell r="BL10">
            <v>11</v>
          </cell>
          <cell r="BM10">
            <v>1444</v>
          </cell>
          <cell r="BN10">
            <v>11</v>
          </cell>
          <cell r="BO10">
            <v>2860</v>
          </cell>
          <cell r="BP10">
            <v>25</v>
          </cell>
          <cell r="BQ10">
            <v>4774</v>
          </cell>
          <cell r="BR10">
            <v>25</v>
          </cell>
          <cell r="BS10">
            <v>4774</v>
          </cell>
          <cell r="BT10">
            <v>0</v>
          </cell>
        </row>
        <row r="11">
          <cell r="AA11" t="str">
            <v>Detroit, MI</v>
          </cell>
          <cell r="AB11">
            <v>309</v>
          </cell>
          <cell r="AC11">
            <v>37544</v>
          </cell>
          <cell r="AD11">
            <v>17</v>
          </cell>
          <cell r="AE11">
            <v>9</v>
          </cell>
          <cell r="AF11">
            <v>15</v>
          </cell>
          <cell r="AG11">
            <v>24</v>
          </cell>
          <cell r="AH11">
            <v>6</v>
          </cell>
          <cell r="AI11">
            <v>1527</v>
          </cell>
          <cell r="AJ11">
            <v>1064</v>
          </cell>
          <cell r="AK11">
            <v>1436</v>
          </cell>
          <cell r="AL11">
            <v>2500</v>
          </cell>
          <cell r="AM11">
            <v>702</v>
          </cell>
          <cell r="AN11">
            <v>13</v>
          </cell>
          <cell r="AO11">
            <v>14</v>
          </cell>
          <cell r="AP11">
            <v>14</v>
          </cell>
          <cell r="AQ11">
            <v>28</v>
          </cell>
          <cell r="AR11">
            <v>9</v>
          </cell>
          <cell r="AS11">
            <v>1201</v>
          </cell>
          <cell r="AT11">
            <v>1523</v>
          </cell>
          <cell r="AU11">
            <v>1392</v>
          </cell>
          <cell r="AV11">
            <v>2915</v>
          </cell>
          <cell r="AW11">
            <v>952</v>
          </cell>
          <cell r="AX11">
            <v>4</v>
          </cell>
          <cell r="AY11">
            <v>-5</v>
          </cell>
          <cell r="AZ11">
            <v>1</v>
          </cell>
          <cell r="BA11">
            <v>-4</v>
          </cell>
          <cell r="BB11">
            <v>-3</v>
          </cell>
          <cell r="BC11">
            <v>326</v>
          </cell>
          <cell r="BD11">
            <v>-459</v>
          </cell>
          <cell r="BE11">
            <v>44</v>
          </cell>
          <cell r="BF11">
            <v>-415</v>
          </cell>
          <cell r="BG11">
            <v>-250</v>
          </cell>
          <cell r="BH11">
            <v>5</v>
          </cell>
          <cell r="BI11">
            <v>454</v>
          </cell>
          <cell r="BJ11">
            <v>6</v>
          </cell>
          <cell r="BK11">
            <v>492</v>
          </cell>
          <cell r="BL11">
            <v>11</v>
          </cell>
          <cell r="BM11">
            <v>1254</v>
          </cell>
          <cell r="BN11">
            <v>13</v>
          </cell>
          <cell r="BO11">
            <v>1456</v>
          </cell>
          <cell r="BP11">
            <v>30</v>
          </cell>
          <cell r="BQ11">
            <v>3202</v>
          </cell>
          <cell r="BR11">
            <v>30</v>
          </cell>
          <cell r="BS11">
            <v>3202</v>
          </cell>
          <cell r="BT11">
            <v>0</v>
          </cell>
        </row>
        <row r="12">
          <cell r="AA12" t="str">
            <v>Houston, TX</v>
          </cell>
          <cell r="AB12">
            <v>404</v>
          </cell>
          <cell r="AC12">
            <v>52169</v>
          </cell>
          <cell r="AD12">
            <v>22</v>
          </cell>
          <cell r="AE12">
            <v>16</v>
          </cell>
          <cell r="AF12">
            <v>14</v>
          </cell>
          <cell r="AG12">
            <v>30</v>
          </cell>
          <cell r="AH12">
            <v>12</v>
          </cell>
          <cell r="AI12">
            <v>1776</v>
          </cell>
          <cell r="AJ12">
            <v>3237</v>
          </cell>
          <cell r="AK12">
            <v>1237</v>
          </cell>
          <cell r="AL12">
            <v>4474</v>
          </cell>
          <cell r="AM12">
            <v>1516</v>
          </cell>
          <cell r="AN12">
            <v>26</v>
          </cell>
          <cell r="AO12">
            <v>19</v>
          </cell>
          <cell r="AP12">
            <v>14</v>
          </cell>
          <cell r="AQ12">
            <v>33</v>
          </cell>
          <cell r="AR12">
            <v>11</v>
          </cell>
          <cell r="AS12">
            <v>1992</v>
          </cell>
          <cell r="AT12">
            <v>3505</v>
          </cell>
          <cell r="AU12">
            <v>1245</v>
          </cell>
          <cell r="AV12">
            <v>4750</v>
          </cell>
          <cell r="AW12">
            <v>1214</v>
          </cell>
          <cell r="AX12">
            <v>-4</v>
          </cell>
          <cell r="AY12">
            <v>-3</v>
          </cell>
          <cell r="AZ12">
            <v>0</v>
          </cell>
          <cell r="BA12">
            <v>-3</v>
          </cell>
          <cell r="BB12">
            <v>1</v>
          </cell>
          <cell r="BC12">
            <v>-216</v>
          </cell>
          <cell r="BD12">
            <v>-268</v>
          </cell>
          <cell r="BE12">
            <v>-8</v>
          </cell>
          <cell r="BF12">
            <v>-276</v>
          </cell>
          <cell r="BG12">
            <v>302</v>
          </cell>
          <cell r="BH12">
            <v>4</v>
          </cell>
          <cell r="BI12">
            <v>364</v>
          </cell>
          <cell r="BJ12">
            <v>15</v>
          </cell>
          <cell r="BK12">
            <v>1497</v>
          </cell>
          <cell r="BL12">
            <v>12</v>
          </cell>
          <cell r="BM12">
            <v>1354</v>
          </cell>
          <cell r="BN12">
            <v>15</v>
          </cell>
          <cell r="BO12">
            <v>3139</v>
          </cell>
          <cell r="BP12">
            <v>42</v>
          </cell>
          <cell r="BQ12">
            <v>5990</v>
          </cell>
          <cell r="BR12">
            <v>42</v>
          </cell>
          <cell r="BS12">
            <v>5990</v>
          </cell>
          <cell r="BT12">
            <v>0</v>
          </cell>
        </row>
        <row r="13">
          <cell r="AA13" t="str">
            <v>Los Angeles, CA</v>
          </cell>
          <cell r="AB13">
            <v>711</v>
          </cell>
          <cell r="AC13">
            <v>85325</v>
          </cell>
          <cell r="AD13">
            <v>7</v>
          </cell>
          <cell r="AE13">
            <v>9</v>
          </cell>
          <cell r="AF13">
            <v>10</v>
          </cell>
          <cell r="AG13">
            <v>19</v>
          </cell>
          <cell r="AH13">
            <v>6</v>
          </cell>
          <cell r="AI13">
            <v>1079</v>
          </cell>
          <cell r="AJ13">
            <v>1210</v>
          </cell>
          <cell r="AK13">
            <v>2040</v>
          </cell>
          <cell r="AL13">
            <v>3250</v>
          </cell>
          <cell r="AM13">
            <v>1341</v>
          </cell>
          <cell r="AN13">
            <v>10</v>
          </cell>
          <cell r="AO13">
            <v>7</v>
          </cell>
          <cell r="AP13">
            <v>14</v>
          </cell>
          <cell r="AQ13">
            <v>21</v>
          </cell>
          <cell r="AR13">
            <v>4</v>
          </cell>
          <cell r="AS13">
            <v>1244</v>
          </cell>
          <cell r="AT13">
            <v>897</v>
          </cell>
          <cell r="AU13">
            <v>2279</v>
          </cell>
          <cell r="AV13">
            <v>3176</v>
          </cell>
          <cell r="AW13">
            <v>1141</v>
          </cell>
          <cell r="AX13">
            <v>-3</v>
          </cell>
          <cell r="AY13">
            <v>2</v>
          </cell>
          <cell r="AZ13">
            <v>-4</v>
          </cell>
          <cell r="BA13">
            <v>-2</v>
          </cell>
          <cell r="BB13">
            <v>2</v>
          </cell>
          <cell r="BC13">
            <v>-165</v>
          </cell>
          <cell r="BD13">
            <v>313</v>
          </cell>
          <cell r="BE13">
            <v>-239</v>
          </cell>
          <cell r="BF13">
            <v>74</v>
          </cell>
          <cell r="BG13">
            <v>200</v>
          </cell>
          <cell r="BH13">
            <v>1</v>
          </cell>
          <cell r="BI13">
            <v>140</v>
          </cell>
          <cell r="BJ13">
            <v>8</v>
          </cell>
          <cell r="BK13">
            <v>996</v>
          </cell>
          <cell r="BL13">
            <v>4</v>
          </cell>
          <cell r="BM13">
            <v>486</v>
          </cell>
          <cell r="BN13">
            <v>13</v>
          </cell>
          <cell r="BO13">
            <v>3109</v>
          </cell>
          <cell r="BP13">
            <v>25</v>
          </cell>
          <cell r="BQ13">
            <v>4591</v>
          </cell>
          <cell r="BR13">
            <v>25</v>
          </cell>
          <cell r="BS13">
            <v>4591</v>
          </cell>
          <cell r="BT13">
            <v>0</v>
          </cell>
        </row>
        <row r="14">
          <cell r="AA14" t="str">
            <v>Miami, FL</v>
          </cell>
          <cell r="AB14">
            <v>291</v>
          </cell>
          <cell r="AC14">
            <v>44977</v>
          </cell>
          <cell r="AD14">
            <v>6</v>
          </cell>
          <cell r="AE14">
            <v>14</v>
          </cell>
          <cell r="AF14">
            <v>11</v>
          </cell>
          <cell r="AG14">
            <v>25</v>
          </cell>
          <cell r="AH14">
            <v>6</v>
          </cell>
          <cell r="AI14">
            <v>1246</v>
          </cell>
          <cell r="AJ14">
            <v>2709</v>
          </cell>
          <cell r="AK14">
            <v>1385</v>
          </cell>
          <cell r="AL14">
            <v>4094</v>
          </cell>
          <cell r="AM14">
            <v>788</v>
          </cell>
          <cell r="AN14">
            <v>7</v>
          </cell>
          <cell r="AO14">
            <v>14</v>
          </cell>
          <cell r="AP14">
            <v>13</v>
          </cell>
          <cell r="AQ14">
            <v>27</v>
          </cell>
          <cell r="AR14">
            <v>4</v>
          </cell>
          <cell r="AS14">
            <v>1461</v>
          </cell>
          <cell r="AT14">
            <v>2432</v>
          </cell>
          <cell r="AU14">
            <v>1555</v>
          </cell>
          <cell r="AV14">
            <v>3987</v>
          </cell>
          <cell r="AW14">
            <v>533</v>
          </cell>
          <cell r="AX14">
            <v>-1</v>
          </cell>
          <cell r="AY14">
            <v>0</v>
          </cell>
          <cell r="AZ14">
            <v>-2</v>
          </cell>
          <cell r="BA14">
            <v>-2</v>
          </cell>
          <cell r="BB14">
            <v>2</v>
          </cell>
          <cell r="BC14">
            <v>-215</v>
          </cell>
          <cell r="BD14">
            <v>277</v>
          </cell>
          <cell r="BE14">
            <v>-170</v>
          </cell>
          <cell r="BF14">
            <v>107</v>
          </cell>
          <cell r="BG14">
            <v>255</v>
          </cell>
          <cell r="BH14">
            <v>1</v>
          </cell>
          <cell r="BI14">
            <v>98</v>
          </cell>
          <cell r="BJ14">
            <v>11</v>
          </cell>
          <cell r="BK14">
            <v>2335</v>
          </cell>
          <cell r="BL14">
            <v>8</v>
          </cell>
          <cell r="BM14">
            <v>1006</v>
          </cell>
          <cell r="BN14">
            <v>12</v>
          </cell>
          <cell r="BO14">
            <v>1541</v>
          </cell>
          <cell r="BP14">
            <v>31</v>
          </cell>
          <cell r="BQ14">
            <v>4882</v>
          </cell>
          <cell r="BR14">
            <v>31</v>
          </cell>
          <cell r="BS14">
            <v>4882</v>
          </cell>
          <cell r="BT14">
            <v>0</v>
          </cell>
        </row>
        <row r="15">
          <cell r="AA15" t="str">
            <v>Minneapolis, MN</v>
          </cell>
          <cell r="AB15">
            <v>257</v>
          </cell>
          <cell r="AC15">
            <v>33103</v>
          </cell>
          <cell r="AD15">
            <v>7</v>
          </cell>
          <cell r="AE15">
            <v>8</v>
          </cell>
          <cell r="AF15">
            <v>6</v>
          </cell>
          <cell r="AG15">
            <v>14</v>
          </cell>
          <cell r="AH15">
            <v>4</v>
          </cell>
          <cell r="AI15">
            <v>865</v>
          </cell>
          <cell r="AJ15">
            <v>905</v>
          </cell>
          <cell r="AK15">
            <v>868</v>
          </cell>
          <cell r="AL15">
            <v>1773</v>
          </cell>
          <cell r="AM15">
            <v>296</v>
          </cell>
          <cell r="AN15">
            <v>9</v>
          </cell>
          <cell r="AO15">
            <v>8</v>
          </cell>
          <cell r="AP15">
            <v>6</v>
          </cell>
          <cell r="AQ15">
            <v>14</v>
          </cell>
          <cell r="AR15">
            <v>6</v>
          </cell>
          <cell r="AS15">
            <v>1052</v>
          </cell>
          <cell r="AT15">
            <v>956</v>
          </cell>
          <cell r="AU15">
            <v>922</v>
          </cell>
          <cell r="AV15">
            <v>1878</v>
          </cell>
          <cell r="AW15">
            <v>525</v>
          </cell>
          <cell r="AX15">
            <v>-2</v>
          </cell>
          <cell r="AY15">
            <v>0</v>
          </cell>
          <cell r="AZ15">
            <v>0</v>
          </cell>
          <cell r="BA15">
            <v>0</v>
          </cell>
          <cell r="BB15">
            <v>-2</v>
          </cell>
          <cell r="BC15">
            <v>-187</v>
          </cell>
          <cell r="BD15">
            <v>-51</v>
          </cell>
          <cell r="BE15">
            <v>-54</v>
          </cell>
          <cell r="BF15">
            <v>-105</v>
          </cell>
          <cell r="BG15">
            <v>-229</v>
          </cell>
          <cell r="BH15">
            <v>1</v>
          </cell>
          <cell r="BI15">
            <v>127</v>
          </cell>
          <cell r="BJ15">
            <v>8</v>
          </cell>
          <cell r="BK15">
            <v>905</v>
          </cell>
          <cell r="BL15">
            <v>3</v>
          </cell>
          <cell r="BM15">
            <v>260</v>
          </cell>
          <cell r="BN15">
            <v>8</v>
          </cell>
          <cell r="BO15">
            <v>1050</v>
          </cell>
          <cell r="BP15">
            <v>19</v>
          </cell>
          <cell r="BQ15">
            <v>2215</v>
          </cell>
          <cell r="BR15">
            <v>18</v>
          </cell>
          <cell r="BS15">
            <v>2069</v>
          </cell>
          <cell r="BT15">
            <v>0</v>
          </cell>
        </row>
        <row r="16">
          <cell r="AA16" t="str">
            <v>Nashville, TN</v>
          </cell>
          <cell r="AB16">
            <v>277</v>
          </cell>
          <cell r="AC16">
            <v>33756</v>
          </cell>
          <cell r="AD16">
            <v>10</v>
          </cell>
          <cell r="AE16">
            <v>4</v>
          </cell>
          <cell r="AF16">
            <v>2</v>
          </cell>
          <cell r="AG16">
            <v>6</v>
          </cell>
          <cell r="AH16">
            <v>2</v>
          </cell>
          <cell r="AI16">
            <v>1404</v>
          </cell>
          <cell r="AJ16">
            <v>356</v>
          </cell>
          <cell r="AK16">
            <v>159</v>
          </cell>
          <cell r="AL16">
            <v>515</v>
          </cell>
          <cell r="AM16">
            <v>200</v>
          </cell>
          <cell r="AN16">
            <v>10</v>
          </cell>
          <cell r="AO16">
            <v>2</v>
          </cell>
          <cell r="AP16">
            <v>2</v>
          </cell>
          <cell r="AQ16">
            <v>4</v>
          </cell>
          <cell r="AR16">
            <v>2</v>
          </cell>
          <cell r="AS16">
            <v>1394</v>
          </cell>
          <cell r="AT16">
            <v>169</v>
          </cell>
          <cell r="AU16">
            <v>165</v>
          </cell>
          <cell r="AV16">
            <v>334</v>
          </cell>
          <cell r="AW16">
            <v>159</v>
          </cell>
          <cell r="AX16">
            <v>0</v>
          </cell>
          <cell r="AY16">
            <v>2</v>
          </cell>
          <cell r="AZ16">
            <v>0</v>
          </cell>
          <cell r="BA16">
            <v>2</v>
          </cell>
          <cell r="BB16">
            <v>0</v>
          </cell>
          <cell r="BC16">
            <v>10</v>
          </cell>
          <cell r="BD16">
            <v>187</v>
          </cell>
          <cell r="BE16">
            <v>-6</v>
          </cell>
          <cell r="BF16">
            <v>181</v>
          </cell>
          <cell r="BG16">
            <v>41</v>
          </cell>
          <cell r="BH16">
            <v>1</v>
          </cell>
          <cell r="BI16">
            <v>74</v>
          </cell>
          <cell r="BJ16">
            <v>4</v>
          </cell>
          <cell r="BK16">
            <v>356</v>
          </cell>
          <cell r="BL16">
            <v>1</v>
          </cell>
          <cell r="BM16">
            <v>59</v>
          </cell>
          <cell r="BN16">
            <v>3</v>
          </cell>
          <cell r="BO16">
            <v>300</v>
          </cell>
          <cell r="BP16">
            <v>8</v>
          </cell>
          <cell r="BQ16">
            <v>715</v>
          </cell>
          <cell r="BR16">
            <v>8</v>
          </cell>
          <cell r="BS16">
            <v>715</v>
          </cell>
          <cell r="BT16">
            <v>0</v>
          </cell>
        </row>
        <row r="17">
          <cell r="AA17" t="str">
            <v>New Orleans, LA</v>
          </cell>
          <cell r="AB17">
            <v>202</v>
          </cell>
          <cell r="AC17">
            <v>34999</v>
          </cell>
          <cell r="AD17">
            <v>15</v>
          </cell>
          <cell r="AE17">
            <v>10</v>
          </cell>
          <cell r="AF17">
            <v>8</v>
          </cell>
          <cell r="AG17">
            <v>18</v>
          </cell>
          <cell r="AH17">
            <v>7</v>
          </cell>
          <cell r="AI17">
            <v>1667</v>
          </cell>
          <cell r="AJ17">
            <v>1790</v>
          </cell>
          <cell r="AK17">
            <v>1813</v>
          </cell>
          <cell r="AL17">
            <v>3603</v>
          </cell>
          <cell r="AM17">
            <v>1224</v>
          </cell>
          <cell r="AN17">
            <v>17</v>
          </cell>
          <cell r="AO17">
            <v>10</v>
          </cell>
          <cell r="AP17">
            <v>9</v>
          </cell>
          <cell r="AQ17">
            <v>19</v>
          </cell>
          <cell r="AR17">
            <v>10</v>
          </cell>
          <cell r="AS17">
            <v>2110</v>
          </cell>
          <cell r="AT17">
            <v>1796</v>
          </cell>
          <cell r="AU17">
            <v>2045</v>
          </cell>
          <cell r="AV17">
            <v>3841</v>
          </cell>
          <cell r="AW17">
            <v>1655</v>
          </cell>
          <cell r="AX17">
            <v>-2</v>
          </cell>
          <cell r="AY17">
            <v>0</v>
          </cell>
          <cell r="AZ17">
            <v>-1</v>
          </cell>
          <cell r="BA17">
            <v>-1</v>
          </cell>
          <cell r="BB17">
            <v>-3</v>
          </cell>
          <cell r="BC17">
            <v>-443</v>
          </cell>
          <cell r="BD17">
            <v>-6</v>
          </cell>
          <cell r="BE17">
            <v>-232</v>
          </cell>
          <cell r="BF17">
            <v>-238</v>
          </cell>
          <cell r="BG17">
            <v>-431</v>
          </cell>
          <cell r="BH17">
            <v>2</v>
          </cell>
          <cell r="BI17">
            <v>168</v>
          </cell>
          <cell r="BJ17">
            <v>9</v>
          </cell>
          <cell r="BK17">
            <v>1728</v>
          </cell>
          <cell r="BL17">
            <v>3</v>
          </cell>
          <cell r="BM17">
            <v>222</v>
          </cell>
          <cell r="BN17">
            <v>14</v>
          </cell>
          <cell r="BO17">
            <v>2977</v>
          </cell>
          <cell r="BP17">
            <v>26</v>
          </cell>
          <cell r="BQ17">
            <v>4927</v>
          </cell>
          <cell r="BR17">
            <v>25</v>
          </cell>
          <cell r="BS17">
            <v>4827</v>
          </cell>
          <cell r="BT17">
            <v>0</v>
          </cell>
        </row>
        <row r="18">
          <cell r="AA18" t="str">
            <v>New York, NY</v>
          </cell>
          <cell r="AB18">
            <v>295</v>
          </cell>
          <cell r="AC18">
            <v>76212</v>
          </cell>
          <cell r="AD18">
            <v>16</v>
          </cell>
          <cell r="AE18">
            <v>8</v>
          </cell>
          <cell r="AF18">
            <v>9</v>
          </cell>
          <cell r="AG18">
            <v>17</v>
          </cell>
          <cell r="AH18">
            <v>13</v>
          </cell>
          <cell r="AI18">
            <v>2451</v>
          </cell>
          <cell r="AJ18">
            <v>1846</v>
          </cell>
          <cell r="AK18">
            <v>1192</v>
          </cell>
          <cell r="AL18">
            <v>3038</v>
          </cell>
          <cell r="AM18">
            <v>1962</v>
          </cell>
          <cell r="AN18">
            <v>15</v>
          </cell>
          <cell r="AO18">
            <v>7</v>
          </cell>
          <cell r="AP18">
            <v>9</v>
          </cell>
          <cell r="AQ18">
            <v>16</v>
          </cell>
          <cell r="AR18">
            <v>10</v>
          </cell>
          <cell r="AS18">
            <v>2212</v>
          </cell>
          <cell r="AT18">
            <v>1770</v>
          </cell>
          <cell r="AU18">
            <v>1352</v>
          </cell>
          <cell r="AV18">
            <v>3122</v>
          </cell>
          <cell r="AW18">
            <v>1623</v>
          </cell>
          <cell r="AX18">
            <v>1</v>
          </cell>
          <cell r="AY18">
            <v>1</v>
          </cell>
          <cell r="AZ18">
            <v>0</v>
          </cell>
          <cell r="BA18">
            <v>1</v>
          </cell>
          <cell r="BB18">
            <v>3</v>
          </cell>
          <cell r="BC18">
            <v>239</v>
          </cell>
          <cell r="BD18">
            <v>76</v>
          </cell>
          <cell r="BE18">
            <v>-160</v>
          </cell>
          <cell r="BF18">
            <v>-84</v>
          </cell>
          <cell r="BG18">
            <v>339</v>
          </cell>
          <cell r="BH18">
            <v>2</v>
          </cell>
          <cell r="BI18">
            <v>381</v>
          </cell>
          <cell r="BJ18">
            <v>5</v>
          </cell>
          <cell r="BK18">
            <v>574</v>
          </cell>
          <cell r="BL18">
            <v>10</v>
          </cell>
          <cell r="BM18">
            <v>2104</v>
          </cell>
          <cell r="BN18">
            <v>15</v>
          </cell>
          <cell r="BO18">
            <v>2322</v>
          </cell>
          <cell r="BP18">
            <v>30</v>
          </cell>
          <cell r="BQ18">
            <v>5000</v>
          </cell>
          <cell r="BR18">
            <v>30</v>
          </cell>
          <cell r="BS18">
            <v>5000</v>
          </cell>
          <cell r="BT18">
            <v>0</v>
          </cell>
        </row>
        <row r="19">
          <cell r="AA19" t="str">
            <v>Norfolk, VA</v>
          </cell>
          <cell r="AB19">
            <v>329</v>
          </cell>
          <cell r="AC19">
            <v>35015</v>
          </cell>
          <cell r="AD19">
            <v>5</v>
          </cell>
          <cell r="AE19">
            <v>3</v>
          </cell>
          <cell r="AF19">
            <v>9</v>
          </cell>
          <cell r="AG19">
            <v>12</v>
          </cell>
          <cell r="AH19">
            <v>5</v>
          </cell>
          <cell r="AI19">
            <v>754</v>
          </cell>
          <cell r="AJ19">
            <v>386</v>
          </cell>
          <cell r="AK19">
            <v>901</v>
          </cell>
          <cell r="AL19">
            <v>1287</v>
          </cell>
          <cell r="AM19">
            <v>870</v>
          </cell>
          <cell r="AN19">
            <v>6</v>
          </cell>
          <cell r="AO19">
            <v>4</v>
          </cell>
          <cell r="AP19">
            <v>9</v>
          </cell>
          <cell r="AQ19">
            <v>13</v>
          </cell>
          <cell r="AR19">
            <v>6</v>
          </cell>
          <cell r="AS19">
            <v>1043</v>
          </cell>
          <cell r="AT19">
            <v>514</v>
          </cell>
          <cell r="AU19">
            <v>897</v>
          </cell>
          <cell r="AV19">
            <v>1411</v>
          </cell>
          <cell r="AW19">
            <v>960</v>
          </cell>
          <cell r="AX19">
            <v>-1</v>
          </cell>
          <cell r="AY19">
            <v>-1</v>
          </cell>
          <cell r="AZ19">
            <v>0</v>
          </cell>
          <cell r="BA19">
            <v>-1</v>
          </cell>
          <cell r="BB19">
            <v>-1</v>
          </cell>
          <cell r="BC19">
            <v>-289</v>
          </cell>
          <cell r="BD19">
            <v>-128</v>
          </cell>
          <cell r="BE19">
            <v>4</v>
          </cell>
          <cell r="BF19">
            <v>-124</v>
          </cell>
          <cell r="BG19">
            <v>-90</v>
          </cell>
          <cell r="BH19">
            <v>1</v>
          </cell>
          <cell r="BI19">
            <v>129</v>
          </cell>
          <cell r="BJ19">
            <v>2</v>
          </cell>
          <cell r="BK19">
            <v>226</v>
          </cell>
          <cell r="BL19">
            <v>9</v>
          </cell>
          <cell r="BM19">
            <v>943</v>
          </cell>
          <cell r="BN19">
            <v>6</v>
          </cell>
          <cell r="BO19">
            <v>988</v>
          </cell>
          <cell r="BP19">
            <v>17</v>
          </cell>
          <cell r="BQ19">
            <v>2157</v>
          </cell>
          <cell r="BR19">
            <v>17</v>
          </cell>
          <cell r="BS19">
            <v>2157</v>
          </cell>
          <cell r="BT19">
            <v>0</v>
          </cell>
        </row>
        <row r="20">
          <cell r="AA20" t="str">
            <v>Oahu Island</v>
          </cell>
          <cell r="AB20">
            <v>107</v>
          </cell>
          <cell r="AC20">
            <v>36506</v>
          </cell>
          <cell r="AD20">
            <v>1</v>
          </cell>
          <cell r="AE20">
            <v>0</v>
          </cell>
          <cell r="AF20">
            <v>0</v>
          </cell>
          <cell r="AG20">
            <v>0</v>
          </cell>
          <cell r="AH20">
            <v>1</v>
          </cell>
          <cell r="AI20">
            <v>453</v>
          </cell>
          <cell r="AJ20">
            <v>0</v>
          </cell>
          <cell r="AK20">
            <v>0</v>
          </cell>
          <cell r="AL20">
            <v>0</v>
          </cell>
          <cell r="AM20">
            <v>243</v>
          </cell>
          <cell r="AN20">
            <v>1</v>
          </cell>
          <cell r="AO20">
            <v>0</v>
          </cell>
          <cell r="AP20">
            <v>0</v>
          </cell>
          <cell r="AQ20">
            <v>0</v>
          </cell>
          <cell r="AR20">
            <v>1</v>
          </cell>
          <cell r="AS20">
            <v>453</v>
          </cell>
          <cell r="AT20">
            <v>0</v>
          </cell>
          <cell r="AU20">
            <v>0</v>
          </cell>
          <cell r="AV20">
            <v>0</v>
          </cell>
          <cell r="AW20">
            <v>299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-56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1</v>
          </cell>
          <cell r="BO20">
            <v>243</v>
          </cell>
          <cell r="BP20">
            <v>1</v>
          </cell>
          <cell r="BQ20">
            <v>243</v>
          </cell>
          <cell r="BR20">
            <v>1</v>
          </cell>
          <cell r="BS20">
            <v>243</v>
          </cell>
          <cell r="BT20">
            <v>0</v>
          </cell>
        </row>
        <row r="21">
          <cell r="AA21" t="str">
            <v>Orlando, FL</v>
          </cell>
          <cell r="AB21">
            <v>433</v>
          </cell>
          <cell r="AC21">
            <v>119582</v>
          </cell>
          <cell r="AD21">
            <v>12</v>
          </cell>
          <cell r="AE21">
            <v>13</v>
          </cell>
          <cell r="AF21">
            <v>19</v>
          </cell>
          <cell r="AG21">
            <v>32</v>
          </cell>
          <cell r="AH21">
            <v>10</v>
          </cell>
          <cell r="AI21">
            <v>4428</v>
          </cell>
          <cell r="AJ21">
            <v>6970</v>
          </cell>
          <cell r="AK21">
            <v>8801</v>
          </cell>
          <cell r="AL21">
            <v>15771</v>
          </cell>
          <cell r="AM21">
            <v>3535</v>
          </cell>
          <cell r="AN21">
            <v>13</v>
          </cell>
          <cell r="AO21">
            <v>14</v>
          </cell>
          <cell r="AP21">
            <v>18</v>
          </cell>
          <cell r="AQ21">
            <v>32</v>
          </cell>
          <cell r="AR21">
            <v>16</v>
          </cell>
          <cell r="AS21">
            <v>3644</v>
          </cell>
          <cell r="AT21">
            <v>8601</v>
          </cell>
          <cell r="AU21">
            <v>7461</v>
          </cell>
          <cell r="AV21">
            <v>16062</v>
          </cell>
          <cell r="AW21">
            <v>5791</v>
          </cell>
          <cell r="AX21">
            <v>-1</v>
          </cell>
          <cell r="AY21">
            <v>-1</v>
          </cell>
          <cell r="AZ21">
            <v>1</v>
          </cell>
          <cell r="BA21">
            <v>0</v>
          </cell>
          <cell r="BB21">
            <v>-6</v>
          </cell>
          <cell r="BC21">
            <v>784</v>
          </cell>
          <cell r="BD21">
            <v>-1631</v>
          </cell>
          <cell r="BE21">
            <v>1340</v>
          </cell>
          <cell r="BF21">
            <v>-291</v>
          </cell>
          <cell r="BG21">
            <v>-2256</v>
          </cell>
          <cell r="BH21">
            <v>2</v>
          </cell>
          <cell r="BI21">
            <v>1756</v>
          </cell>
          <cell r="BJ21">
            <v>7</v>
          </cell>
          <cell r="BK21">
            <v>1256</v>
          </cell>
          <cell r="BL21">
            <v>10</v>
          </cell>
          <cell r="BM21">
            <v>4509</v>
          </cell>
          <cell r="BN21">
            <v>26</v>
          </cell>
          <cell r="BO21">
            <v>13971</v>
          </cell>
          <cell r="BP21">
            <v>43</v>
          </cell>
          <cell r="BQ21">
            <v>19736</v>
          </cell>
          <cell r="BR21">
            <v>42</v>
          </cell>
          <cell r="BS21">
            <v>19306</v>
          </cell>
          <cell r="BT21">
            <v>0</v>
          </cell>
        </row>
        <row r="22">
          <cell r="AA22" t="str">
            <v>Philadelphia, PA</v>
          </cell>
          <cell r="AB22">
            <v>277</v>
          </cell>
          <cell r="AC22">
            <v>40235</v>
          </cell>
          <cell r="AD22">
            <v>11</v>
          </cell>
          <cell r="AE22">
            <v>5</v>
          </cell>
          <cell r="AF22">
            <v>10</v>
          </cell>
          <cell r="AG22">
            <v>15</v>
          </cell>
          <cell r="AH22">
            <v>4</v>
          </cell>
          <cell r="AI22">
            <v>1467</v>
          </cell>
          <cell r="AJ22">
            <v>631</v>
          </cell>
          <cell r="AK22">
            <v>1270</v>
          </cell>
          <cell r="AL22">
            <v>1901</v>
          </cell>
          <cell r="AM22">
            <v>664</v>
          </cell>
          <cell r="AN22">
            <v>9</v>
          </cell>
          <cell r="AO22">
            <v>8</v>
          </cell>
          <cell r="AP22">
            <v>10</v>
          </cell>
          <cell r="AQ22">
            <v>18</v>
          </cell>
          <cell r="AR22">
            <v>5</v>
          </cell>
          <cell r="AS22">
            <v>1102</v>
          </cell>
          <cell r="AT22">
            <v>1023</v>
          </cell>
          <cell r="AU22">
            <v>1210</v>
          </cell>
          <cell r="AV22">
            <v>2233</v>
          </cell>
          <cell r="AW22">
            <v>674</v>
          </cell>
          <cell r="AX22">
            <v>2</v>
          </cell>
          <cell r="AY22">
            <v>-3</v>
          </cell>
          <cell r="AZ22">
            <v>0</v>
          </cell>
          <cell r="BA22">
            <v>-3</v>
          </cell>
          <cell r="BB22">
            <v>-1</v>
          </cell>
          <cell r="BC22">
            <v>365</v>
          </cell>
          <cell r="BD22">
            <v>-392</v>
          </cell>
          <cell r="BE22">
            <v>60</v>
          </cell>
          <cell r="BF22">
            <v>-332</v>
          </cell>
          <cell r="BG22">
            <v>-10</v>
          </cell>
          <cell r="BH22">
            <v>3</v>
          </cell>
          <cell r="BI22">
            <v>389</v>
          </cell>
          <cell r="BJ22">
            <v>5</v>
          </cell>
          <cell r="BK22">
            <v>631</v>
          </cell>
          <cell r="BL22">
            <v>7</v>
          </cell>
          <cell r="BM22">
            <v>755</v>
          </cell>
          <cell r="BN22">
            <v>8</v>
          </cell>
          <cell r="BO22">
            <v>1429</v>
          </cell>
          <cell r="BP22">
            <v>20</v>
          </cell>
          <cell r="BQ22">
            <v>2815</v>
          </cell>
          <cell r="BR22">
            <v>19</v>
          </cell>
          <cell r="BS22">
            <v>2565</v>
          </cell>
          <cell r="BT22">
            <v>0</v>
          </cell>
        </row>
        <row r="23">
          <cell r="AA23" t="str">
            <v>Phoenix, AZ</v>
          </cell>
          <cell r="AB23">
            <v>351</v>
          </cell>
          <cell r="AC23">
            <v>51561</v>
          </cell>
          <cell r="AD23">
            <v>5</v>
          </cell>
          <cell r="AE23">
            <v>4</v>
          </cell>
          <cell r="AF23">
            <v>6</v>
          </cell>
          <cell r="AG23">
            <v>10</v>
          </cell>
          <cell r="AH23">
            <v>6</v>
          </cell>
          <cell r="AI23">
            <v>523</v>
          </cell>
          <cell r="AJ23">
            <v>2320</v>
          </cell>
          <cell r="AK23">
            <v>1702</v>
          </cell>
          <cell r="AL23">
            <v>4022</v>
          </cell>
          <cell r="AM23">
            <v>749</v>
          </cell>
          <cell r="AN23">
            <v>5</v>
          </cell>
          <cell r="AO23">
            <v>4</v>
          </cell>
          <cell r="AP23">
            <v>8</v>
          </cell>
          <cell r="AQ23">
            <v>12</v>
          </cell>
          <cell r="AR23">
            <v>9</v>
          </cell>
          <cell r="AS23">
            <v>498</v>
          </cell>
          <cell r="AT23">
            <v>2300</v>
          </cell>
          <cell r="AU23">
            <v>1797</v>
          </cell>
          <cell r="AV23">
            <v>4097</v>
          </cell>
          <cell r="AW23">
            <v>1434</v>
          </cell>
          <cell r="AX23">
            <v>0</v>
          </cell>
          <cell r="AY23">
            <v>0</v>
          </cell>
          <cell r="AZ23">
            <v>-2</v>
          </cell>
          <cell r="BA23">
            <v>-2</v>
          </cell>
          <cell r="BB23">
            <v>-3</v>
          </cell>
          <cell r="BC23">
            <v>25</v>
          </cell>
          <cell r="BD23">
            <v>20</v>
          </cell>
          <cell r="BE23">
            <v>-95</v>
          </cell>
          <cell r="BF23">
            <v>-75</v>
          </cell>
          <cell r="BG23">
            <v>-685</v>
          </cell>
          <cell r="BH23">
            <v>1</v>
          </cell>
          <cell r="BI23">
            <v>107</v>
          </cell>
          <cell r="BJ23">
            <v>1</v>
          </cell>
          <cell r="BK23">
            <v>500</v>
          </cell>
          <cell r="BL23">
            <v>5</v>
          </cell>
          <cell r="BM23">
            <v>2000</v>
          </cell>
          <cell r="BN23">
            <v>10</v>
          </cell>
          <cell r="BO23">
            <v>2271</v>
          </cell>
          <cell r="BP23">
            <v>16</v>
          </cell>
          <cell r="BQ23">
            <v>4771</v>
          </cell>
          <cell r="BR23">
            <v>16</v>
          </cell>
          <cell r="BS23">
            <v>4771</v>
          </cell>
          <cell r="BT23">
            <v>0</v>
          </cell>
        </row>
        <row r="24">
          <cell r="AA24" t="str">
            <v>Saint Louis, MO</v>
          </cell>
          <cell r="AB24">
            <v>240</v>
          </cell>
          <cell r="AC24">
            <v>31855</v>
          </cell>
          <cell r="AD24">
            <v>4</v>
          </cell>
          <cell r="AE24">
            <v>6</v>
          </cell>
          <cell r="AF24">
            <v>10</v>
          </cell>
          <cell r="AG24">
            <v>16</v>
          </cell>
          <cell r="AH24">
            <v>4</v>
          </cell>
          <cell r="AI24">
            <v>491</v>
          </cell>
          <cell r="AJ24">
            <v>1489</v>
          </cell>
          <cell r="AK24">
            <v>1364</v>
          </cell>
          <cell r="AL24">
            <v>2853</v>
          </cell>
          <cell r="AM24">
            <v>819</v>
          </cell>
          <cell r="AN24">
            <v>7</v>
          </cell>
          <cell r="AO24">
            <v>6</v>
          </cell>
          <cell r="AP24">
            <v>10</v>
          </cell>
          <cell r="AQ24">
            <v>16</v>
          </cell>
          <cell r="AR24">
            <v>5</v>
          </cell>
          <cell r="AS24">
            <v>897</v>
          </cell>
          <cell r="AT24">
            <v>1489</v>
          </cell>
          <cell r="AU24">
            <v>1274</v>
          </cell>
          <cell r="AV24">
            <v>2763</v>
          </cell>
          <cell r="AW24">
            <v>963</v>
          </cell>
          <cell r="AX24">
            <v>-3</v>
          </cell>
          <cell r="AY24">
            <v>0</v>
          </cell>
          <cell r="AZ24">
            <v>0</v>
          </cell>
          <cell r="BA24">
            <v>0</v>
          </cell>
          <cell r="BB24">
            <v>-1</v>
          </cell>
          <cell r="BC24">
            <v>-406</v>
          </cell>
          <cell r="BD24">
            <v>0</v>
          </cell>
          <cell r="BE24">
            <v>90</v>
          </cell>
          <cell r="BF24">
            <v>90</v>
          </cell>
          <cell r="BG24">
            <v>-144</v>
          </cell>
          <cell r="BH24">
            <v>0</v>
          </cell>
          <cell r="BI24">
            <v>0</v>
          </cell>
          <cell r="BJ24">
            <v>5</v>
          </cell>
          <cell r="BK24">
            <v>572</v>
          </cell>
          <cell r="BL24">
            <v>7</v>
          </cell>
          <cell r="BM24">
            <v>1496</v>
          </cell>
          <cell r="BN24">
            <v>9</v>
          </cell>
          <cell r="BO24">
            <v>1748</v>
          </cell>
          <cell r="BP24">
            <v>21</v>
          </cell>
          <cell r="BQ24">
            <v>3816</v>
          </cell>
          <cell r="BR24">
            <v>20</v>
          </cell>
          <cell r="BS24">
            <v>3672</v>
          </cell>
          <cell r="BT24">
            <v>0</v>
          </cell>
        </row>
        <row r="25">
          <cell r="AA25" t="str">
            <v>San Diego, CA</v>
          </cell>
          <cell r="AB25">
            <v>428</v>
          </cell>
          <cell r="AC25">
            <v>52427</v>
          </cell>
          <cell r="AD25">
            <v>8</v>
          </cell>
          <cell r="AE25">
            <v>8</v>
          </cell>
          <cell r="AF25">
            <v>12</v>
          </cell>
          <cell r="AG25">
            <v>20</v>
          </cell>
          <cell r="AH25">
            <v>18</v>
          </cell>
          <cell r="AI25">
            <v>1204</v>
          </cell>
          <cell r="AJ25">
            <v>2067</v>
          </cell>
          <cell r="AK25">
            <v>1853</v>
          </cell>
          <cell r="AL25">
            <v>3920</v>
          </cell>
          <cell r="AM25">
            <v>4007</v>
          </cell>
          <cell r="AN25">
            <v>4</v>
          </cell>
          <cell r="AO25">
            <v>11</v>
          </cell>
          <cell r="AP25">
            <v>12</v>
          </cell>
          <cell r="AQ25">
            <v>23</v>
          </cell>
          <cell r="AR25">
            <v>9</v>
          </cell>
          <cell r="AS25">
            <v>427</v>
          </cell>
          <cell r="AT25">
            <v>2712</v>
          </cell>
          <cell r="AU25">
            <v>2009</v>
          </cell>
          <cell r="AV25">
            <v>4721</v>
          </cell>
          <cell r="AW25">
            <v>2206</v>
          </cell>
          <cell r="AX25">
            <v>4</v>
          </cell>
          <cell r="AY25">
            <v>-3</v>
          </cell>
          <cell r="AZ25">
            <v>0</v>
          </cell>
          <cell r="BA25">
            <v>-3</v>
          </cell>
          <cell r="BB25">
            <v>9</v>
          </cell>
          <cell r="BC25">
            <v>777</v>
          </cell>
          <cell r="BD25">
            <v>-645</v>
          </cell>
          <cell r="BE25">
            <v>-156</v>
          </cell>
          <cell r="BF25">
            <v>-801</v>
          </cell>
          <cell r="BG25">
            <v>1801</v>
          </cell>
          <cell r="BH25">
            <v>4</v>
          </cell>
          <cell r="BI25">
            <v>777</v>
          </cell>
          <cell r="BJ25">
            <v>6</v>
          </cell>
          <cell r="BK25">
            <v>817</v>
          </cell>
          <cell r="BL25">
            <v>9</v>
          </cell>
          <cell r="BM25">
            <v>1926</v>
          </cell>
          <cell r="BN25">
            <v>23</v>
          </cell>
          <cell r="BO25">
            <v>5184</v>
          </cell>
          <cell r="BP25">
            <v>38</v>
          </cell>
          <cell r="BQ25">
            <v>7927</v>
          </cell>
          <cell r="BR25">
            <v>38</v>
          </cell>
          <cell r="BS25">
            <v>7927</v>
          </cell>
          <cell r="BT25">
            <v>0</v>
          </cell>
        </row>
        <row r="26">
          <cell r="AA26" t="str">
            <v>San Francisco, CA</v>
          </cell>
          <cell r="AB26">
            <v>360</v>
          </cell>
          <cell r="AC26">
            <v>51240</v>
          </cell>
          <cell r="AD26">
            <v>8</v>
          </cell>
          <cell r="AE26">
            <v>11</v>
          </cell>
          <cell r="AF26">
            <v>10</v>
          </cell>
          <cell r="AG26">
            <v>21</v>
          </cell>
          <cell r="AH26">
            <v>5</v>
          </cell>
          <cell r="AI26">
            <v>1467</v>
          </cell>
          <cell r="AJ26">
            <v>1177</v>
          </cell>
          <cell r="AK26">
            <v>2286</v>
          </cell>
          <cell r="AL26">
            <v>3463</v>
          </cell>
          <cell r="AM26">
            <v>1395</v>
          </cell>
          <cell r="AN26">
            <v>10</v>
          </cell>
          <cell r="AO26">
            <v>10</v>
          </cell>
          <cell r="AP26">
            <v>9</v>
          </cell>
          <cell r="AQ26">
            <v>19</v>
          </cell>
          <cell r="AR26">
            <v>6</v>
          </cell>
          <cell r="AS26">
            <v>1770</v>
          </cell>
          <cell r="AT26">
            <v>1396</v>
          </cell>
          <cell r="AU26">
            <v>2009</v>
          </cell>
          <cell r="AV26">
            <v>3405</v>
          </cell>
          <cell r="AW26">
            <v>1120</v>
          </cell>
          <cell r="AX26">
            <v>-2</v>
          </cell>
          <cell r="AY26">
            <v>1</v>
          </cell>
          <cell r="AZ26">
            <v>1</v>
          </cell>
          <cell r="BA26">
            <v>2</v>
          </cell>
          <cell r="BB26">
            <v>-1</v>
          </cell>
          <cell r="BC26">
            <v>-303</v>
          </cell>
          <cell r="BD26">
            <v>-219</v>
          </cell>
          <cell r="BE26">
            <v>277</v>
          </cell>
          <cell r="BF26">
            <v>58</v>
          </cell>
          <cell r="BG26">
            <v>275</v>
          </cell>
          <cell r="BH26">
            <v>1</v>
          </cell>
          <cell r="BI26">
            <v>362</v>
          </cell>
          <cell r="BJ26">
            <v>8</v>
          </cell>
          <cell r="BK26">
            <v>463</v>
          </cell>
          <cell r="BL26">
            <v>5</v>
          </cell>
          <cell r="BM26">
            <v>912</v>
          </cell>
          <cell r="BN26">
            <v>13</v>
          </cell>
          <cell r="BO26">
            <v>3483</v>
          </cell>
          <cell r="BP26">
            <v>26</v>
          </cell>
          <cell r="BQ26">
            <v>4858</v>
          </cell>
          <cell r="BR26">
            <v>26</v>
          </cell>
          <cell r="BS26">
            <v>4858</v>
          </cell>
          <cell r="BT26">
            <v>0</v>
          </cell>
        </row>
        <row r="27">
          <cell r="AA27" t="str">
            <v>Seattle, WA</v>
          </cell>
          <cell r="AB27">
            <v>292</v>
          </cell>
          <cell r="AC27">
            <v>35250</v>
          </cell>
          <cell r="AD27">
            <v>6</v>
          </cell>
          <cell r="AE27">
            <v>9</v>
          </cell>
          <cell r="AF27">
            <v>3</v>
          </cell>
          <cell r="AG27">
            <v>12</v>
          </cell>
          <cell r="AH27">
            <v>7</v>
          </cell>
          <cell r="AI27">
            <v>1124</v>
          </cell>
          <cell r="AJ27">
            <v>1467</v>
          </cell>
          <cell r="AK27">
            <v>235</v>
          </cell>
          <cell r="AL27">
            <v>1702</v>
          </cell>
          <cell r="AM27">
            <v>1576</v>
          </cell>
          <cell r="AN27">
            <v>7</v>
          </cell>
          <cell r="AO27">
            <v>9</v>
          </cell>
          <cell r="AP27">
            <v>6</v>
          </cell>
          <cell r="AQ27">
            <v>15</v>
          </cell>
          <cell r="AR27">
            <v>7</v>
          </cell>
          <cell r="AS27">
            <v>1483</v>
          </cell>
          <cell r="AT27">
            <v>1464</v>
          </cell>
          <cell r="AU27">
            <v>648</v>
          </cell>
          <cell r="AV27">
            <v>2112</v>
          </cell>
          <cell r="AW27">
            <v>1646</v>
          </cell>
          <cell r="AX27">
            <v>-1</v>
          </cell>
          <cell r="AY27">
            <v>0</v>
          </cell>
          <cell r="AZ27">
            <v>-3</v>
          </cell>
          <cell r="BA27">
            <v>-3</v>
          </cell>
          <cell r="BB27">
            <v>0</v>
          </cell>
          <cell r="BC27">
            <v>-359</v>
          </cell>
          <cell r="BD27">
            <v>3</v>
          </cell>
          <cell r="BE27">
            <v>-413</v>
          </cell>
          <cell r="BF27">
            <v>-410</v>
          </cell>
          <cell r="BG27">
            <v>-70</v>
          </cell>
          <cell r="BH27">
            <v>1</v>
          </cell>
          <cell r="BI27">
            <v>62</v>
          </cell>
          <cell r="BJ27">
            <v>6</v>
          </cell>
          <cell r="BK27">
            <v>511</v>
          </cell>
          <cell r="BL27">
            <v>6</v>
          </cell>
          <cell r="BM27">
            <v>1191</v>
          </cell>
          <cell r="BN27">
            <v>7</v>
          </cell>
          <cell r="BO27">
            <v>1576</v>
          </cell>
          <cell r="BP27">
            <v>19</v>
          </cell>
          <cell r="BQ27">
            <v>3278</v>
          </cell>
          <cell r="BR27">
            <v>19</v>
          </cell>
          <cell r="BS27">
            <v>3278</v>
          </cell>
          <cell r="BT27">
            <v>0</v>
          </cell>
        </row>
        <row r="28">
          <cell r="AA28" t="str">
            <v>Tampa, FL</v>
          </cell>
          <cell r="AB28">
            <v>354</v>
          </cell>
          <cell r="AC28">
            <v>41855</v>
          </cell>
          <cell r="AD28">
            <v>8</v>
          </cell>
          <cell r="AE28">
            <v>5</v>
          </cell>
          <cell r="AF28">
            <v>8</v>
          </cell>
          <cell r="AG28">
            <v>13</v>
          </cell>
          <cell r="AH28">
            <v>10</v>
          </cell>
          <cell r="AI28">
            <v>1072</v>
          </cell>
          <cell r="AJ28">
            <v>410</v>
          </cell>
          <cell r="AK28">
            <v>1186</v>
          </cell>
          <cell r="AL28">
            <v>1596</v>
          </cell>
          <cell r="AM28">
            <v>1047</v>
          </cell>
          <cell r="AN28">
            <v>9</v>
          </cell>
          <cell r="AO28">
            <v>6</v>
          </cell>
          <cell r="AP28">
            <v>6</v>
          </cell>
          <cell r="AQ28">
            <v>12</v>
          </cell>
          <cell r="AR28">
            <v>11</v>
          </cell>
          <cell r="AS28">
            <v>1069</v>
          </cell>
          <cell r="AT28">
            <v>560</v>
          </cell>
          <cell r="AU28">
            <v>1003</v>
          </cell>
          <cell r="AV28">
            <v>1563</v>
          </cell>
          <cell r="AW28">
            <v>1295</v>
          </cell>
          <cell r="AX28">
            <v>-1</v>
          </cell>
          <cell r="AY28">
            <v>-1</v>
          </cell>
          <cell r="AZ28">
            <v>2</v>
          </cell>
          <cell r="BA28">
            <v>1</v>
          </cell>
          <cell r="BB28">
            <v>-1</v>
          </cell>
          <cell r="BC28">
            <v>3</v>
          </cell>
          <cell r="BD28">
            <v>-150</v>
          </cell>
          <cell r="BE28">
            <v>183</v>
          </cell>
          <cell r="BF28">
            <v>33</v>
          </cell>
          <cell r="BG28">
            <v>-248</v>
          </cell>
          <cell r="BH28">
            <v>1</v>
          </cell>
          <cell r="BI28">
            <v>152</v>
          </cell>
          <cell r="BJ28">
            <v>2</v>
          </cell>
          <cell r="BK28">
            <v>135</v>
          </cell>
          <cell r="BL28">
            <v>7</v>
          </cell>
          <cell r="BM28">
            <v>857</v>
          </cell>
          <cell r="BN28">
            <v>14</v>
          </cell>
          <cell r="BO28">
            <v>1651</v>
          </cell>
          <cell r="BP28">
            <v>23</v>
          </cell>
          <cell r="BQ28">
            <v>2643</v>
          </cell>
          <cell r="BR28">
            <v>23</v>
          </cell>
          <cell r="BS28">
            <v>2643</v>
          </cell>
          <cell r="BT28">
            <v>0</v>
          </cell>
        </row>
        <row r="29">
          <cell r="AA29" t="str">
            <v>Washington, DC</v>
          </cell>
          <cell r="AB29">
            <v>456</v>
          </cell>
          <cell r="AC29">
            <v>79978</v>
          </cell>
          <cell r="AD29">
            <v>10</v>
          </cell>
          <cell r="AE29">
            <v>12</v>
          </cell>
          <cell r="AF29">
            <v>18</v>
          </cell>
          <cell r="AG29">
            <v>30</v>
          </cell>
          <cell r="AH29">
            <v>20</v>
          </cell>
          <cell r="AI29">
            <v>1225</v>
          </cell>
          <cell r="AJ29">
            <v>2020</v>
          </cell>
          <cell r="AK29">
            <v>2875</v>
          </cell>
          <cell r="AL29">
            <v>4895</v>
          </cell>
          <cell r="AM29">
            <v>3823</v>
          </cell>
          <cell r="AN29">
            <v>13</v>
          </cell>
          <cell r="AO29">
            <v>14</v>
          </cell>
          <cell r="AP29">
            <v>17</v>
          </cell>
          <cell r="AQ29">
            <v>31</v>
          </cell>
          <cell r="AR29">
            <v>18</v>
          </cell>
          <cell r="AS29">
            <v>1495</v>
          </cell>
          <cell r="AT29">
            <v>2311</v>
          </cell>
          <cell r="AU29">
            <v>2783</v>
          </cell>
          <cell r="AV29">
            <v>5094</v>
          </cell>
          <cell r="AW29">
            <v>3300</v>
          </cell>
          <cell r="AX29">
            <v>-3</v>
          </cell>
          <cell r="AY29">
            <v>-2</v>
          </cell>
          <cell r="AZ29">
            <v>1</v>
          </cell>
          <cell r="BA29">
            <v>-1</v>
          </cell>
          <cell r="BB29">
            <v>2</v>
          </cell>
          <cell r="BC29">
            <v>-270</v>
          </cell>
          <cell r="BD29">
            <v>-291</v>
          </cell>
          <cell r="BE29">
            <v>92</v>
          </cell>
          <cell r="BF29">
            <v>-199</v>
          </cell>
          <cell r="BG29">
            <v>523</v>
          </cell>
          <cell r="BH29">
            <v>2</v>
          </cell>
          <cell r="BI29">
            <v>273</v>
          </cell>
          <cell r="BJ29">
            <v>10</v>
          </cell>
          <cell r="BK29">
            <v>1444</v>
          </cell>
          <cell r="BL29">
            <v>13</v>
          </cell>
          <cell r="BM29">
            <v>1773</v>
          </cell>
          <cell r="BN29">
            <v>27</v>
          </cell>
          <cell r="BO29">
            <v>5501</v>
          </cell>
          <cell r="BP29">
            <v>50</v>
          </cell>
          <cell r="BQ29">
            <v>8718</v>
          </cell>
          <cell r="BR29">
            <v>50</v>
          </cell>
          <cell r="BS29">
            <v>8718</v>
          </cell>
          <cell r="BT29">
            <v>0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census"/>
      <sheetName val="CENSUS pivots"/>
      <sheetName val="Mkt Lookups"/>
      <sheetName val="Pipeline pivots"/>
      <sheetName val="old open pivots"/>
      <sheetName val="lookups"/>
      <sheetName val="2A lookups"/>
      <sheetName val="Mkts 2A"/>
      <sheetName val="Mkts 2B"/>
      <sheetName val="Mkts2C1"/>
      <sheetName val="Mkts 2C2"/>
      <sheetName val=" Mkt OpStats Rank 2D"/>
      <sheetName val="Mkt Op Stats Compare 2E"/>
      <sheetName val="STR 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A10" t="str">
            <v>Anaheim, CA</v>
          </cell>
          <cell r="B10">
            <v>3</v>
          </cell>
          <cell r="C10">
            <v>390</v>
          </cell>
          <cell r="D10">
            <v>6</v>
          </cell>
          <cell r="E10">
            <v>645</v>
          </cell>
          <cell r="F10">
            <v>4</v>
          </cell>
          <cell r="G10">
            <v>733</v>
          </cell>
          <cell r="H10">
            <v>3</v>
          </cell>
          <cell r="I10">
            <v>667</v>
          </cell>
          <cell r="J10">
            <v>11</v>
          </cell>
          <cell r="K10">
            <v>2655</v>
          </cell>
          <cell r="L10">
            <v>24</v>
          </cell>
          <cell r="M10">
            <v>4700</v>
          </cell>
          <cell r="N10">
            <v>367</v>
          </cell>
          <cell r="O10">
            <v>49672</v>
          </cell>
          <cell r="P10">
            <v>1.2083763112313411E-2</v>
          </cell>
          <cell r="Q10">
            <v>12</v>
          </cell>
          <cell r="R10">
            <v>2685</v>
          </cell>
          <cell r="S10">
            <v>8</v>
          </cell>
          <cell r="T10">
            <v>2028</v>
          </cell>
          <cell r="U10">
            <v>20</v>
          </cell>
          <cell r="V10">
            <v>4713</v>
          </cell>
          <cell r="W10">
            <v>9.4882428732485105E-2</v>
          </cell>
          <cell r="X10">
            <v>3</v>
          </cell>
          <cell r="Y10">
            <v>851</v>
          </cell>
          <cell r="Z10">
            <v>4</v>
          </cell>
          <cell r="AA10">
            <v>793</v>
          </cell>
          <cell r="AB10">
            <v>9</v>
          </cell>
          <cell r="AC10">
            <v>1533</v>
          </cell>
          <cell r="AD10">
            <v>5</v>
          </cell>
          <cell r="AE10">
            <v>1175</v>
          </cell>
          <cell r="AF10">
            <v>5</v>
          </cell>
          <cell r="AG10">
            <v>2063</v>
          </cell>
          <cell r="AH10">
            <v>1.2381061253034408E-2</v>
          </cell>
        </row>
        <row r="11">
          <cell r="A11" t="str">
            <v>Atlanta, GA</v>
          </cell>
          <cell r="B11">
            <v>53</v>
          </cell>
          <cell r="C11">
            <v>5479</v>
          </cell>
          <cell r="D11">
            <v>44</v>
          </cell>
          <cell r="E11">
            <v>4672</v>
          </cell>
          <cell r="F11">
            <v>33</v>
          </cell>
          <cell r="G11">
            <v>3422</v>
          </cell>
          <cell r="H11">
            <v>30</v>
          </cell>
          <cell r="I11">
            <v>2809</v>
          </cell>
          <cell r="J11">
            <v>20</v>
          </cell>
          <cell r="K11">
            <v>1845</v>
          </cell>
          <cell r="L11">
            <v>127</v>
          </cell>
          <cell r="M11">
            <v>12748</v>
          </cell>
          <cell r="N11">
            <v>650</v>
          </cell>
          <cell r="O11">
            <v>85888</v>
          </cell>
          <cell r="P11">
            <v>2.0894070023159409E-2</v>
          </cell>
          <cell r="Q11">
            <v>19</v>
          </cell>
          <cell r="R11">
            <v>1702</v>
          </cell>
          <cell r="S11">
            <v>21</v>
          </cell>
          <cell r="T11">
            <v>3002</v>
          </cell>
          <cell r="U11">
            <v>40</v>
          </cell>
          <cell r="V11">
            <v>4704</v>
          </cell>
          <cell r="W11">
            <v>5.4769001490312968E-2</v>
          </cell>
          <cell r="X11">
            <v>21</v>
          </cell>
          <cell r="Y11">
            <v>3382</v>
          </cell>
          <cell r="Z11">
            <v>10</v>
          </cell>
          <cell r="AA11">
            <v>992</v>
          </cell>
          <cell r="AB11">
            <v>19</v>
          </cell>
          <cell r="AC11">
            <v>1414</v>
          </cell>
          <cell r="AD11">
            <v>18</v>
          </cell>
          <cell r="AE11">
            <v>1967</v>
          </cell>
          <cell r="AF11">
            <v>14</v>
          </cell>
          <cell r="AG11">
            <v>3713</v>
          </cell>
          <cell r="AH11">
            <v>2.1064122133982469E-2</v>
          </cell>
        </row>
        <row r="12">
          <cell r="A12" t="str">
            <v>Boston, MA</v>
          </cell>
          <cell r="B12">
            <v>2</v>
          </cell>
          <cell r="C12">
            <v>169</v>
          </cell>
          <cell r="D12">
            <v>14</v>
          </cell>
          <cell r="E12">
            <v>2185</v>
          </cell>
          <cell r="F12">
            <v>16</v>
          </cell>
          <cell r="G12">
            <v>2788</v>
          </cell>
          <cell r="H12">
            <v>12</v>
          </cell>
          <cell r="I12">
            <v>1601</v>
          </cell>
          <cell r="J12">
            <v>15</v>
          </cell>
          <cell r="K12">
            <v>2310</v>
          </cell>
          <cell r="L12">
            <v>57</v>
          </cell>
          <cell r="M12">
            <v>8884</v>
          </cell>
          <cell r="N12">
            <v>282</v>
          </cell>
          <cell r="O12">
            <v>44213</v>
          </cell>
          <cell r="P12">
            <v>1.0755746063873266E-2</v>
          </cell>
          <cell r="Q12">
            <v>15</v>
          </cell>
          <cell r="R12">
            <v>2037</v>
          </cell>
          <cell r="S12">
            <v>19</v>
          </cell>
          <cell r="T12">
            <v>3844</v>
          </cell>
          <cell r="U12">
            <v>34</v>
          </cell>
          <cell r="V12">
            <v>5881</v>
          </cell>
          <cell r="W12">
            <v>0.13301517653178929</v>
          </cell>
          <cell r="X12">
            <v>14</v>
          </cell>
          <cell r="Y12">
            <v>2239</v>
          </cell>
          <cell r="Z12">
            <v>3</v>
          </cell>
          <cell r="AA12">
            <v>201</v>
          </cell>
          <cell r="AB12">
            <v>9</v>
          </cell>
          <cell r="AC12">
            <v>1228</v>
          </cell>
          <cell r="AD12">
            <v>18</v>
          </cell>
          <cell r="AE12">
            <v>2671</v>
          </cell>
          <cell r="AF12">
            <v>18</v>
          </cell>
          <cell r="AG12">
            <v>4020</v>
          </cell>
          <cell r="AH12">
            <v>1.1730358435713116E-2</v>
          </cell>
        </row>
        <row r="13">
          <cell r="A13" t="str">
            <v>Chicago, IL</v>
          </cell>
          <cell r="B13">
            <v>18</v>
          </cell>
          <cell r="C13">
            <v>1849</v>
          </cell>
          <cell r="D13">
            <v>17</v>
          </cell>
          <cell r="E13">
            <v>2953</v>
          </cell>
          <cell r="F13">
            <v>27</v>
          </cell>
          <cell r="G13">
            <v>4145</v>
          </cell>
          <cell r="H13">
            <v>19</v>
          </cell>
          <cell r="I13">
            <v>2545</v>
          </cell>
          <cell r="J13">
            <v>15</v>
          </cell>
          <cell r="K13">
            <v>2468</v>
          </cell>
          <cell r="L13">
            <v>78</v>
          </cell>
          <cell r="M13">
            <v>12111</v>
          </cell>
          <cell r="N13">
            <v>487</v>
          </cell>
          <cell r="O13">
            <v>83796</v>
          </cell>
          <cell r="P13">
            <v>2.0385146838448515E-2</v>
          </cell>
          <cell r="Q13">
            <v>14</v>
          </cell>
          <cell r="R13">
            <v>2286</v>
          </cell>
          <cell r="S13">
            <v>25</v>
          </cell>
          <cell r="T13">
            <v>4823</v>
          </cell>
          <cell r="U13">
            <v>39</v>
          </cell>
          <cell r="V13">
            <v>7109</v>
          </cell>
          <cell r="W13">
            <v>8.4836985058952694E-2</v>
          </cell>
          <cell r="X13">
            <v>14</v>
          </cell>
          <cell r="Y13">
            <v>2489</v>
          </cell>
          <cell r="Z13">
            <v>5</v>
          </cell>
          <cell r="AA13">
            <v>535</v>
          </cell>
          <cell r="AB13">
            <v>16</v>
          </cell>
          <cell r="AC13">
            <v>2056</v>
          </cell>
          <cell r="AD13">
            <v>11</v>
          </cell>
          <cell r="AE13">
            <v>1383</v>
          </cell>
          <cell r="AF13">
            <v>21</v>
          </cell>
          <cell r="AG13">
            <v>5624</v>
          </cell>
          <cell r="AH13">
            <v>2.0934116059560713E-2</v>
          </cell>
        </row>
        <row r="14">
          <cell r="A14" t="str">
            <v>Dallas, TX</v>
          </cell>
          <cell r="B14">
            <v>32</v>
          </cell>
          <cell r="C14">
            <v>3170</v>
          </cell>
          <cell r="D14">
            <v>51</v>
          </cell>
          <cell r="E14">
            <v>7877</v>
          </cell>
          <cell r="F14">
            <v>29</v>
          </cell>
          <cell r="G14">
            <v>3805</v>
          </cell>
          <cell r="H14">
            <v>32</v>
          </cell>
          <cell r="I14">
            <v>3839</v>
          </cell>
          <cell r="J14">
            <v>14</v>
          </cell>
          <cell r="K14">
            <v>1872</v>
          </cell>
          <cell r="L14">
            <v>126</v>
          </cell>
          <cell r="M14">
            <v>17393</v>
          </cell>
          <cell r="N14">
            <v>447</v>
          </cell>
          <cell r="O14">
            <v>63653</v>
          </cell>
          <cell r="P14">
            <v>1.5484936652200144E-2</v>
          </cell>
          <cell r="Q14">
            <v>10</v>
          </cell>
          <cell r="R14">
            <v>1461</v>
          </cell>
          <cell r="S14">
            <v>16</v>
          </cell>
          <cell r="T14">
            <v>2713</v>
          </cell>
          <cell r="U14">
            <v>26</v>
          </cell>
          <cell r="V14">
            <v>4174</v>
          </cell>
          <cell r="W14">
            <v>6.5574285579627037E-2</v>
          </cell>
          <cell r="X14">
            <v>13</v>
          </cell>
          <cell r="Y14">
            <v>1808</v>
          </cell>
          <cell r="Z14">
            <v>4</v>
          </cell>
          <cell r="AA14">
            <v>358</v>
          </cell>
          <cell r="AB14">
            <v>11</v>
          </cell>
          <cell r="AC14">
            <v>1339</v>
          </cell>
          <cell r="AD14">
            <v>12</v>
          </cell>
          <cell r="AE14">
            <v>1174</v>
          </cell>
          <cell r="AF14">
            <v>12</v>
          </cell>
          <cell r="AG14">
            <v>3111</v>
          </cell>
          <cell r="AH14">
            <v>1.5608574124756519E-2</v>
          </cell>
        </row>
        <row r="15">
          <cell r="A15" t="str">
            <v>Denver, CO</v>
          </cell>
          <cell r="B15">
            <v>16</v>
          </cell>
          <cell r="C15">
            <v>1966</v>
          </cell>
          <cell r="D15">
            <v>32</v>
          </cell>
          <cell r="E15">
            <v>3514</v>
          </cell>
          <cell r="F15">
            <v>20</v>
          </cell>
          <cell r="G15">
            <v>2578</v>
          </cell>
          <cell r="H15">
            <v>16</v>
          </cell>
          <cell r="I15">
            <v>1998</v>
          </cell>
          <cell r="J15">
            <v>4</v>
          </cell>
          <cell r="K15">
            <v>328</v>
          </cell>
          <cell r="L15">
            <v>72</v>
          </cell>
          <cell r="M15">
            <v>8418</v>
          </cell>
          <cell r="N15">
            <v>232</v>
          </cell>
          <cell r="O15">
            <v>34922</v>
          </cell>
          <cell r="P15">
            <v>8.4955140805324722E-3</v>
          </cell>
          <cell r="Q15">
            <v>6</v>
          </cell>
          <cell r="R15">
            <v>1001</v>
          </cell>
          <cell r="S15">
            <v>11</v>
          </cell>
          <cell r="T15">
            <v>2894</v>
          </cell>
          <cell r="U15">
            <v>17</v>
          </cell>
          <cell r="V15">
            <v>3895</v>
          </cell>
          <cell r="W15">
            <v>0.11153427638737759</v>
          </cell>
          <cell r="X15">
            <v>7</v>
          </cell>
          <cell r="Y15">
            <v>1120</v>
          </cell>
          <cell r="Z15">
            <v>1</v>
          </cell>
          <cell r="AA15">
            <v>65</v>
          </cell>
          <cell r="AB15">
            <v>5</v>
          </cell>
          <cell r="AC15">
            <v>758</v>
          </cell>
          <cell r="AD15">
            <v>8</v>
          </cell>
          <cell r="AE15">
            <v>1275</v>
          </cell>
          <cell r="AF15">
            <v>10</v>
          </cell>
          <cell r="AG15">
            <v>2917</v>
          </cell>
          <cell r="AH15">
            <v>8.9518148175544068E-3</v>
          </cell>
        </row>
        <row r="16">
          <cell r="A16" t="str">
            <v>Detroit, MI</v>
          </cell>
          <cell r="B16">
            <v>11</v>
          </cell>
          <cell r="C16">
            <v>1112</v>
          </cell>
          <cell r="D16">
            <v>18</v>
          </cell>
          <cell r="E16">
            <v>1834</v>
          </cell>
          <cell r="F16">
            <v>11</v>
          </cell>
          <cell r="G16">
            <v>1298</v>
          </cell>
          <cell r="H16">
            <v>17</v>
          </cell>
          <cell r="I16">
            <v>1910</v>
          </cell>
          <cell r="J16">
            <v>10</v>
          </cell>
          <cell r="K16">
            <v>872</v>
          </cell>
          <cell r="L16">
            <v>56</v>
          </cell>
          <cell r="M16">
            <v>5914</v>
          </cell>
          <cell r="N16">
            <v>299</v>
          </cell>
          <cell r="O16">
            <v>36579</v>
          </cell>
          <cell r="P16">
            <v>8.8986143276959303E-3</v>
          </cell>
          <cell r="Q16">
            <v>14</v>
          </cell>
          <cell r="R16">
            <v>1677</v>
          </cell>
          <cell r="S16">
            <v>13</v>
          </cell>
          <cell r="T16">
            <v>1273</v>
          </cell>
          <cell r="U16">
            <v>27</v>
          </cell>
          <cell r="V16">
            <v>2950</v>
          </cell>
          <cell r="W16">
            <v>8.0647365975012986E-2</v>
          </cell>
          <cell r="X16">
            <v>12</v>
          </cell>
          <cell r="Y16">
            <v>1271</v>
          </cell>
          <cell r="Z16">
            <v>6</v>
          </cell>
          <cell r="AA16">
            <v>578</v>
          </cell>
          <cell r="AB16">
            <v>15</v>
          </cell>
          <cell r="AC16">
            <v>1408</v>
          </cell>
          <cell r="AD16">
            <v>11</v>
          </cell>
          <cell r="AE16">
            <v>1456</v>
          </cell>
          <cell r="AF16">
            <v>7</v>
          </cell>
          <cell r="AG16">
            <v>779</v>
          </cell>
          <cell r="AH16">
            <v>9.1452548903578085E-3</v>
          </cell>
        </row>
        <row r="17">
          <cell r="A17" t="str">
            <v>Houston, TX</v>
          </cell>
          <cell r="B17">
            <v>35</v>
          </cell>
          <cell r="C17">
            <v>2811</v>
          </cell>
          <cell r="D17">
            <v>40</v>
          </cell>
          <cell r="E17">
            <v>4304</v>
          </cell>
          <cell r="F17">
            <v>27</v>
          </cell>
          <cell r="G17">
            <v>2458</v>
          </cell>
          <cell r="H17">
            <v>29</v>
          </cell>
          <cell r="I17">
            <v>2490</v>
          </cell>
          <cell r="J17">
            <v>22</v>
          </cell>
          <cell r="K17">
            <v>1806</v>
          </cell>
          <cell r="L17">
            <v>118</v>
          </cell>
          <cell r="M17">
            <v>11058</v>
          </cell>
          <cell r="N17">
            <v>396</v>
          </cell>
          <cell r="O17">
            <v>51316</v>
          </cell>
          <cell r="P17">
            <v>1.2483700834906486E-2</v>
          </cell>
          <cell r="Q17">
            <v>17</v>
          </cell>
          <cell r="R17">
            <v>2969</v>
          </cell>
          <cell r="S17">
            <v>17</v>
          </cell>
          <cell r="T17">
            <v>1551</v>
          </cell>
          <cell r="U17">
            <v>34</v>
          </cell>
          <cell r="V17">
            <v>4520</v>
          </cell>
          <cell r="W17">
            <v>8.8081689921272119E-2</v>
          </cell>
          <cell r="X17">
            <v>9</v>
          </cell>
          <cell r="Y17">
            <v>1413</v>
          </cell>
          <cell r="Z17">
            <v>3</v>
          </cell>
          <cell r="AA17">
            <v>210</v>
          </cell>
          <cell r="AB17">
            <v>24</v>
          </cell>
          <cell r="AC17">
            <v>2134</v>
          </cell>
          <cell r="AD17">
            <v>8</v>
          </cell>
          <cell r="AE17">
            <v>950</v>
          </cell>
          <cell r="AF17">
            <v>8</v>
          </cell>
          <cell r="AG17">
            <v>2639</v>
          </cell>
          <cell r="AH17">
            <v>1.2832271990639563E-2</v>
          </cell>
        </row>
        <row r="18">
          <cell r="A18" t="str">
            <v>Los Angeles, CA</v>
          </cell>
          <cell r="B18">
            <v>8</v>
          </cell>
          <cell r="C18">
            <v>754</v>
          </cell>
          <cell r="D18">
            <v>10</v>
          </cell>
          <cell r="E18">
            <v>1324</v>
          </cell>
          <cell r="F18">
            <v>12</v>
          </cell>
          <cell r="G18">
            <v>1302</v>
          </cell>
          <cell r="H18">
            <v>8</v>
          </cell>
          <cell r="I18">
            <v>1017</v>
          </cell>
          <cell r="J18">
            <v>7</v>
          </cell>
          <cell r="K18">
            <v>763</v>
          </cell>
          <cell r="L18">
            <v>37</v>
          </cell>
          <cell r="M18">
            <v>4406</v>
          </cell>
          <cell r="N18">
            <v>705</v>
          </cell>
          <cell r="O18">
            <v>84566</v>
          </cell>
          <cell r="P18">
            <v>2.0572465601463519E-2</v>
          </cell>
          <cell r="Q18">
            <v>8</v>
          </cell>
          <cell r="R18">
            <v>1094</v>
          </cell>
          <cell r="S18">
            <v>15</v>
          </cell>
          <cell r="T18">
            <v>2607</v>
          </cell>
          <cell r="U18">
            <v>23</v>
          </cell>
          <cell r="V18">
            <v>3701</v>
          </cell>
          <cell r="W18">
            <v>4.376463354066646E-2</v>
          </cell>
          <cell r="X18">
            <v>8</v>
          </cell>
          <cell r="Y18">
            <v>1808</v>
          </cell>
          <cell r="Z18">
            <v>4</v>
          </cell>
          <cell r="AA18">
            <v>534</v>
          </cell>
          <cell r="AB18">
            <v>8</v>
          </cell>
          <cell r="AC18">
            <v>957</v>
          </cell>
          <cell r="AD18">
            <v>11</v>
          </cell>
          <cell r="AE18">
            <v>1654</v>
          </cell>
          <cell r="AF18">
            <v>8</v>
          </cell>
          <cell r="AG18">
            <v>2364</v>
          </cell>
          <cell r="AH18">
            <v>2.019016750610244E-2</v>
          </cell>
        </row>
        <row r="19">
          <cell r="A19" t="str">
            <v>Miami, FL</v>
          </cell>
          <cell r="B19">
            <v>6</v>
          </cell>
          <cell r="C19">
            <v>591</v>
          </cell>
          <cell r="D19">
            <v>5</v>
          </cell>
          <cell r="E19">
            <v>1314</v>
          </cell>
          <cell r="F19">
            <v>10</v>
          </cell>
          <cell r="G19">
            <v>1374</v>
          </cell>
          <cell r="H19">
            <v>8</v>
          </cell>
          <cell r="I19">
            <v>1575</v>
          </cell>
          <cell r="J19">
            <v>6</v>
          </cell>
          <cell r="K19">
            <v>1366</v>
          </cell>
          <cell r="L19">
            <v>29</v>
          </cell>
          <cell r="M19">
            <v>5629</v>
          </cell>
          <cell r="N19">
            <v>287</v>
          </cell>
          <cell r="O19">
            <v>44487</v>
          </cell>
          <cell r="P19">
            <v>1.0822402350972111E-2</v>
          </cell>
          <cell r="Q19">
            <v>16</v>
          </cell>
          <cell r="R19">
            <v>2839</v>
          </cell>
          <cell r="S19">
            <v>14</v>
          </cell>
          <cell r="T19">
            <v>1699</v>
          </cell>
          <cell r="U19">
            <v>30</v>
          </cell>
          <cell r="V19">
            <v>4538</v>
          </cell>
          <cell r="W19">
            <v>0.10200732798345584</v>
          </cell>
          <cell r="X19">
            <v>2</v>
          </cell>
          <cell r="Y19">
            <v>347</v>
          </cell>
          <cell r="Z19">
            <v>5</v>
          </cell>
          <cell r="AA19">
            <v>773</v>
          </cell>
          <cell r="AB19">
            <v>12</v>
          </cell>
          <cell r="AC19">
            <v>2043</v>
          </cell>
          <cell r="AD19">
            <v>11</v>
          </cell>
          <cell r="AE19">
            <v>1385</v>
          </cell>
          <cell r="AF19">
            <v>4</v>
          </cell>
          <cell r="AG19">
            <v>684</v>
          </cell>
          <cell r="AH19">
            <v>1.1066655010949649E-2</v>
          </cell>
        </row>
        <row r="20">
          <cell r="A20" t="str">
            <v>Minneapolis, MN</v>
          </cell>
          <cell r="B20">
            <v>16</v>
          </cell>
          <cell r="C20">
            <v>1383</v>
          </cell>
          <cell r="D20">
            <v>28</v>
          </cell>
          <cell r="E20">
            <v>2856</v>
          </cell>
          <cell r="F20">
            <v>9</v>
          </cell>
          <cell r="G20">
            <v>982</v>
          </cell>
          <cell r="H20">
            <v>10</v>
          </cell>
          <cell r="I20">
            <v>929</v>
          </cell>
          <cell r="J20">
            <v>8</v>
          </cell>
          <cell r="K20">
            <v>932</v>
          </cell>
          <cell r="L20">
            <v>55</v>
          </cell>
          <cell r="M20">
            <v>5699</v>
          </cell>
          <cell r="N20">
            <v>253</v>
          </cell>
          <cell r="O20">
            <v>32550</v>
          </cell>
          <cell r="P20">
            <v>7.9184749819979378E-3</v>
          </cell>
          <cell r="Q20">
            <v>6</v>
          </cell>
          <cell r="R20">
            <v>795</v>
          </cell>
          <cell r="S20">
            <v>4</v>
          </cell>
          <cell r="T20">
            <v>709</v>
          </cell>
          <cell r="U20">
            <v>10</v>
          </cell>
          <cell r="V20">
            <v>1504</v>
          </cell>
          <cell r="W20">
            <v>4.6205837173579109E-2</v>
          </cell>
          <cell r="X20">
            <v>8</v>
          </cell>
          <cell r="Y20">
            <v>881</v>
          </cell>
          <cell r="Z20">
            <v>2</v>
          </cell>
          <cell r="AA20">
            <v>247</v>
          </cell>
          <cell r="AB20">
            <v>6</v>
          </cell>
          <cell r="AC20">
            <v>607</v>
          </cell>
          <cell r="AD20">
            <v>7</v>
          </cell>
          <cell r="AE20">
            <v>775</v>
          </cell>
          <cell r="AF20">
            <v>3</v>
          </cell>
          <cell r="AG20">
            <v>756</v>
          </cell>
          <cell r="AH20">
            <v>7.8306244998688733E-3</v>
          </cell>
        </row>
        <row r="21">
          <cell r="A21" t="str">
            <v>Nashville, TN</v>
          </cell>
          <cell r="B21">
            <v>20</v>
          </cell>
          <cell r="C21">
            <v>1634</v>
          </cell>
          <cell r="D21">
            <v>18</v>
          </cell>
          <cell r="E21">
            <v>1898</v>
          </cell>
          <cell r="F21">
            <v>11</v>
          </cell>
          <cell r="G21">
            <v>1222</v>
          </cell>
          <cell r="H21">
            <v>11</v>
          </cell>
          <cell r="I21">
            <v>1153</v>
          </cell>
          <cell r="J21">
            <v>6</v>
          </cell>
          <cell r="K21">
            <v>802</v>
          </cell>
          <cell r="L21">
            <v>46</v>
          </cell>
          <cell r="M21">
            <v>5075</v>
          </cell>
          <cell r="N21">
            <v>270</v>
          </cell>
          <cell r="O21">
            <v>32963</v>
          </cell>
          <cell r="P21">
            <v>8.0189459548878038E-3</v>
          </cell>
          <cell r="Q21">
            <v>5</v>
          </cell>
          <cell r="R21">
            <v>706</v>
          </cell>
          <cell r="S21">
            <v>6</v>
          </cell>
          <cell r="T21">
            <v>476</v>
          </cell>
          <cell r="U21">
            <v>11</v>
          </cell>
          <cell r="V21">
            <v>1182</v>
          </cell>
          <cell r="W21">
            <v>3.5858386675970029E-2</v>
          </cell>
          <cell r="X21">
            <v>6</v>
          </cell>
          <cell r="Y21">
            <v>645</v>
          </cell>
          <cell r="Z21">
            <v>4</v>
          </cell>
          <cell r="AA21">
            <v>592</v>
          </cell>
          <cell r="AB21">
            <v>5</v>
          </cell>
          <cell r="AC21">
            <v>400</v>
          </cell>
          <cell r="AD21">
            <v>5</v>
          </cell>
          <cell r="AE21">
            <v>435</v>
          </cell>
          <cell r="AF21">
            <v>3</v>
          </cell>
          <cell r="AG21">
            <v>400</v>
          </cell>
          <cell r="AH21">
            <v>7.7981229812634353E-3</v>
          </cell>
        </row>
        <row r="22">
          <cell r="A22" t="str">
            <v>New Orleans, LA</v>
          </cell>
          <cell r="B22">
            <v>11</v>
          </cell>
          <cell r="C22">
            <v>1045</v>
          </cell>
          <cell r="D22">
            <v>8</v>
          </cell>
          <cell r="E22">
            <v>1193</v>
          </cell>
          <cell r="F22">
            <v>9</v>
          </cell>
          <cell r="G22">
            <v>900</v>
          </cell>
          <cell r="H22">
            <v>16</v>
          </cell>
          <cell r="I22">
            <v>2491</v>
          </cell>
          <cell r="J22">
            <v>13</v>
          </cell>
          <cell r="K22">
            <v>1549</v>
          </cell>
          <cell r="L22">
            <v>46</v>
          </cell>
          <cell r="M22">
            <v>6133</v>
          </cell>
          <cell r="N22">
            <v>195</v>
          </cell>
          <cell r="O22">
            <v>34209</v>
          </cell>
          <cell r="P22">
            <v>8.322061771402994E-3</v>
          </cell>
          <cell r="Q22">
            <v>13</v>
          </cell>
          <cell r="R22">
            <v>2282</v>
          </cell>
          <cell r="S22">
            <v>10</v>
          </cell>
          <cell r="T22">
            <v>2038</v>
          </cell>
          <cell r="U22">
            <v>23</v>
          </cell>
          <cell r="V22">
            <v>4320</v>
          </cell>
          <cell r="W22">
            <v>0.12628255722178375</v>
          </cell>
          <cell r="X22">
            <v>7</v>
          </cell>
          <cell r="Y22">
            <v>1340</v>
          </cell>
          <cell r="Z22">
            <v>3</v>
          </cell>
          <cell r="AA22">
            <v>507</v>
          </cell>
          <cell r="AB22">
            <v>10</v>
          </cell>
          <cell r="AC22">
            <v>1725</v>
          </cell>
          <cell r="AD22">
            <v>12</v>
          </cell>
          <cell r="AE22">
            <v>1612</v>
          </cell>
          <cell r="AF22">
            <v>5</v>
          </cell>
          <cell r="AG22">
            <v>1816</v>
          </cell>
          <cell r="AH22">
            <v>8.9365727260704766E-3</v>
          </cell>
        </row>
        <row r="23">
          <cell r="A23" t="str">
            <v>New York, NY</v>
          </cell>
          <cell r="B23">
            <v>2</v>
          </cell>
          <cell r="C23">
            <v>154</v>
          </cell>
          <cell r="D23">
            <v>9</v>
          </cell>
          <cell r="E23">
            <v>2058</v>
          </cell>
          <cell r="F23">
            <v>6</v>
          </cell>
          <cell r="G23">
            <v>660</v>
          </cell>
          <cell r="H23">
            <v>18</v>
          </cell>
          <cell r="I23">
            <v>3615</v>
          </cell>
          <cell r="J23">
            <v>11</v>
          </cell>
          <cell r="K23">
            <v>1331</v>
          </cell>
          <cell r="L23">
            <v>44</v>
          </cell>
          <cell r="M23">
            <v>7664</v>
          </cell>
          <cell r="N23">
            <v>288</v>
          </cell>
          <cell r="O23">
            <v>74744</v>
          </cell>
          <cell r="P23">
            <v>1.8183056652978612E-2</v>
          </cell>
          <cell r="Q23">
            <v>11</v>
          </cell>
          <cell r="R23">
            <v>2657</v>
          </cell>
          <cell r="S23">
            <v>8</v>
          </cell>
          <cell r="T23">
            <v>1096</v>
          </cell>
          <cell r="U23">
            <v>19</v>
          </cell>
          <cell r="V23">
            <v>3753</v>
          </cell>
          <cell r="W23">
            <v>5.0211388205073315E-2</v>
          </cell>
          <cell r="X23">
            <v>7</v>
          </cell>
          <cell r="Y23">
            <v>1497</v>
          </cell>
          <cell r="Z23">
            <v>4</v>
          </cell>
          <cell r="AA23">
            <v>877</v>
          </cell>
          <cell r="AB23">
            <v>8</v>
          </cell>
          <cell r="AC23">
            <v>1778</v>
          </cell>
          <cell r="AD23">
            <v>8</v>
          </cell>
          <cell r="AE23">
            <v>1090</v>
          </cell>
          <cell r="AF23">
            <v>6</v>
          </cell>
          <cell r="AG23">
            <v>1505</v>
          </cell>
          <cell r="AH23">
            <v>1.7930527443609866E-2</v>
          </cell>
        </row>
        <row r="24">
          <cell r="A24" t="str">
            <v>Norfolk, VA</v>
          </cell>
          <cell r="B24">
            <v>9</v>
          </cell>
          <cell r="C24">
            <v>906</v>
          </cell>
          <cell r="D24">
            <v>7</v>
          </cell>
          <cell r="E24">
            <v>600</v>
          </cell>
          <cell r="F24">
            <v>4</v>
          </cell>
          <cell r="G24">
            <v>476</v>
          </cell>
          <cell r="H24">
            <v>9</v>
          </cell>
          <cell r="I24">
            <v>941</v>
          </cell>
          <cell r="J24">
            <v>6</v>
          </cell>
          <cell r="K24">
            <v>1043</v>
          </cell>
          <cell r="L24">
            <v>26</v>
          </cell>
          <cell r="M24">
            <v>3060</v>
          </cell>
          <cell r="N24">
            <v>328</v>
          </cell>
          <cell r="O24">
            <v>34886</v>
          </cell>
          <cell r="P24">
            <v>8.4867563201837179E-3</v>
          </cell>
          <cell r="Q24">
            <v>2</v>
          </cell>
          <cell r="R24">
            <v>226</v>
          </cell>
          <cell r="S24">
            <v>7</v>
          </cell>
          <cell r="T24">
            <v>1034</v>
          </cell>
          <cell r="U24">
            <v>9</v>
          </cell>
          <cell r="V24">
            <v>1260</v>
          </cell>
          <cell r="W24">
            <v>3.6117640314166144E-2</v>
          </cell>
          <cell r="X24">
            <v>9</v>
          </cell>
          <cell r="Y24">
            <v>1116</v>
          </cell>
          <cell r="Z24">
            <v>1</v>
          </cell>
          <cell r="AA24">
            <v>128</v>
          </cell>
          <cell r="AB24">
            <v>2</v>
          </cell>
          <cell r="AC24">
            <v>226</v>
          </cell>
          <cell r="AD24">
            <v>10</v>
          </cell>
          <cell r="AE24">
            <v>1082</v>
          </cell>
          <cell r="AF24">
            <v>5</v>
          </cell>
          <cell r="AG24">
            <v>940</v>
          </cell>
          <cell r="AH24">
            <v>8.3522178363851143E-3</v>
          </cell>
        </row>
        <row r="25">
          <cell r="A25" t="str">
            <v>Oahu Island, HI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48</v>
          </cell>
          <cell r="H25">
            <v>0</v>
          </cell>
          <cell r="I25">
            <v>0</v>
          </cell>
          <cell r="J25">
            <v>1</v>
          </cell>
          <cell r="K25">
            <v>453</v>
          </cell>
          <cell r="L25">
            <v>2</v>
          </cell>
          <cell r="M25">
            <v>501</v>
          </cell>
          <cell r="N25">
            <v>107</v>
          </cell>
          <cell r="O25">
            <v>36506</v>
          </cell>
          <cell r="P25">
            <v>8.8808555358776253E-3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299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299</v>
          </cell>
          <cell r="AH25">
            <v>8.2497820156769396E-3</v>
          </cell>
        </row>
        <row r="26">
          <cell r="A26" t="str">
            <v>Orlando, FL</v>
          </cell>
          <cell r="B26">
            <v>5</v>
          </cell>
          <cell r="C26">
            <v>2586</v>
          </cell>
          <cell r="D26">
            <v>27</v>
          </cell>
          <cell r="E26">
            <v>3301</v>
          </cell>
          <cell r="F26">
            <v>34</v>
          </cell>
          <cell r="G26">
            <v>7662</v>
          </cell>
          <cell r="H26">
            <v>20</v>
          </cell>
          <cell r="I26">
            <v>3502</v>
          </cell>
          <cell r="J26">
            <v>12</v>
          </cell>
          <cell r="K26">
            <v>3543</v>
          </cell>
          <cell r="L26">
            <v>93</v>
          </cell>
          <cell r="M26">
            <v>18008</v>
          </cell>
          <cell r="N26">
            <v>429</v>
          </cell>
          <cell r="O26">
            <v>117462</v>
          </cell>
          <cell r="P26">
            <v>2.8575112391257811E-2</v>
          </cell>
          <cell r="Q26">
            <v>12</v>
          </cell>
          <cell r="R26">
            <v>8363</v>
          </cell>
          <cell r="S26">
            <v>21</v>
          </cell>
          <cell r="T26">
            <v>6692</v>
          </cell>
          <cell r="U26">
            <v>33</v>
          </cell>
          <cell r="V26">
            <v>15055</v>
          </cell>
          <cell r="W26">
            <v>0.1281691100100458</v>
          </cell>
          <cell r="X26">
            <v>18</v>
          </cell>
          <cell r="Y26">
            <v>7152</v>
          </cell>
          <cell r="Z26">
            <v>1</v>
          </cell>
          <cell r="AA26">
            <v>100</v>
          </cell>
          <cell r="AB26">
            <v>11</v>
          </cell>
          <cell r="AC26">
            <v>5854</v>
          </cell>
          <cell r="AD26">
            <v>16</v>
          </cell>
          <cell r="AE26">
            <v>4687</v>
          </cell>
          <cell r="AF26">
            <v>23</v>
          </cell>
          <cell r="AG26">
            <v>11566</v>
          </cell>
          <cell r="AH26">
            <v>3.1306583462779036E-2</v>
          </cell>
        </row>
        <row r="27">
          <cell r="A27" t="str">
            <v>Philadelphia, PA</v>
          </cell>
          <cell r="B27">
            <v>2</v>
          </cell>
          <cell r="C27">
            <v>135</v>
          </cell>
          <cell r="D27">
            <v>20</v>
          </cell>
          <cell r="E27">
            <v>2335</v>
          </cell>
          <cell r="F27">
            <v>18</v>
          </cell>
          <cell r="G27">
            <v>2631</v>
          </cell>
          <cell r="H27">
            <v>13</v>
          </cell>
          <cell r="I27">
            <v>2704</v>
          </cell>
          <cell r="J27">
            <v>6</v>
          </cell>
          <cell r="K27">
            <v>782</v>
          </cell>
          <cell r="L27">
            <v>57</v>
          </cell>
          <cell r="M27">
            <v>8452</v>
          </cell>
          <cell r="N27">
            <v>271</v>
          </cell>
          <cell r="O27">
            <v>39526</v>
          </cell>
          <cell r="P27">
            <v>9.6155343206897215E-3</v>
          </cell>
          <cell r="Q27">
            <v>11</v>
          </cell>
          <cell r="R27">
            <v>1354</v>
          </cell>
          <cell r="S27">
            <v>8</v>
          </cell>
          <cell r="T27">
            <v>1006</v>
          </cell>
          <cell r="U27">
            <v>19</v>
          </cell>
          <cell r="V27">
            <v>2360</v>
          </cell>
          <cell r="W27">
            <v>5.9707534281232606E-2</v>
          </cell>
          <cell r="X27">
            <v>7</v>
          </cell>
          <cell r="Y27">
            <v>1061</v>
          </cell>
          <cell r="Z27">
            <v>3</v>
          </cell>
          <cell r="AA27">
            <v>363</v>
          </cell>
          <cell r="AB27">
            <v>9</v>
          </cell>
          <cell r="AC27">
            <v>1071</v>
          </cell>
          <cell r="AD27">
            <v>9</v>
          </cell>
          <cell r="AE27">
            <v>1045</v>
          </cell>
          <cell r="AF27">
            <v>5</v>
          </cell>
          <cell r="AG27">
            <v>942</v>
          </cell>
          <cell r="AH27">
            <v>9.6265015141224694E-3</v>
          </cell>
        </row>
        <row r="28">
          <cell r="A28" t="str">
            <v>Phoenix, AZ</v>
          </cell>
          <cell r="B28">
            <v>22</v>
          </cell>
          <cell r="C28">
            <v>2451</v>
          </cell>
          <cell r="D28">
            <v>48</v>
          </cell>
          <cell r="E28">
            <v>5297</v>
          </cell>
          <cell r="F28">
            <v>17</v>
          </cell>
          <cell r="G28">
            <v>2855</v>
          </cell>
          <cell r="H28">
            <v>12</v>
          </cell>
          <cell r="I28">
            <v>1643</v>
          </cell>
          <cell r="J28">
            <v>3</v>
          </cell>
          <cell r="K28">
            <v>340</v>
          </cell>
          <cell r="L28">
            <v>80</v>
          </cell>
          <cell r="M28">
            <v>10135</v>
          </cell>
          <cell r="N28">
            <v>345</v>
          </cell>
          <cell r="O28">
            <v>50943</v>
          </cell>
          <cell r="P28">
            <v>1.2392960706848569E-2</v>
          </cell>
          <cell r="Q28">
            <v>5</v>
          </cell>
          <cell r="R28">
            <v>2376</v>
          </cell>
          <cell r="S28">
            <v>7</v>
          </cell>
          <cell r="T28">
            <v>1180</v>
          </cell>
          <cell r="U28">
            <v>12</v>
          </cell>
          <cell r="V28">
            <v>3556</v>
          </cell>
          <cell r="W28">
            <v>6.9803505879119807E-2</v>
          </cell>
          <cell r="X28">
            <v>11</v>
          </cell>
          <cell r="Y28">
            <v>2212</v>
          </cell>
          <cell r="Z28">
            <v>1</v>
          </cell>
          <cell r="AA28">
            <v>76</v>
          </cell>
          <cell r="AB28">
            <v>1</v>
          </cell>
          <cell r="AC28">
            <v>100</v>
          </cell>
          <cell r="AD28">
            <v>12</v>
          </cell>
          <cell r="AE28">
            <v>3261</v>
          </cell>
          <cell r="AF28">
            <v>9</v>
          </cell>
          <cell r="AG28">
            <v>2331</v>
          </cell>
          <cell r="AH28">
            <v>1.2711680149193178E-2</v>
          </cell>
        </row>
        <row r="29">
          <cell r="A29" t="str">
            <v>Saint Louis, MO</v>
          </cell>
          <cell r="B29">
            <v>14</v>
          </cell>
          <cell r="C29">
            <v>1419</v>
          </cell>
          <cell r="D29">
            <v>17</v>
          </cell>
          <cell r="E29">
            <v>1825</v>
          </cell>
          <cell r="F29">
            <v>12</v>
          </cell>
          <cell r="G29">
            <v>984</v>
          </cell>
          <cell r="H29">
            <v>10</v>
          </cell>
          <cell r="I29">
            <v>1285</v>
          </cell>
          <cell r="J29">
            <v>6</v>
          </cell>
          <cell r="K29">
            <v>836</v>
          </cell>
          <cell r="L29">
            <v>45</v>
          </cell>
          <cell r="M29">
            <v>4930</v>
          </cell>
          <cell r="N29">
            <v>238</v>
          </cell>
          <cell r="O29">
            <v>31742</v>
          </cell>
          <cell r="P29">
            <v>7.7219119163925813E-3</v>
          </cell>
          <cell r="Q29">
            <v>6</v>
          </cell>
          <cell r="R29">
            <v>1424</v>
          </cell>
          <cell r="S29">
            <v>4</v>
          </cell>
          <cell r="T29">
            <v>399</v>
          </cell>
          <cell r="U29">
            <v>10</v>
          </cell>
          <cell r="V29">
            <v>1823</v>
          </cell>
          <cell r="W29">
            <v>5.7431793837817401E-2</v>
          </cell>
          <cell r="X29">
            <v>11</v>
          </cell>
          <cell r="Y29">
            <v>1785</v>
          </cell>
          <cell r="Z29">
            <v>1</v>
          </cell>
          <cell r="AA29">
            <v>61</v>
          </cell>
          <cell r="AB29">
            <v>7</v>
          </cell>
          <cell r="AC29">
            <v>726</v>
          </cell>
          <cell r="AD29">
            <v>5</v>
          </cell>
          <cell r="AE29">
            <v>500</v>
          </cell>
          <cell r="AF29">
            <v>8</v>
          </cell>
          <cell r="AG29">
            <v>2321</v>
          </cell>
          <cell r="AH29">
            <v>7.9236460876016789E-3</v>
          </cell>
        </row>
        <row r="30">
          <cell r="A30" t="str">
            <v>San Diego, CA</v>
          </cell>
          <cell r="B30">
            <v>3</v>
          </cell>
          <cell r="C30">
            <v>783</v>
          </cell>
          <cell r="D30">
            <v>2</v>
          </cell>
          <cell r="E30">
            <v>198</v>
          </cell>
          <cell r="F30">
            <v>9</v>
          </cell>
          <cell r="G30">
            <v>1204</v>
          </cell>
          <cell r="H30">
            <v>9</v>
          </cell>
          <cell r="I30">
            <v>1065</v>
          </cell>
          <cell r="J30">
            <v>3</v>
          </cell>
          <cell r="K30">
            <v>277</v>
          </cell>
          <cell r="L30">
            <v>23</v>
          </cell>
          <cell r="M30">
            <v>2744</v>
          </cell>
          <cell r="N30">
            <v>420</v>
          </cell>
          <cell r="O30">
            <v>51051</v>
          </cell>
          <cell r="P30">
            <v>1.2419233987894828E-2</v>
          </cell>
          <cell r="Q30">
            <v>12</v>
          </cell>
          <cell r="R30">
            <v>2773</v>
          </cell>
          <cell r="S30">
            <v>10</v>
          </cell>
          <cell r="T30">
            <v>1448</v>
          </cell>
          <cell r="U30">
            <v>22</v>
          </cell>
          <cell r="V30">
            <v>4221</v>
          </cell>
          <cell r="W30">
            <v>8.2682023858494449E-2</v>
          </cell>
          <cell r="X30">
            <v>11</v>
          </cell>
          <cell r="Y30">
            <v>2571</v>
          </cell>
          <cell r="Z30">
            <v>3</v>
          </cell>
          <cell r="AA30">
            <v>330</v>
          </cell>
          <cell r="AB30">
            <v>9</v>
          </cell>
          <cell r="AC30">
            <v>1604</v>
          </cell>
          <cell r="AD30">
            <v>10</v>
          </cell>
          <cell r="AE30">
            <v>1276</v>
          </cell>
          <cell r="AF30">
            <v>11</v>
          </cell>
          <cell r="AG30">
            <v>3582</v>
          </cell>
          <cell r="AH30">
            <v>1.2965416142719772E-2</v>
          </cell>
        </row>
        <row r="31">
          <cell r="A31" t="str">
            <v>San Francisco, CA</v>
          </cell>
          <cell r="B31">
            <v>3</v>
          </cell>
          <cell r="C31">
            <v>323</v>
          </cell>
          <cell r="D31">
            <v>4</v>
          </cell>
          <cell r="E31">
            <v>371</v>
          </cell>
          <cell r="F31">
            <v>13</v>
          </cell>
          <cell r="G31">
            <v>1550</v>
          </cell>
          <cell r="H31">
            <v>7</v>
          </cell>
          <cell r="I31">
            <v>879</v>
          </cell>
          <cell r="J31">
            <v>5</v>
          </cell>
          <cell r="K31">
            <v>826</v>
          </cell>
          <cell r="L31">
            <v>29</v>
          </cell>
          <cell r="M31">
            <v>3626</v>
          </cell>
          <cell r="N31">
            <v>354</v>
          </cell>
          <cell r="O31">
            <v>49934</v>
          </cell>
          <cell r="P31">
            <v>1.2147500145962673E-2</v>
          </cell>
          <cell r="Q31">
            <v>14</v>
          </cell>
          <cell r="R31">
            <v>2184</v>
          </cell>
          <cell r="S31">
            <v>11</v>
          </cell>
          <cell r="T31">
            <v>2125</v>
          </cell>
          <cell r="U31">
            <v>25</v>
          </cell>
          <cell r="V31">
            <v>4309</v>
          </cell>
          <cell r="W31">
            <v>8.6293907958505223E-2</v>
          </cell>
          <cell r="X31">
            <v>7</v>
          </cell>
          <cell r="Y31">
            <v>1465</v>
          </cell>
          <cell r="Z31">
            <v>8</v>
          </cell>
          <cell r="AA31">
            <v>1102</v>
          </cell>
          <cell r="AB31">
            <v>8</v>
          </cell>
          <cell r="AC31">
            <v>1283</v>
          </cell>
          <cell r="AD31">
            <v>7</v>
          </cell>
          <cell r="AE31">
            <v>854</v>
          </cell>
          <cell r="AF31">
            <v>9</v>
          </cell>
          <cell r="AG31">
            <v>2535</v>
          </cell>
          <cell r="AH31">
            <v>1.2486859299805215E-2</v>
          </cell>
        </row>
        <row r="32">
          <cell r="A32" t="str">
            <v>Seattle, WA</v>
          </cell>
          <cell r="B32">
            <v>13</v>
          </cell>
          <cell r="C32">
            <v>1229</v>
          </cell>
          <cell r="D32">
            <v>20</v>
          </cell>
          <cell r="E32">
            <v>2194</v>
          </cell>
          <cell r="F32">
            <v>16</v>
          </cell>
          <cell r="G32">
            <v>2340</v>
          </cell>
          <cell r="H32">
            <v>11</v>
          </cell>
          <cell r="I32">
            <v>1120</v>
          </cell>
          <cell r="J32">
            <v>5</v>
          </cell>
          <cell r="K32">
            <v>1147</v>
          </cell>
          <cell r="L32">
            <v>52</v>
          </cell>
          <cell r="M32">
            <v>6801</v>
          </cell>
          <cell r="N32">
            <v>289</v>
          </cell>
          <cell r="O32">
            <v>34822</v>
          </cell>
          <cell r="P32">
            <v>8.4711869684526014E-3</v>
          </cell>
          <cell r="Q32">
            <v>11</v>
          </cell>
          <cell r="R32">
            <v>1801</v>
          </cell>
          <cell r="S32">
            <v>5</v>
          </cell>
          <cell r="T32">
            <v>595</v>
          </cell>
          <cell r="U32">
            <v>16</v>
          </cell>
          <cell r="V32">
            <v>2396</v>
          </cell>
          <cell r="W32">
            <v>6.8807075986445351E-2</v>
          </cell>
          <cell r="X32">
            <v>6</v>
          </cell>
          <cell r="Y32">
            <v>1384</v>
          </cell>
          <cell r="Z32">
            <v>3</v>
          </cell>
          <cell r="AA32">
            <v>399</v>
          </cell>
          <cell r="AB32">
            <v>6</v>
          </cell>
          <cell r="AC32">
            <v>631</v>
          </cell>
          <cell r="AD32">
            <v>8</v>
          </cell>
          <cell r="AE32">
            <v>1466</v>
          </cell>
          <cell r="AF32">
            <v>5</v>
          </cell>
          <cell r="AG32">
            <v>1284</v>
          </cell>
          <cell r="AH32">
            <v>8.6525766979801983E-3</v>
          </cell>
        </row>
        <row r="33">
          <cell r="A33" t="str">
            <v>Tampa, FL</v>
          </cell>
          <cell r="B33">
            <v>16</v>
          </cell>
          <cell r="C33">
            <v>1559</v>
          </cell>
          <cell r="D33">
            <v>16</v>
          </cell>
          <cell r="E33">
            <v>1706</v>
          </cell>
          <cell r="F33">
            <v>10</v>
          </cell>
          <cell r="G33">
            <v>1226</v>
          </cell>
          <cell r="H33">
            <v>6</v>
          </cell>
          <cell r="I33">
            <v>1326</v>
          </cell>
          <cell r="J33">
            <v>4</v>
          </cell>
          <cell r="K33">
            <v>352</v>
          </cell>
          <cell r="L33">
            <v>36</v>
          </cell>
          <cell r="M33">
            <v>4610</v>
          </cell>
          <cell r="N33">
            <v>348</v>
          </cell>
          <cell r="O33">
            <v>40986</v>
          </cell>
          <cell r="P33">
            <v>9.970710157055836E-3</v>
          </cell>
          <cell r="Q33">
            <v>10</v>
          </cell>
          <cell r="R33">
            <v>1185</v>
          </cell>
          <cell r="S33">
            <v>7</v>
          </cell>
          <cell r="T33">
            <v>845</v>
          </cell>
          <cell r="U33">
            <v>17</v>
          </cell>
          <cell r="V33">
            <v>2030</v>
          </cell>
          <cell r="W33">
            <v>4.9529107500121995E-2</v>
          </cell>
          <cell r="X33">
            <v>10</v>
          </cell>
          <cell r="Y33">
            <v>1305</v>
          </cell>
          <cell r="Z33">
            <v>4</v>
          </cell>
          <cell r="AA33">
            <v>557</v>
          </cell>
          <cell r="AB33">
            <v>9</v>
          </cell>
          <cell r="AC33">
            <v>1072</v>
          </cell>
          <cell r="AD33">
            <v>8</v>
          </cell>
          <cell r="AE33">
            <v>665</v>
          </cell>
          <cell r="AF33">
            <v>6</v>
          </cell>
          <cell r="AG33">
            <v>1041</v>
          </cell>
          <cell r="AH33">
            <v>9.9344814214595203E-3</v>
          </cell>
        </row>
        <row r="34">
          <cell r="A34" t="str">
            <v>Washington, DC</v>
          </cell>
          <cell r="B34">
            <v>10</v>
          </cell>
          <cell r="C34">
            <v>1007</v>
          </cell>
          <cell r="D34">
            <v>14</v>
          </cell>
          <cell r="E34">
            <v>1650</v>
          </cell>
          <cell r="F34">
            <v>26</v>
          </cell>
          <cell r="G34">
            <v>2925</v>
          </cell>
          <cell r="H34">
            <v>23</v>
          </cell>
          <cell r="I34">
            <v>3323</v>
          </cell>
          <cell r="J34">
            <v>10</v>
          </cell>
          <cell r="K34">
            <v>1072</v>
          </cell>
          <cell r="L34">
            <v>73</v>
          </cell>
          <cell r="M34">
            <v>8970</v>
          </cell>
          <cell r="N34">
            <v>450</v>
          </cell>
          <cell r="O34">
            <v>79138</v>
          </cell>
          <cell r="P34">
            <v>1.9251989957768133E-2</v>
          </cell>
          <cell r="Q34">
            <v>15</v>
          </cell>
          <cell r="R34">
            <v>2563</v>
          </cell>
          <cell r="S34">
            <v>21</v>
          </cell>
          <cell r="T34">
            <v>3405</v>
          </cell>
          <cell r="U34">
            <v>36</v>
          </cell>
          <cell r="V34">
            <v>5968</v>
          </cell>
          <cell r="W34">
            <v>7.5412570446561702E-2</v>
          </cell>
          <cell r="X34">
            <v>16</v>
          </cell>
          <cell r="Y34">
            <v>2865</v>
          </cell>
          <cell r="Z34">
            <v>5</v>
          </cell>
          <cell r="AA34">
            <v>845</v>
          </cell>
          <cell r="AB34">
            <v>16</v>
          </cell>
          <cell r="AC34">
            <v>1933</v>
          </cell>
          <cell r="AD34">
            <v>13</v>
          </cell>
          <cell r="AE34">
            <v>2189</v>
          </cell>
          <cell r="AF34">
            <v>18</v>
          </cell>
          <cell r="AG34">
            <v>3866</v>
          </cell>
          <cell r="AH34">
            <v>1.9718559263717322E-2</v>
          </cell>
        </row>
      </sheetData>
      <sheetData sheetId="6" refreshError="1">
        <row r="10">
          <cell r="A10" t="str">
            <v>Anaheim</v>
          </cell>
          <cell r="B10">
            <v>3</v>
          </cell>
          <cell r="C10">
            <v>390</v>
          </cell>
          <cell r="D10">
            <v>6</v>
          </cell>
          <cell r="E10">
            <v>645</v>
          </cell>
          <cell r="F10">
            <v>4</v>
          </cell>
          <cell r="G10">
            <v>733</v>
          </cell>
          <cell r="H10">
            <v>3</v>
          </cell>
          <cell r="I10">
            <v>667</v>
          </cell>
          <cell r="J10">
            <v>11</v>
          </cell>
          <cell r="K10">
            <v>2655</v>
          </cell>
          <cell r="L10">
            <v>24</v>
          </cell>
          <cell r="M10">
            <v>4700</v>
          </cell>
          <cell r="N10">
            <v>367</v>
          </cell>
          <cell r="O10">
            <v>49672</v>
          </cell>
          <cell r="P10">
            <v>1.2083763112313411E-2</v>
          </cell>
          <cell r="Q10">
            <v>12</v>
          </cell>
          <cell r="R10">
            <v>2685</v>
          </cell>
          <cell r="S10">
            <v>8</v>
          </cell>
          <cell r="T10">
            <v>2028</v>
          </cell>
          <cell r="U10">
            <v>20</v>
          </cell>
          <cell r="V10">
            <v>4713</v>
          </cell>
          <cell r="W10">
            <v>9.4882428732485105E-2</v>
          </cell>
          <cell r="X10">
            <v>3</v>
          </cell>
          <cell r="Y10">
            <v>851</v>
          </cell>
          <cell r="Z10">
            <v>4</v>
          </cell>
          <cell r="AA10">
            <v>793</v>
          </cell>
          <cell r="AB10">
            <v>9</v>
          </cell>
          <cell r="AC10">
            <v>1533</v>
          </cell>
          <cell r="AD10">
            <v>5</v>
          </cell>
          <cell r="AE10">
            <v>1175</v>
          </cell>
          <cell r="AF10">
            <v>5</v>
          </cell>
          <cell r="AG10">
            <v>2063</v>
          </cell>
          <cell r="AH10">
            <v>1.2381061253034408E-2</v>
          </cell>
        </row>
        <row r="11">
          <cell r="A11" t="str">
            <v>Atlanta</v>
          </cell>
          <cell r="B11">
            <v>53</v>
          </cell>
          <cell r="C11">
            <v>5479</v>
          </cell>
          <cell r="D11">
            <v>44</v>
          </cell>
          <cell r="E11">
            <v>4672</v>
          </cell>
          <cell r="F11">
            <v>33</v>
          </cell>
          <cell r="G11">
            <v>3422</v>
          </cell>
          <cell r="H11">
            <v>30</v>
          </cell>
          <cell r="I11">
            <v>2809</v>
          </cell>
          <cell r="J11">
            <v>20</v>
          </cell>
          <cell r="K11">
            <v>1845</v>
          </cell>
          <cell r="L11">
            <v>127</v>
          </cell>
          <cell r="M11">
            <v>12748</v>
          </cell>
          <cell r="N11">
            <v>650</v>
          </cell>
          <cell r="O11">
            <v>85888</v>
          </cell>
          <cell r="P11">
            <v>2.0894070023159409E-2</v>
          </cell>
          <cell r="Q11">
            <v>19</v>
          </cell>
          <cell r="R11">
            <v>1702</v>
          </cell>
          <cell r="S11">
            <v>21</v>
          </cell>
          <cell r="T11">
            <v>3002</v>
          </cell>
          <cell r="U11">
            <v>40</v>
          </cell>
          <cell r="V11">
            <v>4704</v>
          </cell>
          <cell r="W11">
            <v>5.4769001490312968E-2</v>
          </cell>
          <cell r="X11">
            <v>21</v>
          </cell>
          <cell r="Y11">
            <v>3382</v>
          </cell>
          <cell r="Z11">
            <v>10</v>
          </cell>
          <cell r="AA11">
            <v>992</v>
          </cell>
          <cell r="AB11">
            <v>19</v>
          </cell>
          <cell r="AC11">
            <v>1414</v>
          </cell>
          <cell r="AD11">
            <v>18</v>
          </cell>
          <cell r="AE11">
            <v>1967</v>
          </cell>
          <cell r="AF11">
            <v>14</v>
          </cell>
          <cell r="AG11">
            <v>3713</v>
          </cell>
          <cell r="AH11">
            <v>2.1064122133982469E-2</v>
          </cell>
        </row>
        <row r="12">
          <cell r="A12" t="str">
            <v>Boston</v>
          </cell>
          <cell r="B12">
            <v>2</v>
          </cell>
          <cell r="C12">
            <v>169</v>
          </cell>
          <cell r="D12">
            <v>14</v>
          </cell>
          <cell r="E12">
            <v>2185</v>
          </cell>
          <cell r="F12">
            <v>16</v>
          </cell>
          <cell r="G12">
            <v>2788</v>
          </cell>
          <cell r="H12">
            <v>12</v>
          </cell>
          <cell r="I12">
            <v>1601</v>
          </cell>
          <cell r="J12">
            <v>15</v>
          </cell>
          <cell r="K12">
            <v>2310</v>
          </cell>
          <cell r="L12">
            <v>57</v>
          </cell>
          <cell r="M12">
            <v>8884</v>
          </cell>
          <cell r="N12">
            <v>282</v>
          </cell>
          <cell r="O12">
            <v>44213</v>
          </cell>
          <cell r="P12">
            <v>1.0755746063873266E-2</v>
          </cell>
          <cell r="Q12">
            <v>15</v>
          </cell>
          <cell r="R12">
            <v>2037</v>
          </cell>
          <cell r="S12">
            <v>19</v>
          </cell>
          <cell r="T12">
            <v>3844</v>
          </cell>
          <cell r="U12">
            <v>34</v>
          </cell>
          <cell r="V12">
            <v>5881</v>
          </cell>
          <cell r="W12">
            <v>0.13301517653178929</v>
          </cell>
          <cell r="X12">
            <v>14</v>
          </cell>
          <cell r="Y12">
            <v>2239</v>
          </cell>
          <cell r="Z12">
            <v>3</v>
          </cell>
          <cell r="AA12">
            <v>201</v>
          </cell>
          <cell r="AB12">
            <v>9</v>
          </cell>
          <cell r="AC12">
            <v>1228</v>
          </cell>
          <cell r="AD12">
            <v>18</v>
          </cell>
          <cell r="AE12">
            <v>2671</v>
          </cell>
          <cell r="AF12">
            <v>18</v>
          </cell>
          <cell r="AG12">
            <v>4020</v>
          </cell>
          <cell r="AH12">
            <v>1.1730358435713116E-2</v>
          </cell>
        </row>
        <row r="13">
          <cell r="A13" t="str">
            <v>Chicago</v>
          </cell>
          <cell r="B13">
            <v>18</v>
          </cell>
          <cell r="C13">
            <v>1849</v>
          </cell>
          <cell r="D13">
            <v>17</v>
          </cell>
          <cell r="E13">
            <v>2953</v>
          </cell>
          <cell r="F13">
            <v>27</v>
          </cell>
          <cell r="G13">
            <v>4145</v>
          </cell>
          <cell r="H13">
            <v>19</v>
          </cell>
          <cell r="I13">
            <v>2545</v>
          </cell>
          <cell r="J13">
            <v>15</v>
          </cell>
          <cell r="K13">
            <v>2468</v>
          </cell>
          <cell r="L13">
            <v>78</v>
          </cell>
          <cell r="M13">
            <v>12111</v>
          </cell>
          <cell r="N13">
            <v>487</v>
          </cell>
          <cell r="O13">
            <v>83796</v>
          </cell>
          <cell r="P13">
            <v>2.0385146838448515E-2</v>
          </cell>
          <cell r="Q13">
            <v>14</v>
          </cell>
          <cell r="R13">
            <v>2286</v>
          </cell>
          <cell r="S13">
            <v>25</v>
          </cell>
          <cell r="T13">
            <v>4823</v>
          </cell>
          <cell r="U13">
            <v>39</v>
          </cell>
          <cell r="V13">
            <v>7109</v>
          </cell>
          <cell r="W13">
            <v>8.4836985058952694E-2</v>
          </cell>
          <cell r="X13">
            <v>14</v>
          </cell>
          <cell r="Y13">
            <v>2489</v>
          </cell>
          <cell r="Z13">
            <v>5</v>
          </cell>
          <cell r="AA13">
            <v>535</v>
          </cell>
          <cell r="AB13">
            <v>16</v>
          </cell>
          <cell r="AC13">
            <v>2056</v>
          </cell>
          <cell r="AD13">
            <v>11</v>
          </cell>
          <cell r="AE13">
            <v>1383</v>
          </cell>
          <cell r="AF13">
            <v>21</v>
          </cell>
          <cell r="AG13">
            <v>5624</v>
          </cell>
          <cell r="AH13">
            <v>2.0934116059560713E-2</v>
          </cell>
        </row>
        <row r="14">
          <cell r="A14" t="str">
            <v>Dallas</v>
          </cell>
          <cell r="B14">
            <v>32</v>
          </cell>
          <cell r="C14">
            <v>3170</v>
          </cell>
          <cell r="D14">
            <v>51</v>
          </cell>
          <cell r="E14">
            <v>7877</v>
          </cell>
          <cell r="F14">
            <v>29</v>
          </cell>
          <cell r="G14">
            <v>3805</v>
          </cell>
          <cell r="H14">
            <v>32</v>
          </cell>
          <cell r="I14">
            <v>3839</v>
          </cell>
          <cell r="J14">
            <v>14</v>
          </cell>
          <cell r="K14">
            <v>1872</v>
          </cell>
          <cell r="L14">
            <v>126</v>
          </cell>
          <cell r="M14">
            <v>17393</v>
          </cell>
          <cell r="N14">
            <v>447</v>
          </cell>
          <cell r="O14">
            <v>63653</v>
          </cell>
          <cell r="P14">
            <v>1.5484936652200144E-2</v>
          </cell>
          <cell r="Q14">
            <v>10</v>
          </cell>
          <cell r="R14">
            <v>1461</v>
          </cell>
          <cell r="S14">
            <v>16</v>
          </cell>
          <cell r="T14">
            <v>2713</v>
          </cell>
          <cell r="U14">
            <v>26</v>
          </cell>
          <cell r="V14">
            <v>4174</v>
          </cell>
          <cell r="W14">
            <v>6.5574285579627037E-2</v>
          </cell>
          <cell r="X14">
            <v>13</v>
          </cell>
          <cell r="Y14">
            <v>1808</v>
          </cell>
          <cell r="Z14">
            <v>4</v>
          </cell>
          <cell r="AA14">
            <v>358</v>
          </cell>
          <cell r="AB14">
            <v>11</v>
          </cell>
          <cell r="AC14">
            <v>1339</v>
          </cell>
          <cell r="AD14">
            <v>12</v>
          </cell>
          <cell r="AE14">
            <v>1174</v>
          </cell>
          <cell r="AF14">
            <v>12</v>
          </cell>
          <cell r="AG14">
            <v>3111</v>
          </cell>
          <cell r="AH14">
            <v>1.5608574124756519E-2</v>
          </cell>
        </row>
        <row r="15">
          <cell r="A15" t="str">
            <v>Denver</v>
          </cell>
          <cell r="B15">
            <v>16</v>
          </cell>
          <cell r="C15">
            <v>1966</v>
          </cell>
          <cell r="D15">
            <v>32</v>
          </cell>
          <cell r="E15">
            <v>3514</v>
          </cell>
          <cell r="F15">
            <v>20</v>
          </cell>
          <cell r="G15">
            <v>2578</v>
          </cell>
          <cell r="H15">
            <v>16</v>
          </cell>
          <cell r="I15">
            <v>1998</v>
          </cell>
          <cell r="J15">
            <v>4</v>
          </cell>
          <cell r="K15">
            <v>328</v>
          </cell>
          <cell r="L15">
            <v>72</v>
          </cell>
          <cell r="M15">
            <v>8418</v>
          </cell>
          <cell r="N15">
            <v>232</v>
          </cell>
          <cell r="O15">
            <v>34922</v>
          </cell>
          <cell r="P15">
            <v>8.4955140805324722E-3</v>
          </cell>
          <cell r="Q15">
            <v>6</v>
          </cell>
          <cell r="R15">
            <v>1001</v>
          </cell>
          <cell r="S15">
            <v>11</v>
          </cell>
          <cell r="T15">
            <v>2894</v>
          </cell>
          <cell r="U15">
            <v>17</v>
          </cell>
          <cell r="V15">
            <v>3895</v>
          </cell>
          <cell r="W15">
            <v>0.11153427638737759</v>
          </cell>
          <cell r="X15">
            <v>7</v>
          </cell>
          <cell r="Y15">
            <v>1120</v>
          </cell>
          <cell r="Z15">
            <v>1</v>
          </cell>
          <cell r="AA15">
            <v>65</v>
          </cell>
          <cell r="AB15">
            <v>5</v>
          </cell>
          <cell r="AC15">
            <v>758</v>
          </cell>
          <cell r="AD15">
            <v>8</v>
          </cell>
          <cell r="AE15">
            <v>1275</v>
          </cell>
          <cell r="AF15">
            <v>10</v>
          </cell>
          <cell r="AG15">
            <v>2917</v>
          </cell>
          <cell r="AH15">
            <v>8.9518148175544068E-3</v>
          </cell>
        </row>
        <row r="16">
          <cell r="A16" t="str">
            <v>Detroit</v>
          </cell>
          <cell r="B16">
            <v>11</v>
          </cell>
          <cell r="C16">
            <v>1112</v>
          </cell>
          <cell r="D16">
            <v>18</v>
          </cell>
          <cell r="E16">
            <v>1834</v>
          </cell>
          <cell r="F16">
            <v>11</v>
          </cell>
          <cell r="G16">
            <v>1298</v>
          </cell>
          <cell r="H16">
            <v>17</v>
          </cell>
          <cell r="I16">
            <v>1910</v>
          </cell>
          <cell r="J16">
            <v>10</v>
          </cell>
          <cell r="K16">
            <v>872</v>
          </cell>
          <cell r="L16">
            <v>56</v>
          </cell>
          <cell r="M16">
            <v>5914</v>
          </cell>
          <cell r="N16">
            <v>299</v>
          </cell>
          <cell r="O16">
            <v>36579</v>
          </cell>
          <cell r="P16">
            <v>8.8986143276959303E-3</v>
          </cell>
          <cell r="Q16">
            <v>14</v>
          </cell>
          <cell r="R16">
            <v>1677</v>
          </cell>
          <cell r="S16">
            <v>13</v>
          </cell>
          <cell r="T16">
            <v>1273</v>
          </cell>
          <cell r="U16">
            <v>27</v>
          </cell>
          <cell r="V16">
            <v>2950</v>
          </cell>
          <cell r="W16">
            <v>8.0647365975012986E-2</v>
          </cell>
          <cell r="X16">
            <v>12</v>
          </cell>
          <cell r="Y16">
            <v>1271</v>
          </cell>
          <cell r="Z16">
            <v>6</v>
          </cell>
          <cell r="AA16">
            <v>578</v>
          </cell>
          <cell r="AB16">
            <v>15</v>
          </cell>
          <cell r="AC16">
            <v>1408</v>
          </cell>
          <cell r="AD16">
            <v>11</v>
          </cell>
          <cell r="AE16">
            <v>1456</v>
          </cell>
          <cell r="AF16">
            <v>7</v>
          </cell>
          <cell r="AG16">
            <v>779</v>
          </cell>
          <cell r="AH16">
            <v>9.1452548903578085E-3</v>
          </cell>
        </row>
        <row r="17">
          <cell r="A17" t="str">
            <v>Houston</v>
          </cell>
          <cell r="B17">
            <v>35</v>
          </cell>
          <cell r="C17">
            <v>2811</v>
          </cell>
          <cell r="D17">
            <v>40</v>
          </cell>
          <cell r="E17">
            <v>4304</v>
          </cell>
          <cell r="F17">
            <v>27</v>
          </cell>
          <cell r="G17">
            <v>2458</v>
          </cell>
          <cell r="H17">
            <v>29</v>
          </cell>
          <cell r="I17">
            <v>2490</v>
          </cell>
          <cell r="J17">
            <v>22</v>
          </cell>
          <cell r="K17">
            <v>1806</v>
          </cell>
          <cell r="L17">
            <v>118</v>
          </cell>
          <cell r="M17">
            <v>11058</v>
          </cell>
          <cell r="N17">
            <v>396</v>
          </cell>
          <cell r="O17">
            <v>51316</v>
          </cell>
          <cell r="P17">
            <v>1.2483700834906486E-2</v>
          </cell>
          <cell r="Q17">
            <v>17</v>
          </cell>
          <cell r="R17">
            <v>2969</v>
          </cell>
          <cell r="S17">
            <v>17</v>
          </cell>
          <cell r="T17">
            <v>1551</v>
          </cell>
          <cell r="U17">
            <v>34</v>
          </cell>
          <cell r="V17">
            <v>4520</v>
          </cell>
          <cell r="W17">
            <v>8.8081689921272119E-2</v>
          </cell>
          <cell r="X17">
            <v>9</v>
          </cell>
          <cell r="Y17">
            <v>1413</v>
          </cell>
          <cell r="Z17">
            <v>3</v>
          </cell>
          <cell r="AA17">
            <v>210</v>
          </cell>
          <cell r="AB17">
            <v>24</v>
          </cell>
          <cell r="AC17">
            <v>2134</v>
          </cell>
          <cell r="AD17">
            <v>8</v>
          </cell>
          <cell r="AE17">
            <v>950</v>
          </cell>
          <cell r="AF17">
            <v>8</v>
          </cell>
          <cell r="AG17">
            <v>2639</v>
          </cell>
          <cell r="AH17">
            <v>1.2832271990639563E-2</v>
          </cell>
        </row>
        <row r="18">
          <cell r="A18" t="str">
            <v>Los Angeles</v>
          </cell>
          <cell r="B18">
            <v>8</v>
          </cell>
          <cell r="C18">
            <v>754</v>
          </cell>
          <cell r="D18">
            <v>10</v>
          </cell>
          <cell r="E18">
            <v>1324</v>
          </cell>
          <cell r="F18">
            <v>12</v>
          </cell>
          <cell r="G18">
            <v>1302</v>
          </cell>
          <cell r="H18">
            <v>8</v>
          </cell>
          <cell r="I18">
            <v>1017</v>
          </cell>
          <cell r="J18">
            <v>7</v>
          </cell>
          <cell r="K18">
            <v>763</v>
          </cell>
          <cell r="L18">
            <v>37</v>
          </cell>
          <cell r="M18">
            <v>4406</v>
          </cell>
          <cell r="N18">
            <v>705</v>
          </cell>
          <cell r="O18">
            <v>84566</v>
          </cell>
          <cell r="P18">
            <v>2.0572465601463519E-2</v>
          </cell>
          <cell r="Q18">
            <v>8</v>
          </cell>
          <cell r="R18">
            <v>1094</v>
          </cell>
          <cell r="S18">
            <v>15</v>
          </cell>
          <cell r="T18">
            <v>2607</v>
          </cell>
          <cell r="U18">
            <v>23</v>
          </cell>
          <cell r="V18">
            <v>3701</v>
          </cell>
          <cell r="W18">
            <v>4.376463354066646E-2</v>
          </cell>
          <cell r="X18">
            <v>8</v>
          </cell>
          <cell r="Y18">
            <v>1808</v>
          </cell>
          <cell r="Z18">
            <v>4</v>
          </cell>
          <cell r="AA18">
            <v>534</v>
          </cell>
          <cell r="AB18">
            <v>8</v>
          </cell>
          <cell r="AC18">
            <v>957</v>
          </cell>
          <cell r="AD18">
            <v>11</v>
          </cell>
          <cell r="AE18">
            <v>1654</v>
          </cell>
          <cell r="AF18">
            <v>8</v>
          </cell>
          <cell r="AG18">
            <v>2364</v>
          </cell>
          <cell r="AH18">
            <v>2.019016750610244E-2</v>
          </cell>
        </row>
        <row r="19">
          <cell r="A19" t="str">
            <v>Miami</v>
          </cell>
          <cell r="B19">
            <v>6</v>
          </cell>
          <cell r="C19">
            <v>591</v>
          </cell>
          <cell r="D19">
            <v>5</v>
          </cell>
          <cell r="E19">
            <v>1314</v>
          </cell>
          <cell r="F19">
            <v>10</v>
          </cell>
          <cell r="G19">
            <v>1374</v>
          </cell>
          <cell r="H19">
            <v>8</v>
          </cell>
          <cell r="I19">
            <v>1575</v>
          </cell>
          <cell r="J19">
            <v>6</v>
          </cell>
          <cell r="K19">
            <v>1366</v>
          </cell>
          <cell r="L19">
            <v>29</v>
          </cell>
          <cell r="M19">
            <v>5629</v>
          </cell>
          <cell r="N19">
            <v>287</v>
          </cell>
          <cell r="O19">
            <v>44487</v>
          </cell>
          <cell r="P19">
            <v>1.0822402350972111E-2</v>
          </cell>
          <cell r="Q19">
            <v>16</v>
          </cell>
          <cell r="R19">
            <v>2839</v>
          </cell>
          <cell r="S19">
            <v>14</v>
          </cell>
          <cell r="T19">
            <v>1699</v>
          </cell>
          <cell r="U19">
            <v>30</v>
          </cell>
          <cell r="V19">
            <v>4538</v>
          </cell>
          <cell r="W19">
            <v>0.10200732798345584</v>
          </cell>
          <cell r="X19">
            <v>2</v>
          </cell>
          <cell r="Y19">
            <v>347</v>
          </cell>
          <cell r="Z19">
            <v>5</v>
          </cell>
          <cell r="AA19">
            <v>773</v>
          </cell>
          <cell r="AB19">
            <v>12</v>
          </cell>
          <cell r="AC19">
            <v>2043</v>
          </cell>
          <cell r="AD19">
            <v>11</v>
          </cell>
          <cell r="AE19">
            <v>1385</v>
          </cell>
          <cell r="AF19">
            <v>4</v>
          </cell>
          <cell r="AG19">
            <v>684</v>
          </cell>
          <cell r="AH19">
            <v>1.1066655010949649E-2</v>
          </cell>
        </row>
        <row r="20">
          <cell r="A20" t="str">
            <v>Minneapolis</v>
          </cell>
          <cell r="B20">
            <v>16</v>
          </cell>
          <cell r="C20">
            <v>1383</v>
          </cell>
          <cell r="D20">
            <v>28</v>
          </cell>
          <cell r="E20">
            <v>2856</v>
          </cell>
          <cell r="F20">
            <v>9</v>
          </cell>
          <cell r="G20">
            <v>982</v>
          </cell>
          <cell r="H20">
            <v>10</v>
          </cell>
          <cell r="I20">
            <v>929</v>
          </cell>
          <cell r="J20">
            <v>8</v>
          </cell>
          <cell r="K20">
            <v>932</v>
          </cell>
          <cell r="L20">
            <v>55</v>
          </cell>
          <cell r="M20">
            <v>5699</v>
          </cell>
          <cell r="N20">
            <v>253</v>
          </cell>
          <cell r="O20">
            <v>32550</v>
          </cell>
          <cell r="P20">
            <v>7.9184749819979378E-3</v>
          </cell>
          <cell r="Q20">
            <v>6</v>
          </cell>
          <cell r="R20">
            <v>795</v>
          </cell>
          <cell r="S20">
            <v>4</v>
          </cell>
          <cell r="T20">
            <v>709</v>
          </cell>
          <cell r="U20">
            <v>10</v>
          </cell>
          <cell r="V20">
            <v>1504</v>
          </cell>
          <cell r="W20">
            <v>4.6205837173579109E-2</v>
          </cell>
          <cell r="X20">
            <v>8</v>
          </cell>
          <cell r="Y20">
            <v>881</v>
          </cell>
          <cell r="Z20">
            <v>2</v>
          </cell>
          <cell r="AA20">
            <v>247</v>
          </cell>
          <cell r="AB20">
            <v>6</v>
          </cell>
          <cell r="AC20">
            <v>607</v>
          </cell>
          <cell r="AD20">
            <v>7</v>
          </cell>
          <cell r="AE20">
            <v>775</v>
          </cell>
          <cell r="AF20">
            <v>3</v>
          </cell>
          <cell r="AG20">
            <v>756</v>
          </cell>
          <cell r="AH20">
            <v>7.8306244998688733E-3</v>
          </cell>
        </row>
        <row r="21">
          <cell r="A21" t="str">
            <v>Nashville</v>
          </cell>
          <cell r="B21">
            <v>20</v>
          </cell>
          <cell r="C21">
            <v>1634</v>
          </cell>
          <cell r="D21">
            <v>18</v>
          </cell>
          <cell r="E21">
            <v>1898</v>
          </cell>
          <cell r="F21">
            <v>11</v>
          </cell>
          <cell r="G21">
            <v>1222</v>
          </cell>
          <cell r="H21">
            <v>11</v>
          </cell>
          <cell r="I21">
            <v>1153</v>
          </cell>
          <cell r="J21">
            <v>6</v>
          </cell>
          <cell r="K21">
            <v>802</v>
          </cell>
          <cell r="L21">
            <v>46</v>
          </cell>
          <cell r="M21">
            <v>5075</v>
          </cell>
          <cell r="N21">
            <v>270</v>
          </cell>
          <cell r="O21">
            <v>32963</v>
          </cell>
          <cell r="P21">
            <v>8.0189459548878038E-3</v>
          </cell>
          <cell r="Q21">
            <v>5</v>
          </cell>
          <cell r="R21">
            <v>706</v>
          </cell>
          <cell r="S21">
            <v>6</v>
          </cell>
          <cell r="T21">
            <v>476</v>
          </cell>
          <cell r="U21">
            <v>11</v>
          </cell>
          <cell r="V21">
            <v>1182</v>
          </cell>
          <cell r="W21">
            <v>3.5858386675970029E-2</v>
          </cell>
          <cell r="X21">
            <v>6</v>
          </cell>
          <cell r="Y21">
            <v>645</v>
          </cell>
          <cell r="Z21">
            <v>4</v>
          </cell>
          <cell r="AA21">
            <v>592</v>
          </cell>
          <cell r="AB21">
            <v>5</v>
          </cell>
          <cell r="AC21">
            <v>400</v>
          </cell>
          <cell r="AD21">
            <v>5</v>
          </cell>
          <cell r="AE21">
            <v>435</v>
          </cell>
          <cell r="AF21">
            <v>3</v>
          </cell>
          <cell r="AG21">
            <v>400</v>
          </cell>
          <cell r="AH21">
            <v>7.7981229812634353E-3</v>
          </cell>
        </row>
        <row r="22">
          <cell r="A22" t="str">
            <v>New Orleans</v>
          </cell>
          <cell r="B22">
            <v>11</v>
          </cell>
          <cell r="C22">
            <v>1045</v>
          </cell>
          <cell r="D22">
            <v>8</v>
          </cell>
          <cell r="E22">
            <v>1193</v>
          </cell>
          <cell r="F22">
            <v>9</v>
          </cell>
          <cell r="G22">
            <v>900</v>
          </cell>
          <cell r="H22">
            <v>16</v>
          </cell>
          <cell r="I22">
            <v>2491</v>
          </cell>
          <cell r="J22">
            <v>13</v>
          </cell>
          <cell r="K22">
            <v>1549</v>
          </cell>
          <cell r="L22">
            <v>46</v>
          </cell>
          <cell r="M22">
            <v>6133</v>
          </cell>
          <cell r="N22">
            <v>195</v>
          </cell>
          <cell r="O22">
            <v>34209</v>
          </cell>
          <cell r="P22">
            <v>8.322061771402994E-3</v>
          </cell>
          <cell r="Q22">
            <v>13</v>
          </cell>
          <cell r="R22">
            <v>2282</v>
          </cell>
          <cell r="S22">
            <v>10</v>
          </cell>
          <cell r="T22">
            <v>2038</v>
          </cell>
          <cell r="U22">
            <v>23</v>
          </cell>
          <cell r="V22">
            <v>4320</v>
          </cell>
          <cell r="W22">
            <v>0.12628255722178375</v>
          </cell>
          <cell r="X22">
            <v>7</v>
          </cell>
          <cell r="Y22">
            <v>1340</v>
          </cell>
          <cell r="Z22">
            <v>3</v>
          </cell>
          <cell r="AA22">
            <v>507</v>
          </cell>
          <cell r="AB22">
            <v>10</v>
          </cell>
          <cell r="AC22">
            <v>1725</v>
          </cell>
          <cell r="AD22">
            <v>12</v>
          </cell>
          <cell r="AE22">
            <v>1612</v>
          </cell>
          <cell r="AF22">
            <v>5</v>
          </cell>
          <cell r="AG22">
            <v>1816</v>
          </cell>
          <cell r="AH22">
            <v>8.9365727260704766E-3</v>
          </cell>
        </row>
        <row r="23">
          <cell r="A23" t="str">
            <v>New York</v>
          </cell>
          <cell r="B23">
            <v>2</v>
          </cell>
          <cell r="C23">
            <v>154</v>
          </cell>
          <cell r="D23">
            <v>9</v>
          </cell>
          <cell r="E23">
            <v>2058</v>
          </cell>
          <cell r="F23">
            <v>6</v>
          </cell>
          <cell r="G23">
            <v>660</v>
          </cell>
          <cell r="H23">
            <v>18</v>
          </cell>
          <cell r="I23">
            <v>3615</v>
          </cell>
          <cell r="J23">
            <v>11</v>
          </cell>
          <cell r="K23">
            <v>1331</v>
          </cell>
          <cell r="L23">
            <v>44</v>
          </cell>
          <cell r="M23">
            <v>7664</v>
          </cell>
          <cell r="N23">
            <v>288</v>
          </cell>
          <cell r="O23">
            <v>74744</v>
          </cell>
          <cell r="P23">
            <v>1.8183056652978612E-2</v>
          </cell>
          <cell r="Q23">
            <v>11</v>
          </cell>
          <cell r="R23">
            <v>2657</v>
          </cell>
          <cell r="S23">
            <v>8</v>
          </cell>
          <cell r="T23">
            <v>1096</v>
          </cell>
          <cell r="U23">
            <v>19</v>
          </cell>
          <cell r="V23">
            <v>3753</v>
          </cell>
          <cell r="W23">
            <v>5.0211388205073315E-2</v>
          </cell>
          <cell r="X23">
            <v>7</v>
          </cell>
          <cell r="Y23">
            <v>1497</v>
          </cell>
          <cell r="Z23">
            <v>4</v>
          </cell>
          <cell r="AA23">
            <v>877</v>
          </cell>
          <cell r="AB23">
            <v>8</v>
          </cell>
          <cell r="AC23">
            <v>1778</v>
          </cell>
          <cell r="AD23">
            <v>8</v>
          </cell>
          <cell r="AE23">
            <v>1090</v>
          </cell>
          <cell r="AF23">
            <v>6</v>
          </cell>
          <cell r="AG23">
            <v>1505</v>
          </cell>
          <cell r="AH23">
            <v>1.7930527443609866E-2</v>
          </cell>
        </row>
        <row r="24">
          <cell r="A24" t="str">
            <v>Norfolk</v>
          </cell>
          <cell r="B24">
            <v>9</v>
          </cell>
          <cell r="C24">
            <v>906</v>
          </cell>
          <cell r="D24">
            <v>7</v>
          </cell>
          <cell r="E24">
            <v>600</v>
          </cell>
          <cell r="F24">
            <v>4</v>
          </cell>
          <cell r="G24">
            <v>476</v>
          </cell>
          <cell r="H24">
            <v>9</v>
          </cell>
          <cell r="I24">
            <v>941</v>
          </cell>
          <cell r="J24">
            <v>6</v>
          </cell>
          <cell r="K24">
            <v>1043</v>
          </cell>
          <cell r="L24">
            <v>26</v>
          </cell>
          <cell r="M24">
            <v>3060</v>
          </cell>
          <cell r="N24">
            <v>328</v>
          </cell>
          <cell r="O24">
            <v>34886</v>
          </cell>
          <cell r="P24">
            <v>8.4867563201837179E-3</v>
          </cell>
          <cell r="Q24">
            <v>2</v>
          </cell>
          <cell r="R24">
            <v>226</v>
          </cell>
          <cell r="S24">
            <v>7</v>
          </cell>
          <cell r="T24">
            <v>1034</v>
          </cell>
          <cell r="U24">
            <v>9</v>
          </cell>
          <cell r="V24">
            <v>1260</v>
          </cell>
          <cell r="W24">
            <v>3.6117640314166144E-2</v>
          </cell>
          <cell r="X24">
            <v>9</v>
          </cell>
          <cell r="Y24">
            <v>1116</v>
          </cell>
          <cell r="Z24">
            <v>1</v>
          </cell>
          <cell r="AA24">
            <v>128</v>
          </cell>
          <cell r="AB24">
            <v>2</v>
          </cell>
          <cell r="AC24">
            <v>226</v>
          </cell>
          <cell r="AD24">
            <v>10</v>
          </cell>
          <cell r="AE24">
            <v>1082</v>
          </cell>
          <cell r="AF24">
            <v>5</v>
          </cell>
          <cell r="AG24">
            <v>940</v>
          </cell>
          <cell r="AH24">
            <v>8.3522178363851143E-3</v>
          </cell>
        </row>
        <row r="25">
          <cell r="A25" t="str">
            <v>Oahu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48</v>
          </cell>
          <cell r="H25">
            <v>0</v>
          </cell>
          <cell r="I25">
            <v>0</v>
          </cell>
          <cell r="J25">
            <v>1</v>
          </cell>
          <cell r="K25">
            <v>453</v>
          </cell>
          <cell r="L25">
            <v>2</v>
          </cell>
          <cell r="M25">
            <v>501</v>
          </cell>
          <cell r="N25">
            <v>107</v>
          </cell>
          <cell r="O25">
            <v>36506</v>
          </cell>
          <cell r="P25">
            <v>8.8808555358776253E-3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299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299</v>
          </cell>
          <cell r="AH25">
            <v>8.2497820156769396E-3</v>
          </cell>
        </row>
        <row r="26">
          <cell r="A26" t="str">
            <v>Orlando</v>
          </cell>
          <cell r="B26">
            <v>5</v>
          </cell>
          <cell r="C26">
            <v>2586</v>
          </cell>
          <cell r="D26">
            <v>27</v>
          </cell>
          <cell r="E26">
            <v>3301</v>
          </cell>
          <cell r="F26">
            <v>34</v>
          </cell>
          <cell r="G26">
            <v>7662</v>
          </cell>
          <cell r="H26">
            <v>20</v>
          </cell>
          <cell r="I26">
            <v>3502</v>
          </cell>
          <cell r="J26">
            <v>12</v>
          </cell>
          <cell r="K26">
            <v>3543</v>
          </cell>
          <cell r="L26">
            <v>93</v>
          </cell>
          <cell r="M26">
            <v>18008</v>
          </cell>
          <cell r="N26">
            <v>429</v>
          </cell>
          <cell r="O26">
            <v>117462</v>
          </cell>
          <cell r="P26">
            <v>2.8575112391257811E-2</v>
          </cell>
          <cell r="Q26">
            <v>12</v>
          </cell>
          <cell r="R26">
            <v>8363</v>
          </cell>
          <cell r="S26">
            <v>21</v>
          </cell>
          <cell r="T26">
            <v>6692</v>
          </cell>
          <cell r="U26">
            <v>33</v>
          </cell>
          <cell r="V26">
            <v>15055</v>
          </cell>
          <cell r="W26">
            <v>0.1281691100100458</v>
          </cell>
          <cell r="X26">
            <v>18</v>
          </cell>
          <cell r="Y26">
            <v>7152</v>
          </cell>
          <cell r="Z26">
            <v>1</v>
          </cell>
          <cell r="AA26">
            <v>100</v>
          </cell>
          <cell r="AB26">
            <v>11</v>
          </cell>
          <cell r="AC26">
            <v>5854</v>
          </cell>
          <cell r="AD26">
            <v>16</v>
          </cell>
          <cell r="AE26">
            <v>4687</v>
          </cell>
          <cell r="AF26">
            <v>23</v>
          </cell>
          <cell r="AG26">
            <v>11566</v>
          </cell>
          <cell r="AH26">
            <v>3.1306583462779036E-2</v>
          </cell>
        </row>
        <row r="27">
          <cell r="A27" t="str">
            <v>Philadelphia</v>
          </cell>
          <cell r="B27">
            <v>2</v>
          </cell>
          <cell r="C27">
            <v>135</v>
          </cell>
          <cell r="D27">
            <v>20</v>
          </cell>
          <cell r="E27">
            <v>2335</v>
          </cell>
          <cell r="F27">
            <v>18</v>
          </cell>
          <cell r="G27">
            <v>2631</v>
          </cell>
          <cell r="H27">
            <v>13</v>
          </cell>
          <cell r="I27">
            <v>2704</v>
          </cell>
          <cell r="J27">
            <v>6</v>
          </cell>
          <cell r="K27">
            <v>782</v>
          </cell>
          <cell r="L27">
            <v>57</v>
          </cell>
          <cell r="M27">
            <v>8452</v>
          </cell>
          <cell r="N27">
            <v>271</v>
          </cell>
          <cell r="O27">
            <v>39526</v>
          </cell>
          <cell r="P27">
            <v>9.6155343206897215E-3</v>
          </cell>
          <cell r="Q27">
            <v>11</v>
          </cell>
          <cell r="R27">
            <v>1354</v>
          </cell>
          <cell r="S27">
            <v>8</v>
          </cell>
          <cell r="T27">
            <v>1006</v>
          </cell>
          <cell r="U27">
            <v>19</v>
          </cell>
          <cell r="V27">
            <v>2360</v>
          </cell>
          <cell r="W27">
            <v>5.9707534281232606E-2</v>
          </cell>
          <cell r="X27">
            <v>7</v>
          </cell>
          <cell r="Y27">
            <v>1061</v>
          </cell>
          <cell r="Z27">
            <v>3</v>
          </cell>
          <cell r="AA27">
            <v>363</v>
          </cell>
          <cell r="AB27">
            <v>9</v>
          </cell>
          <cell r="AC27">
            <v>1071</v>
          </cell>
          <cell r="AD27">
            <v>9</v>
          </cell>
          <cell r="AE27">
            <v>1045</v>
          </cell>
          <cell r="AF27">
            <v>5</v>
          </cell>
          <cell r="AG27">
            <v>942</v>
          </cell>
          <cell r="AH27">
            <v>9.6265015141224694E-3</v>
          </cell>
        </row>
        <row r="28">
          <cell r="A28" t="str">
            <v>Phoenix</v>
          </cell>
          <cell r="B28">
            <v>22</v>
          </cell>
          <cell r="C28">
            <v>2451</v>
          </cell>
          <cell r="D28">
            <v>48</v>
          </cell>
          <cell r="E28">
            <v>5297</v>
          </cell>
          <cell r="F28">
            <v>17</v>
          </cell>
          <cell r="G28">
            <v>2855</v>
          </cell>
          <cell r="H28">
            <v>12</v>
          </cell>
          <cell r="I28">
            <v>1643</v>
          </cell>
          <cell r="J28">
            <v>3</v>
          </cell>
          <cell r="K28">
            <v>340</v>
          </cell>
          <cell r="L28">
            <v>80</v>
          </cell>
          <cell r="M28">
            <v>10135</v>
          </cell>
          <cell r="N28">
            <v>345</v>
          </cell>
          <cell r="O28">
            <v>50943</v>
          </cell>
          <cell r="P28">
            <v>1.2392960706848569E-2</v>
          </cell>
          <cell r="Q28">
            <v>5</v>
          </cell>
          <cell r="R28">
            <v>2376</v>
          </cell>
          <cell r="S28">
            <v>7</v>
          </cell>
          <cell r="T28">
            <v>1180</v>
          </cell>
          <cell r="U28">
            <v>12</v>
          </cell>
          <cell r="V28">
            <v>3556</v>
          </cell>
          <cell r="W28">
            <v>6.9803505879119807E-2</v>
          </cell>
          <cell r="X28">
            <v>11</v>
          </cell>
          <cell r="Y28">
            <v>2212</v>
          </cell>
          <cell r="Z28">
            <v>1</v>
          </cell>
          <cell r="AA28">
            <v>76</v>
          </cell>
          <cell r="AB28">
            <v>1</v>
          </cell>
          <cell r="AC28">
            <v>100</v>
          </cell>
          <cell r="AD28">
            <v>12</v>
          </cell>
          <cell r="AE28">
            <v>3261</v>
          </cell>
          <cell r="AF28">
            <v>9</v>
          </cell>
          <cell r="AG28">
            <v>2331</v>
          </cell>
          <cell r="AH28">
            <v>1.2711680149193178E-2</v>
          </cell>
        </row>
        <row r="29">
          <cell r="A29" t="str">
            <v>San Diego</v>
          </cell>
          <cell r="B29">
            <v>3</v>
          </cell>
          <cell r="C29">
            <v>783</v>
          </cell>
          <cell r="D29">
            <v>2</v>
          </cell>
          <cell r="E29">
            <v>198</v>
          </cell>
          <cell r="F29">
            <v>9</v>
          </cell>
          <cell r="G29">
            <v>1204</v>
          </cell>
          <cell r="H29">
            <v>9</v>
          </cell>
          <cell r="I29">
            <v>1065</v>
          </cell>
          <cell r="J29">
            <v>3</v>
          </cell>
          <cell r="K29">
            <v>277</v>
          </cell>
          <cell r="L29">
            <v>23</v>
          </cell>
          <cell r="M29">
            <v>2744</v>
          </cell>
          <cell r="N29">
            <v>420</v>
          </cell>
          <cell r="O29">
            <v>51051</v>
          </cell>
          <cell r="P29">
            <v>1.2419233987894828E-2</v>
          </cell>
          <cell r="Q29">
            <v>12</v>
          </cell>
          <cell r="R29">
            <v>2773</v>
          </cell>
          <cell r="S29">
            <v>10</v>
          </cell>
          <cell r="T29">
            <v>1448</v>
          </cell>
          <cell r="U29">
            <v>22</v>
          </cell>
          <cell r="V29">
            <v>4221</v>
          </cell>
          <cell r="W29">
            <v>8.2682023858494449E-2</v>
          </cell>
          <cell r="X29">
            <v>11</v>
          </cell>
          <cell r="Y29">
            <v>2571</v>
          </cell>
          <cell r="Z29">
            <v>3</v>
          </cell>
          <cell r="AA29">
            <v>330</v>
          </cell>
          <cell r="AB29">
            <v>9</v>
          </cell>
          <cell r="AC29">
            <v>1604</v>
          </cell>
          <cell r="AD29">
            <v>10</v>
          </cell>
          <cell r="AE29">
            <v>1276</v>
          </cell>
          <cell r="AF29">
            <v>11</v>
          </cell>
          <cell r="AG29">
            <v>3582</v>
          </cell>
          <cell r="AH29">
            <v>1.2965416142719772E-2</v>
          </cell>
        </row>
        <row r="30">
          <cell r="A30" t="str">
            <v>San Francisco</v>
          </cell>
          <cell r="B30">
            <v>3</v>
          </cell>
          <cell r="C30">
            <v>323</v>
          </cell>
          <cell r="D30">
            <v>4</v>
          </cell>
          <cell r="E30">
            <v>371</v>
          </cell>
          <cell r="F30">
            <v>13</v>
          </cell>
          <cell r="G30">
            <v>1550</v>
          </cell>
          <cell r="H30">
            <v>7</v>
          </cell>
          <cell r="I30">
            <v>879</v>
          </cell>
          <cell r="J30">
            <v>5</v>
          </cell>
          <cell r="K30">
            <v>826</v>
          </cell>
          <cell r="L30">
            <v>29</v>
          </cell>
          <cell r="M30">
            <v>3626</v>
          </cell>
          <cell r="N30">
            <v>354</v>
          </cell>
          <cell r="O30">
            <v>49934</v>
          </cell>
          <cell r="P30">
            <v>1.2147500145962673E-2</v>
          </cell>
          <cell r="Q30">
            <v>14</v>
          </cell>
          <cell r="R30">
            <v>2184</v>
          </cell>
          <cell r="S30">
            <v>11</v>
          </cell>
          <cell r="T30">
            <v>2125</v>
          </cell>
          <cell r="U30">
            <v>25</v>
          </cell>
          <cell r="V30">
            <v>4309</v>
          </cell>
          <cell r="W30">
            <v>8.6293907958505223E-2</v>
          </cell>
          <cell r="X30">
            <v>7</v>
          </cell>
          <cell r="Y30">
            <v>1465</v>
          </cell>
          <cell r="Z30">
            <v>8</v>
          </cell>
          <cell r="AA30">
            <v>1102</v>
          </cell>
          <cell r="AB30">
            <v>8</v>
          </cell>
          <cell r="AC30">
            <v>1283</v>
          </cell>
          <cell r="AD30">
            <v>7</v>
          </cell>
          <cell r="AE30">
            <v>854</v>
          </cell>
          <cell r="AF30">
            <v>9</v>
          </cell>
          <cell r="AG30">
            <v>2535</v>
          </cell>
          <cell r="AH30">
            <v>1.2486859299805215E-2</v>
          </cell>
        </row>
        <row r="31">
          <cell r="A31" t="str">
            <v>Seattle</v>
          </cell>
          <cell r="B31">
            <v>13</v>
          </cell>
          <cell r="C31">
            <v>1229</v>
          </cell>
          <cell r="D31">
            <v>20</v>
          </cell>
          <cell r="E31">
            <v>2194</v>
          </cell>
          <cell r="F31">
            <v>16</v>
          </cell>
          <cell r="G31">
            <v>2340</v>
          </cell>
          <cell r="H31">
            <v>11</v>
          </cell>
          <cell r="I31">
            <v>1120</v>
          </cell>
          <cell r="J31">
            <v>5</v>
          </cell>
          <cell r="K31">
            <v>1147</v>
          </cell>
          <cell r="L31">
            <v>52</v>
          </cell>
          <cell r="M31">
            <v>6801</v>
          </cell>
          <cell r="N31">
            <v>289</v>
          </cell>
          <cell r="O31">
            <v>34822</v>
          </cell>
          <cell r="P31">
            <v>8.4711869684526014E-3</v>
          </cell>
          <cell r="Q31">
            <v>11</v>
          </cell>
          <cell r="R31">
            <v>1801</v>
          </cell>
          <cell r="S31">
            <v>5</v>
          </cell>
          <cell r="T31">
            <v>595</v>
          </cell>
          <cell r="U31">
            <v>16</v>
          </cell>
          <cell r="V31">
            <v>2396</v>
          </cell>
          <cell r="W31">
            <v>6.8807075986445351E-2</v>
          </cell>
          <cell r="X31">
            <v>6</v>
          </cell>
          <cell r="Y31">
            <v>1384</v>
          </cell>
          <cell r="Z31">
            <v>3</v>
          </cell>
          <cell r="AA31">
            <v>399</v>
          </cell>
          <cell r="AB31">
            <v>6</v>
          </cell>
          <cell r="AC31">
            <v>631</v>
          </cell>
          <cell r="AD31">
            <v>8</v>
          </cell>
          <cell r="AE31">
            <v>1466</v>
          </cell>
          <cell r="AF31">
            <v>5</v>
          </cell>
          <cell r="AG31">
            <v>1284</v>
          </cell>
          <cell r="AH31">
            <v>8.6525766979801983E-3</v>
          </cell>
        </row>
        <row r="32">
          <cell r="A32" t="str">
            <v>St. Louis</v>
          </cell>
          <cell r="B32">
            <v>14</v>
          </cell>
          <cell r="C32">
            <v>1419</v>
          </cell>
          <cell r="D32">
            <v>17</v>
          </cell>
          <cell r="E32">
            <v>1825</v>
          </cell>
          <cell r="F32">
            <v>12</v>
          </cell>
          <cell r="G32">
            <v>984</v>
          </cell>
          <cell r="H32">
            <v>10</v>
          </cell>
          <cell r="I32">
            <v>1285</v>
          </cell>
          <cell r="J32">
            <v>6</v>
          </cell>
          <cell r="K32">
            <v>836</v>
          </cell>
          <cell r="L32">
            <v>45</v>
          </cell>
          <cell r="M32">
            <v>4930</v>
          </cell>
          <cell r="N32">
            <v>238</v>
          </cell>
          <cell r="O32">
            <v>31742</v>
          </cell>
          <cell r="P32">
            <v>7.7219119163925813E-3</v>
          </cell>
          <cell r="Q32">
            <v>6</v>
          </cell>
          <cell r="R32">
            <v>1424</v>
          </cell>
          <cell r="S32">
            <v>4</v>
          </cell>
          <cell r="T32">
            <v>399</v>
          </cell>
          <cell r="U32">
            <v>10</v>
          </cell>
          <cell r="V32">
            <v>1823</v>
          </cell>
          <cell r="W32">
            <v>5.7431793837817401E-2</v>
          </cell>
          <cell r="X32">
            <v>11</v>
          </cell>
          <cell r="Y32">
            <v>1785</v>
          </cell>
          <cell r="Z32">
            <v>1</v>
          </cell>
          <cell r="AA32">
            <v>61</v>
          </cell>
          <cell r="AB32">
            <v>7</v>
          </cell>
          <cell r="AC32">
            <v>726</v>
          </cell>
          <cell r="AD32">
            <v>5</v>
          </cell>
          <cell r="AE32">
            <v>500</v>
          </cell>
          <cell r="AF32">
            <v>8</v>
          </cell>
          <cell r="AG32">
            <v>2321</v>
          </cell>
          <cell r="AH32">
            <v>7.9236460876016789E-3</v>
          </cell>
        </row>
        <row r="33">
          <cell r="A33" t="str">
            <v>Tampa</v>
          </cell>
          <cell r="B33">
            <v>16</v>
          </cell>
          <cell r="C33">
            <v>1559</v>
          </cell>
          <cell r="D33">
            <v>16</v>
          </cell>
          <cell r="E33">
            <v>1706</v>
          </cell>
          <cell r="F33">
            <v>10</v>
          </cell>
          <cell r="G33">
            <v>1226</v>
          </cell>
          <cell r="H33">
            <v>6</v>
          </cell>
          <cell r="I33">
            <v>1326</v>
          </cell>
          <cell r="J33">
            <v>4</v>
          </cell>
          <cell r="K33">
            <v>352</v>
          </cell>
          <cell r="L33">
            <v>36</v>
          </cell>
          <cell r="M33">
            <v>4610</v>
          </cell>
          <cell r="N33">
            <v>348</v>
          </cell>
          <cell r="O33">
            <v>40986</v>
          </cell>
          <cell r="P33">
            <v>9.970710157055836E-3</v>
          </cell>
          <cell r="Q33">
            <v>10</v>
          </cell>
          <cell r="R33">
            <v>1185</v>
          </cell>
          <cell r="S33">
            <v>7</v>
          </cell>
          <cell r="T33">
            <v>845</v>
          </cell>
          <cell r="U33">
            <v>17</v>
          </cell>
          <cell r="V33">
            <v>2030</v>
          </cell>
          <cell r="W33">
            <v>4.9529107500121995E-2</v>
          </cell>
          <cell r="X33">
            <v>10</v>
          </cell>
          <cell r="Y33">
            <v>1305</v>
          </cell>
          <cell r="Z33">
            <v>4</v>
          </cell>
          <cell r="AA33">
            <v>557</v>
          </cell>
          <cell r="AB33">
            <v>9</v>
          </cell>
          <cell r="AC33">
            <v>1072</v>
          </cell>
          <cell r="AD33">
            <v>8</v>
          </cell>
          <cell r="AE33">
            <v>665</v>
          </cell>
          <cell r="AF33">
            <v>6</v>
          </cell>
          <cell r="AG33">
            <v>1041</v>
          </cell>
          <cell r="AH33">
            <v>9.9344814214595203E-3</v>
          </cell>
        </row>
        <row r="34">
          <cell r="A34" t="str">
            <v>Wash., DC</v>
          </cell>
          <cell r="B34">
            <v>10</v>
          </cell>
          <cell r="C34">
            <v>1007</v>
          </cell>
          <cell r="D34">
            <v>14</v>
          </cell>
          <cell r="E34">
            <v>1650</v>
          </cell>
          <cell r="F34">
            <v>26</v>
          </cell>
          <cell r="G34">
            <v>2925</v>
          </cell>
          <cell r="H34">
            <v>23</v>
          </cell>
          <cell r="I34">
            <v>3323</v>
          </cell>
          <cell r="J34">
            <v>10</v>
          </cell>
          <cell r="K34">
            <v>1072</v>
          </cell>
          <cell r="L34">
            <v>73</v>
          </cell>
          <cell r="M34">
            <v>8970</v>
          </cell>
          <cell r="N34">
            <v>450</v>
          </cell>
          <cell r="O34">
            <v>79138</v>
          </cell>
          <cell r="P34">
            <v>1.9251989957768133E-2</v>
          </cell>
          <cell r="Q34">
            <v>15</v>
          </cell>
          <cell r="R34">
            <v>2563</v>
          </cell>
          <cell r="S34">
            <v>21</v>
          </cell>
          <cell r="T34">
            <v>3405</v>
          </cell>
          <cell r="U34">
            <v>36</v>
          </cell>
          <cell r="V34">
            <v>5968</v>
          </cell>
          <cell r="W34">
            <v>7.5412570446561702E-2</v>
          </cell>
          <cell r="X34">
            <v>16</v>
          </cell>
          <cell r="Y34">
            <v>2865</v>
          </cell>
          <cell r="Z34">
            <v>5</v>
          </cell>
          <cell r="AA34">
            <v>845</v>
          </cell>
          <cell r="AB34">
            <v>16</v>
          </cell>
          <cell r="AC34">
            <v>1933</v>
          </cell>
          <cell r="AD34">
            <v>13</v>
          </cell>
          <cell r="AE34">
            <v>2189</v>
          </cell>
          <cell r="AF34">
            <v>18</v>
          </cell>
          <cell r="AG34">
            <v>3866</v>
          </cell>
          <cell r="AH34">
            <v>1.9718559263717322E-2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sVegas"/>
      <sheetName val="Anaheim"/>
      <sheetName val="Atlanta"/>
      <sheetName val="Boston"/>
      <sheetName val="Chicago"/>
      <sheetName val="Dallas"/>
      <sheetName val="Denver"/>
      <sheetName val="Detroit"/>
      <sheetName val="Houston"/>
      <sheetName val="LosAngeles"/>
      <sheetName val="Miami"/>
      <sheetName val="Minneapolis"/>
      <sheetName val="Nashville"/>
      <sheetName val="NewOrleans"/>
      <sheetName val="NewYork"/>
      <sheetName val="Norfolk"/>
      <sheetName val="Oahu"/>
      <sheetName val="Orlando"/>
      <sheetName val="Philadelphia"/>
      <sheetName val="Phoenix"/>
      <sheetName val="SaintLouis"/>
      <sheetName val="SanDiego"/>
      <sheetName val="SanFrancisco"/>
      <sheetName val="Seattle"/>
      <sheetName val="Tampa"/>
      <sheetName val="Washington"/>
      <sheetName val="Cornerstone national"/>
      <sheetName val="Cornerstone Summary"/>
      <sheetName val="Cornerstone summ lookup"/>
      <sheetName val="Top 25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6">
          <cell r="B6" t="str">
            <v>Anaheim, CA</v>
          </cell>
          <cell r="C6">
            <v>22</v>
          </cell>
          <cell r="D6">
            <v>4043</v>
          </cell>
          <cell r="E6">
            <v>355</v>
          </cell>
          <cell r="F6">
            <v>47404</v>
          </cell>
          <cell r="G6">
            <v>14</v>
          </cell>
          <cell r="H6">
            <v>3427</v>
          </cell>
          <cell r="I6">
            <v>11</v>
          </cell>
          <cell r="J6">
            <v>3073</v>
          </cell>
          <cell r="K6">
            <v>25</v>
          </cell>
          <cell r="L6">
            <v>6500</v>
          </cell>
          <cell r="M6">
            <v>3</v>
          </cell>
          <cell r="N6">
            <v>341</v>
          </cell>
          <cell r="O6">
            <v>5</v>
          </cell>
          <cell r="P6">
            <v>1520</v>
          </cell>
          <cell r="Q6">
            <v>12</v>
          </cell>
          <cell r="R6">
            <v>2633</v>
          </cell>
          <cell r="S6">
            <v>6</v>
          </cell>
          <cell r="T6">
            <v>1522</v>
          </cell>
          <cell r="U6">
            <v>4</v>
          </cell>
          <cell r="V6">
            <v>1630</v>
          </cell>
          <cell r="W6">
            <v>6</v>
          </cell>
          <cell r="X6">
            <v>1056</v>
          </cell>
        </row>
        <row r="7">
          <cell r="B7" t="str">
            <v>Atlanta, GA</v>
          </cell>
          <cell r="C7">
            <v>167</v>
          </cell>
          <cell r="D7">
            <v>17094</v>
          </cell>
          <cell r="E7">
            <v>623</v>
          </cell>
          <cell r="F7">
            <v>84404</v>
          </cell>
          <cell r="G7">
            <v>25</v>
          </cell>
          <cell r="H7">
            <v>1976</v>
          </cell>
          <cell r="I7">
            <v>20</v>
          </cell>
          <cell r="J7">
            <v>2059</v>
          </cell>
          <cell r="K7">
            <v>45</v>
          </cell>
          <cell r="L7">
            <v>4035</v>
          </cell>
          <cell r="M7">
            <v>30</v>
          </cell>
          <cell r="N7">
            <v>4417</v>
          </cell>
          <cell r="O7">
            <v>4</v>
          </cell>
          <cell r="P7">
            <v>647</v>
          </cell>
          <cell r="Q7">
            <v>23</v>
          </cell>
          <cell r="R7">
            <v>1818</v>
          </cell>
          <cell r="S7">
            <v>17</v>
          </cell>
          <cell r="T7">
            <v>1244</v>
          </cell>
          <cell r="U7">
            <v>19</v>
          </cell>
          <cell r="V7">
            <v>2048</v>
          </cell>
          <cell r="W7">
            <v>16</v>
          </cell>
          <cell r="X7">
            <v>3342</v>
          </cell>
        </row>
        <row r="8">
          <cell r="B8" t="str">
            <v>Boston, MA</v>
          </cell>
          <cell r="C8">
            <v>49</v>
          </cell>
          <cell r="D8">
            <v>7473</v>
          </cell>
          <cell r="E8">
            <v>271</v>
          </cell>
          <cell r="F8">
            <v>41760</v>
          </cell>
          <cell r="G8">
            <v>14</v>
          </cell>
          <cell r="H8">
            <v>2172</v>
          </cell>
          <cell r="I8">
            <v>22</v>
          </cell>
          <cell r="J8">
            <v>4983</v>
          </cell>
          <cell r="K8">
            <v>36</v>
          </cell>
          <cell r="L8">
            <v>7155</v>
          </cell>
          <cell r="M8">
            <v>20</v>
          </cell>
          <cell r="N8">
            <v>3779</v>
          </cell>
          <cell r="O8">
            <v>5</v>
          </cell>
          <cell r="P8">
            <v>710</v>
          </cell>
          <cell r="Q8">
            <v>12</v>
          </cell>
          <cell r="R8">
            <v>1829</v>
          </cell>
          <cell r="S8">
            <v>14</v>
          </cell>
          <cell r="T8">
            <v>1986</v>
          </cell>
          <cell r="U8">
            <v>14</v>
          </cell>
          <cell r="V8">
            <v>2705</v>
          </cell>
          <cell r="W8">
            <v>16</v>
          </cell>
          <cell r="X8">
            <v>4414</v>
          </cell>
        </row>
        <row r="9">
          <cell r="B9" t="str">
            <v>Chicago, IL</v>
          </cell>
          <cell r="C9">
            <v>87</v>
          </cell>
          <cell r="D9">
            <v>12196</v>
          </cell>
          <cell r="E9">
            <v>471</v>
          </cell>
          <cell r="F9">
            <v>81227</v>
          </cell>
          <cell r="G9">
            <v>22</v>
          </cell>
          <cell r="H9">
            <v>4079</v>
          </cell>
          <cell r="I9">
            <v>23</v>
          </cell>
          <cell r="J9">
            <v>5109</v>
          </cell>
          <cell r="K9">
            <v>45</v>
          </cell>
          <cell r="L9">
            <v>9188</v>
          </cell>
          <cell r="M9">
            <v>15</v>
          </cell>
          <cell r="N9">
            <v>2729</v>
          </cell>
          <cell r="O9">
            <v>3</v>
          </cell>
          <cell r="P9">
            <v>194</v>
          </cell>
          <cell r="Q9">
            <v>21</v>
          </cell>
          <cell r="R9">
            <v>3667</v>
          </cell>
          <cell r="S9">
            <v>15</v>
          </cell>
          <cell r="T9">
            <v>2048</v>
          </cell>
          <cell r="U9">
            <v>10</v>
          </cell>
          <cell r="V9">
            <v>1692</v>
          </cell>
          <cell r="W9">
            <v>14</v>
          </cell>
          <cell r="X9">
            <v>4510</v>
          </cell>
        </row>
        <row r="10">
          <cell r="B10" t="str">
            <v>Dallas, TX</v>
          </cell>
          <cell r="C10">
            <v>154</v>
          </cell>
          <cell r="D10">
            <v>19569</v>
          </cell>
          <cell r="E10">
            <v>433</v>
          </cell>
          <cell r="F10">
            <v>62272</v>
          </cell>
          <cell r="G10">
            <v>12</v>
          </cell>
          <cell r="H10">
            <v>1236</v>
          </cell>
          <cell r="I10">
            <v>19</v>
          </cell>
          <cell r="J10">
            <v>2701</v>
          </cell>
          <cell r="K10">
            <v>31</v>
          </cell>
          <cell r="L10">
            <v>3937</v>
          </cell>
          <cell r="M10">
            <v>14</v>
          </cell>
          <cell r="N10">
            <v>2442</v>
          </cell>
          <cell r="O10">
            <v>7</v>
          </cell>
          <cell r="P10">
            <v>1073</v>
          </cell>
          <cell r="Q10">
            <v>12</v>
          </cell>
          <cell r="R10">
            <v>1236</v>
          </cell>
          <cell r="S10">
            <v>14</v>
          </cell>
          <cell r="T10">
            <v>1408</v>
          </cell>
          <cell r="U10">
            <v>8</v>
          </cell>
          <cell r="V10">
            <v>1183</v>
          </cell>
          <cell r="W10">
            <v>11</v>
          </cell>
          <cell r="X10">
            <v>2552</v>
          </cell>
        </row>
        <row r="11">
          <cell r="B11" t="str">
            <v>Denver, CO</v>
          </cell>
          <cell r="C11">
            <v>86</v>
          </cell>
          <cell r="D11">
            <v>10266</v>
          </cell>
          <cell r="E11">
            <v>218</v>
          </cell>
          <cell r="F11">
            <v>33637</v>
          </cell>
          <cell r="G11">
            <v>3</v>
          </cell>
          <cell r="H11">
            <v>259</v>
          </cell>
          <cell r="I11">
            <v>8</v>
          </cell>
          <cell r="J11">
            <v>1055</v>
          </cell>
          <cell r="K11">
            <v>11</v>
          </cell>
          <cell r="L11">
            <v>1314</v>
          </cell>
          <cell r="M11">
            <v>16</v>
          </cell>
          <cell r="N11">
            <v>3543</v>
          </cell>
          <cell r="O11">
            <v>1</v>
          </cell>
          <cell r="P11">
            <v>68</v>
          </cell>
          <cell r="Q11">
            <v>3</v>
          </cell>
          <cell r="R11">
            <v>259</v>
          </cell>
          <cell r="S11">
            <v>5</v>
          </cell>
          <cell r="T11">
            <v>709</v>
          </cell>
          <cell r="U11">
            <v>5</v>
          </cell>
          <cell r="V11">
            <v>734</v>
          </cell>
          <cell r="W11">
            <v>14</v>
          </cell>
          <cell r="X11">
            <v>3155</v>
          </cell>
        </row>
        <row r="12">
          <cell r="B12" t="str">
            <v>Detroit, MI</v>
          </cell>
          <cell r="C12">
            <v>59</v>
          </cell>
          <cell r="D12">
            <v>6285</v>
          </cell>
          <cell r="E12">
            <v>282</v>
          </cell>
          <cell r="F12">
            <v>35324</v>
          </cell>
          <cell r="G12">
            <v>19</v>
          </cell>
          <cell r="H12">
            <v>1978</v>
          </cell>
          <cell r="I12">
            <v>12</v>
          </cell>
          <cell r="J12">
            <v>1114</v>
          </cell>
          <cell r="K12">
            <v>31</v>
          </cell>
          <cell r="L12">
            <v>3092</v>
          </cell>
          <cell r="M12">
            <v>16</v>
          </cell>
          <cell r="N12">
            <v>1521</v>
          </cell>
          <cell r="O12">
            <v>2</v>
          </cell>
          <cell r="P12">
            <v>218</v>
          </cell>
          <cell r="Q12">
            <v>14</v>
          </cell>
          <cell r="R12">
            <v>1192</v>
          </cell>
          <cell r="S12">
            <v>17</v>
          </cell>
          <cell r="T12">
            <v>1860</v>
          </cell>
          <cell r="U12">
            <v>8</v>
          </cell>
          <cell r="V12">
            <v>693</v>
          </cell>
          <cell r="W12">
            <v>8</v>
          </cell>
          <cell r="X12">
            <v>868</v>
          </cell>
        </row>
        <row r="13">
          <cell r="B13" t="str">
            <v>Houston, TX</v>
          </cell>
          <cell r="C13">
            <v>137</v>
          </cell>
          <cell r="D13">
            <v>12630</v>
          </cell>
          <cell r="E13">
            <v>380</v>
          </cell>
          <cell r="F13">
            <v>50222</v>
          </cell>
          <cell r="G13">
            <v>21</v>
          </cell>
          <cell r="H13">
            <v>2030</v>
          </cell>
          <cell r="I13">
            <v>16</v>
          </cell>
          <cell r="J13">
            <v>2542</v>
          </cell>
          <cell r="K13">
            <v>37</v>
          </cell>
          <cell r="L13">
            <v>4572</v>
          </cell>
          <cell r="M13">
            <v>12</v>
          </cell>
          <cell r="N13">
            <v>1661</v>
          </cell>
          <cell r="O13">
            <v>6</v>
          </cell>
          <cell r="P13">
            <v>511</v>
          </cell>
          <cell r="Q13">
            <v>19</v>
          </cell>
          <cell r="R13">
            <v>1803</v>
          </cell>
          <cell r="S13">
            <v>14</v>
          </cell>
          <cell r="T13">
            <v>1058</v>
          </cell>
          <cell r="U13">
            <v>7</v>
          </cell>
          <cell r="V13">
            <v>1760</v>
          </cell>
          <cell r="W13">
            <v>9</v>
          </cell>
          <cell r="X13">
            <v>1612</v>
          </cell>
        </row>
        <row r="14">
          <cell r="B14" t="str">
            <v>Las Vegas, NV</v>
          </cell>
          <cell r="C14">
            <v>41</v>
          </cell>
          <cell r="D14">
            <v>24037</v>
          </cell>
          <cell r="E14">
            <v>308</v>
          </cell>
          <cell r="F14">
            <v>127941</v>
          </cell>
          <cell r="G14">
            <v>5</v>
          </cell>
          <cell r="H14">
            <v>2791</v>
          </cell>
          <cell r="I14">
            <v>6</v>
          </cell>
          <cell r="J14">
            <v>4579</v>
          </cell>
          <cell r="K14">
            <v>11</v>
          </cell>
          <cell r="L14">
            <v>7370</v>
          </cell>
          <cell r="M14">
            <v>6</v>
          </cell>
          <cell r="N14">
            <v>3957</v>
          </cell>
          <cell r="O14">
            <v>1</v>
          </cell>
          <cell r="P14">
            <v>101</v>
          </cell>
          <cell r="Q14">
            <v>4</v>
          </cell>
          <cell r="R14">
            <v>1772</v>
          </cell>
          <cell r="S14">
            <v>3</v>
          </cell>
          <cell r="T14">
            <v>1269</v>
          </cell>
          <cell r="U14">
            <v>5</v>
          </cell>
          <cell r="V14">
            <v>1390</v>
          </cell>
          <cell r="W14">
            <v>5</v>
          </cell>
          <cell r="X14">
            <v>6896</v>
          </cell>
        </row>
        <row r="15">
          <cell r="B15" t="str">
            <v>Los Angeles, CA</v>
          </cell>
          <cell r="C15">
            <v>42</v>
          </cell>
          <cell r="D15">
            <v>4706</v>
          </cell>
          <cell r="E15">
            <v>697</v>
          </cell>
          <cell r="F15">
            <v>84440</v>
          </cell>
          <cell r="G15">
            <v>8</v>
          </cell>
          <cell r="H15">
            <v>1372</v>
          </cell>
          <cell r="I15">
            <v>14</v>
          </cell>
          <cell r="J15">
            <v>2003</v>
          </cell>
          <cell r="K15">
            <v>22</v>
          </cell>
          <cell r="L15">
            <v>3375</v>
          </cell>
          <cell r="M15">
            <v>10</v>
          </cell>
          <cell r="N15">
            <v>2010</v>
          </cell>
          <cell r="O15">
            <v>4</v>
          </cell>
          <cell r="P15">
            <v>305</v>
          </cell>
          <cell r="Q15">
            <v>8</v>
          </cell>
          <cell r="R15">
            <v>1372</v>
          </cell>
          <cell r="S15">
            <v>7</v>
          </cell>
          <cell r="T15">
            <v>679</v>
          </cell>
          <cell r="U15">
            <v>7</v>
          </cell>
          <cell r="V15">
            <v>781</v>
          </cell>
          <cell r="W15">
            <v>10</v>
          </cell>
          <cell r="X15">
            <v>2553</v>
          </cell>
        </row>
        <row r="16">
          <cell r="B16" t="str">
            <v>Miami, FL</v>
          </cell>
          <cell r="C16">
            <v>31</v>
          </cell>
          <cell r="D16">
            <v>5155</v>
          </cell>
          <cell r="E16">
            <v>278</v>
          </cell>
          <cell r="F16">
            <v>44524</v>
          </cell>
          <cell r="G16">
            <v>13</v>
          </cell>
          <cell r="H16">
            <v>3034</v>
          </cell>
          <cell r="I16">
            <v>9</v>
          </cell>
          <cell r="J16">
            <v>1133</v>
          </cell>
          <cell r="K16">
            <v>22</v>
          </cell>
          <cell r="L16">
            <v>4167</v>
          </cell>
          <cell r="M16">
            <v>9</v>
          </cell>
          <cell r="N16">
            <v>1181</v>
          </cell>
          <cell r="O16">
            <v>2</v>
          </cell>
          <cell r="P16">
            <v>313</v>
          </cell>
          <cell r="Q16">
            <v>9</v>
          </cell>
          <cell r="R16">
            <v>1931</v>
          </cell>
          <cell r="S16">
            <v>8</v>
          </cell>
          <cell r="T16">
            <v>1267</v>
          </cell>
          <cell r="U16">
            <v>6</v>
          </cell>
          <cell r="V16">
            <v>1046</v>
          </cell>
          <cell r="W16">
            <v>8</v>
          </cell>
          <cell r="X16">
            <v>1104</v>
          </cell>
        </row>
        <row r="17">
          <cell r="B17" t="str">
            <v>Minneapolis, MN</v>
          </cell>
          <cell r="C17">
            <v>68</v>
          </cell>
          <cell r="D17">
            <v>6649</v>
          </cell>
          <cell r="E17">
            <v>248</v>
          </cell>
          <cell r="F17">
            <v>32339</v>
          </cell>
          <cell r="G17">
            <v>8</v>
          </cell>
          <cell r="H17">
            <v>1095</v>
          </cell>
          <cell r="I17">
            <v>7</v>
          </cell>
          <cell r="J17">
            <v>843</v>
          </cell>
          <cell r="K17">
            <v>15</v>
          </cell>
          <cell r="L17">
            <v>1938</v>
          </cell>
          <cell r="M17">
            <v>13</v>
          </cell>
          <cell r="N17">
            <v>2115</v>
          </cell>
          <cell r="O17">
            <v>3</v>
          </cell>
          <cell r="P17">
            <v>314</v>
          </cell>
          <cell r="Q17">
            <v>8</v>
          </cell>
          <cell r="R17">
            <v>1095</v>
          </cell>
          <cell r="S17">
            <v>6</v>
          </cell>
          <cell r="T17">
            <v>501</v>
          </cell>
          <cell r="U17">
            <v>4</v>
          </cell>
          <cell r="V17">
            <v>520</v>
          </cell>
          <cell r="W17">
            <v>10</v>
          </cell>
          <cell r="X17">
            <v>1937</v>
          </cell>
        </row>
        <row r="18">
          <cell r="B18" t="str">
            <v>Nashville, TN</v>
          </cell>
          <cell r="C18">
            <v>61</v>
          </cell>
          <cell r="D18">
            <v>5947</v>
          </cell>
          <cell r="E18">
            <v>256</v>
          </cell>
          <cell r="F18">
            <v>31743</v>
          </cell>
          <cell r="G18">
            <v>11</v>
          </cell>
          <cell r="H18">
            <v>1466</v>
          </cell>
          <cell r="I18">
            <v>3</v>
          </cell>
          <cell r="J18">
            <v>205</v>
          </cell>
          <cell r="K18">
            <v>14</v>
          </cell>
          <cell r="L18">
            <v>1671</v>
          </cell>
          <cell r="M18">
            <v>8</v>
          </cell>
          <cell r="N18">
            <v>760</v>
          </cell>
          <cell r="O18">
            <v>1</v>
          </cell>
          <cell r="P18">
            <v>64</v>
          </cell>
          <cell r="Q18">
            <v>10</v>
          </cell>
          <cell r="R18">
            <v>1386</v>
          </cell>
          <cell r="S18">
            <v>4</v>
          </cell>
          <cell r="T18">
            <v>285</v>
          </cell>
          <cell r="U18">
            <v>4</v>
          </cell>
          <cell r="V18">
            <v>300</v>
          </cell>
          <cell r="W18">
            <v>4</v>
          </cell>
          <cell r="X18">
            <v>460</v>
          </cell>
        </row>
        <row r="19">
          <cell r="B19" t="str">
            <v>New Orleans, LA</v>
          </cell>
          <cell r="C19">
            <v>50</v>
          </cell>
          <cell r="D19">
            <v>6082</v>
          </cell>
          <cell r="E19">
            <v>184</v>
          </cell>
          <cell r="F19">
            <v>32339</v>
          </cell>
          <cell r="G19">
            <v>16</v>
          </cell>
          <cell r="H19">
            <v>2594</v>
          </cell>
          <cell r="I19">
            <v>7</v>
          </cell>
          <cell r="J19">
            <v>805</v>
          </cell>
          <cell r="K19">
            <v>23</v>
          </cell>
          <cell r="L19">
            <v>3399</v>
          </cell>
          <cell r="M19">
            <v>14</v>
          </cell>
          <cell r="N19">
            <v>3127</v>
          </cell>
          <cell r="O19">
            <v>4</v>
          </cell>
          <cell r="P19">
            <v>611</v>
          </cell>
          <cell r="Q19">
            <v>12</v>
          </cell>
          <cell r="R19">
            <v>1607</v>
          </cell>
          <cell r="S19">
            <v>9</v>
          </cell>
          <cell r="T19">
            <v>1408</v>
          </cell>
          <cell r="U19">
            <v>9</v>
          </cell>
          <cell r="V19">
            <v>951</v>
          </cell>
          <cell r="W19">
            <v>7</v>
          </cell>
          <cell r="X19">
            <v>2560</v>
          </cell>
        </row>
        <row r="20">
          <cell r="B20" t="str">
            <v>New York, NY</v>
          </cell>
          <cell r="C20">
            <v>38</v>
          </cell>
          <cell r="D20">
            <v>6814</v>
          </cell>
          <cell r="E20">
            <v>282</v>
          </cell>
          <cell r="F20">
            <v>74074</v>
          </cell>
          <cell r="G20">
            <v>11</v>
          </cell>
          <cell r="H20">
            <v>3025</v>
          </cell>
          <cell r="I20">
            <v>10</v>
          </cell>
          <cell r="J20">
            <v>1201</v>
          </cell>
          <cell r="K20">
            <v>21</v>
          </cell>
          <cell r="L20">
            <v>4226</v>
          </cell>
          <cell r="M20">
            <v>11</v>
          </cell>
          <cell r="N20">
            <v>1977</v>
          </cell>
          <cell r="O20">
            <v>2</v>
          </cell>
          <cell r="P20">
            <v>207</v>
          </cell>
          <cell r="Q20">
            <v>9</v>
          </cell>
          <cell r="R20">
            <v>1916</v>
          </cell>
          <cell r="S20">
            <v>8</v>
          </cell>
          <cell r="T20">
            <v>1639</v>
          </cell>
          <cell r="U20">
            <v>10</v>
          </cell>
          <cell r="V20">
            <v>1403</v>
          </cell>
          <cell r="W20">
            <v>5</v>
          </cell>
          <cell r="X20">
            <v>1245</v>
          </cell>
        </row>
        <row r="21">
          <cell r="B21" t="str">
            <v>Norfolk, VA</v>
          </cell>
          <cell r="C21">
            <v>32</v>
          </cell>
          <cell r="D21">
            <v>3441</v>
          </cell>
          <cell r="E21">
            <v>319</v>
          </cell>
          <cell r="F21">
            <v>34901</v>
          </cell>
          <cell r="G21">
            <v>4</v>
          </cell>
          <cell r="H21">
            <v>684</v>
          </cell>
          <cell r="I21">
            <v>10</v>
          </cell>
          <cell r="J21">
            <v>1159</v>
          </cell>
          <cell r="K21">
            <v>14</v>
          </cell>
          <cell r="L21">
            <v>1843</v>
          </cell>
          <cell r="M21">
            <v>5</v>
          </cell>
          <cell r="N21">
            <v>860</v>
          </cell>
          <cell r="O21">
            <v>2</v>
          </cell>
          <cell r="P21">
            <v>418</v>
          </cell>
          <cell r="Q21">
            <v>3</v>
          </cell>
          <cell r="R21">
            <v>534</v>
          </cell>
          <cell r="S21">
            <v>7</v>
          </cell>
          <cell r="T21">
            <v>727</v>
          </cell>
          <cell r="U21">
            <v>4</v>
          </cell>
          <cell r="V21">
            <v>582</v>
          </cell>
          <cell r="W21">
            <v>5</v>
          </cell>
          <cell r="X21">
            <v>860</v>
          </cell>
        </row>
        <row r="22">
          <cell r="B22" t="str">
            <v>Oahu, HI</v>
          </cell>
          <cell r="C22">
            <v>1</v>
          </cell>
          <cell r="D22">
            <v>48</v>
          </cell>
          <cell r="E22">
            <v>101</v>
          </cell>
          <cell r="F22">
            <v>34148</v>
          </cell>
          <cell r="G22">
            <v>1</v>
          </cell>
          <cell r="H22">
            <v>453</v>
          </cell>
          <cell r="I22">
            <v>0</v>
          </cell>
          <cell r="J22">
            <v>0</v>
          </cell>
          <cell r="K22">
            <v>1</v>
          </cell>
          <cell r="L22">
            <v>453</v>
          </cell>
          <cell r="M22">
            <v>1</v>
          </cell>
          <cell r="N22">
            <v>299</v>
          </cell>
          <cell r="O22">
            <v>0</v>
          </cell>
          <cell r="P22">
            <v>0</v>
          </cell>
          <cell r="Q22">
            <v>1</v>
          </cell>
          <cell r="R22">
            <v>453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1</v>
          </cell>
          <cell r="X22">
            <v>299</v>
          </cell>
        </row>
        <row r="23">
          <cell r="B23" t="str">
            <v>Orlando, FL</v>
          </cell>
          <cell r="C23">
            <v>89</v>
          </cell>
          <cell r="D23">
            <v>18043</v>
          </cell>
          <cell r="E23">
            <v>412</v>
          </cell>
          <cell r="F23">
            <v>113517</v>
          </cell>
          <cell r="G23">
            <v>15</v>
          </cell>
          <cell r="H23">
            <v>9227</v>
          </cell>
          <cell r="I23">
            <v>17</v>
          </cell>
          <cell r="J23">
            <v>4044</v>
          </cell>
          <cell r="K23">
            <v>32</v>
          </cell>
          <cell r="L23">
            <v>13271</v>
          </cell>
          <cell r="M23">
            <v>29</v>
          </cell>
          <cell r="N23">
            <v>11069</v>
          </cell>
          <cell r="O23">
            <v>3</v>
          </cell>
          <cell r="P23">
            <v>972</v>
          </cell>
          <cell r="Q23">
            <v>9</v>
          </cell>
          <cell r="R23">
            <v>2607</v>
          </cell>
          <cell r="S23">
            <v>17</v>
          </cell>
          <cell r="T23">
            <v>6848</v>
          </cell>
          <cell r="U23">
            <v>10</v>
          </cell>
          <cell r="V23">
            <v>3664</v>
          </cell>
          <cell r="W23">
            <v>25</v>
          </cell>
          <cell r="X23">
            <v>11221</v>
          </cell>
        </row>
        <row r="24">
          <cell r="B24" t="str">
            <v>Philadelphia, PA</v>
          </cell>
          <cell r="C24">
            <v>67</v>
          </cell>
          <cell r="D24">
            <v>12004</v>
          </cell>
          <cell r="E24">
            <v>277</v>
          </cell>
          <cell r="F24">
            <v>45653</v>
          </cell>
          <cell r="G24">
            <v>12</v>
          </cell>
          <cell r="H24">
            <v>2069</v>
          </cell>
          <cell r="I24">
            <v>8</v>
          </cell>
          <cell r="J24">
            <v>997</v>
          </cell>
          <cell r="K24">
            <v>20</v>
          </cell>
          <cell r="L24">
            <v>3066</v>
          </cell>
          <cell r="M24">
            <v>20</v>
          </cell>
          <cell r="N24">
            <v>2756</v>
          </cell>
          <cell r="O24">
            <v>2</v>
          </cell>
          <cell r="P24">
            <v>48</v>
          </cell>
          <cell r="Q24">
            <v>12</v>
          </cell>
          <cell r="R24">
            <v>2069</v>
          </cell>
          <cell r="S24">
            <v>6</v>
          </cell>
          <cell r="T24">
            <v>835</v>
          </cell>
          <cell r="U24">
            <v>9</v>
          </cell>
          <cell r="V24">
            <v>674</v>
          </cell>
          <cell r="W24">
            <v>13</v>
          </cell>
          <cell r="X24">
            <v>2244</v>
          </cell>
        </row>
        <row r="25">
          <cell r="B25" t="str">
            <v>Phoenix, AZ</v>
          </cell>
          <cell r="C25">
            <v>102</v>
          </cell>
          <cell r="D25">
            <v>12645</v>
          </cell>
          <cell r="E25">
            <v>333</v>
          </cell>
          <cell r="F25">
            <v>50170</v>
          </cell>
          <cell r="G25">
            <v>5</v>
          </cell>
          <cell r="H25">
            <v>2419</v>
          </cell>
          <cell r="I25">
            <v>6</v>
          </cell>
          <cell r="J25">
            <v>858</v>
          </cell>
          <cell r="K25">
            <v>11</v>
          </cell>
          <cell r="L25">
            <v>3277</v>
          </cell>
          <cell r="M25">
            <v>9</v>
          </cell>
          <cell r="N25">
            <v>2158</v>
          </cell>
          <cell r="O25">
            <v>0</v>
          </cell>
          <cell r="P25">
            <v>0</v>
          </cell>
          <cell r="Q25">
            <v>2</v>
          </cell>
          <cell r="R25">
            <v>219</v>
          </cell>
          <cell r="S25">
            <v>6</v>
          </cell>
          <cell r="T25">
            <v>2632</v>
          </cell>
          <cell r="U25">
            <v>6</v>
          </cell>
          <cell r="V25">
            <v>685</v>
          </cell>
          <cell r="W25">
            <v>6</v>
          </cell>
          <cell r="X25">
            <v>1899</v>
          </cell>
        </row>
        <row r="26">
          <cell r="B26" t="str">
            <v>Saint Louis, MO</v>
          </cell>
          <cell r="C26">
            <v>57</v>
          </cell>
          <cell r="D26">
            <v>6834</v>
          </cell>
          <cell r="E26">
            <v>234</v>
          </cell>
          <cell r="F26">
            <v>30844</v>
          </cell>
          <cell r="G26">
            <v>5</v>
          </cell>
          <cell r="H26">
            <v>1538</v>
          </cell>
          <cell r="I26">
            <v>7</v>
          </cell>
          <cell r="J26">
            <v>800</v>
          </cell>
          <cell r="K26">
            <v>12</v>
          </cell>
          <cell r="L26">
            <v>2338</v>
          </cell>
          <cell r="M26">
            <v>9</v>
          </cell>
          <cell r="N26">
            <v>1363</v>
          </cell>
          <cell r="O26">
            <v>3</v>
          </cell>
          <cell r="P26">
            <v>406</v>
          </cell>
          <cell r="Q26">
            <v>3</v>
          </cell>
          <cell r="R26">
            <v>459</v>
          </cell>
          <cell r="S26">
            <v>9</v>
          </cell>
          <cell r="T26">
            <v>1879</v>
          </cell>
          <cell r="U26">
            <v>3</v>
          </cell>
          <cell r="V26">
            <v>275</v>
          </cell>
          <cell r="W26">
            <v>6</v>
          </cell>
          <cell r="X26">
            <v>1088</v>
          </cell>
        </row>
        <row r="27">
          <cell r="B27" t="str">
            <v>San Diego, CA</v>
          </cell>
          <cell r="C27">
            <v>23</v>
          </cell>
          <cell r="D27">
            <v>3217</v>
          </cell>
          <cell r="E27">
            <v>398</v>
          </cell>
          <cell r="F27">
            <v>49332</v>
          </cell>
          <cell r="G27">
            <v>10</v>
          </cell>
          <cell r="H27">
            <v>2078</v>
          </cell>
          <cell r="I27">
            <v>14</v>
          </cell>
          <cell r="J27">
            <v>2487</v>
          </cell>
          <cell r="K27">
            <v>24</v>
          </cell>
          <cell r="L27">
            <v>4565</v>
          </cell>
          <cell r="M27">
            <v>7</v>
          </cell>
          <cell r="N27">
            <v>2664</v>
          </cell>
          <cell r="O27">
            <v>0</v>
          </cell>
          <cell r="P27">
            <v>0</v>
          </cell>
          <cell r="Q27">
            <v>6</v>
          </cell>
          <cell r="R27">
            <v>882</v>
          </cell>
          <cell r="S27">
            <v>12</v>
          </cell>
          <cell r="T27">
            <v>2070</v>
          </cell>
          <cell r="U27">
            <v>4</v>
          </cell>
          <cell r="V27">
            <v>591</v>
          </cell>
          <cell r="W27">
            <v>9</v>
          </cell>
          <cell r="X27">
            <v>3686</v>
          </cell>
        </row>
        <row r="28">
          <cell r="B28" t="str">
            <v>San Francisco, CA</v>
          </cell>
          <cell r="C28">
            <v>30</v>
          </cell>
          <cell r="D28">
            <v>3790</v>
          </cell>
          <cell r="E28">
            <v>400</v>
          </cell>
          <cell r="F28">
            <v>51341</v>
          </cell>
          <cell r="G28">
            <v>12</v>
          </cell>
          <cell r="H28">
            <v>1871</v>
          </cell>
          <cell r="I28">
            <v>8</v>
          </cell>
          <cell r="J28">
            <v>1252</v>
          </cell>
          <cell r="K28">
            <v>20</v>
          </cell>
          <cell r="L28">
            <v>3123</v>
          </cell>
          <cell r="M28">
            <v>18</v>
          </cell>
          <cell r="N28">
            <v>3690</v>
          </cell>
          <cell r="O28">
            <v>3</v>
          </cell>
          <cell r="P28">
            <v>675</v>
          </cell>
          <cell r="Q28">
            <v>9</v>
          </cell>
          <cell r="R28">
            <v>1190</v>
          </cell>
          <cell r="S28">
            <v>7</v>
          </cell>
          <cell r="T28">
            <v>970</v>
          </cell>
          <cell r="U28">
            <v>11</v>
          </cell>
          <cell r="V28">
            <v>1629</v>
          </cell>
          <cell r="W28">
            <v>11</v>
          </cell>
          <cell r="X28">
            <v>3024</v>
          </cell>
        </row>
        <row r="29">
          <cell r="B29" t="str">
            <v>Seattle, WA</v>
          </cell>
          <cell r="C29">
            <v>63</v>
          </cell>
          <cell r="D29">
            <v>7482</v>
          </cell>
          <cell r="E29">
            <v>283</v>
          </cell>
          <cell r="F29">
            <v>33145</v>
          </cell>
          <cell r="G29">
            <v>9</v>
          </cell>
          <cell r="H29">
            <v>1593</v>
          </cell>
          <cell r="I29">
            <v>10</v>
          </cell>
          <cell r="J29">
            <v>1992</v>
          </cell>
          <cell r="K29">
            <v>19</v>
          </cell>
          <cell r="L29">
            <v>3585</v>
          </cell>
          <cell r="M29">
            <v>12</v>
          </cell>
          <cell r="N29">
            <v>1875</v>
          </cell>
          <cell r="O29">
            <v>2</v>
          </cell>
          <cell r="P29">
            <v>421</v>
          </cell>
          <cell r="Q29">
            <v>8</v>
          </cell>
          <cell r="R29">
            <v>1290</v>
          </cell>
          <cell r="S29">
            <v>6</v>
          </cell>
          <cell r="T29">
            <v>767</v>
          </cell>
          <cell r="U29">
            <v>6</v>
          </cell>
          <cell r="V29">
            <v>1170</v>
          </cell>
          <cell r="W29">
            <v>11</v>
          </cell>
          <cell r="X29">
            <v>2233</v>
          </cell>
        </row>
        <row r="30">
          <cell r="B30" t="str">
            <v>Tampa, FL</v>
          </cell>
          <cell r="C30">
            <v>50</v>
          </cell>
          <cell r="D30">
            <v>5969</v>
          </cell>
          <cell r="E30">
            <v>305</v>
          </cell>
          <cell r="F30">
            <v>37116</v>
          </cell>
          <cell r="G30">
            <v>12</v>
          </cell>
          <cell r="H30">
            <v>1392</v>
          </cell>
          <cell r="I30">
            <v>7</v>
          </cell>
          <cell r="J30">
            <v>785</v>
          </cell>
          <cell r="K30">
            <v>19</v>
          </cell>
          <cell r="L30">
            <v>2177</v>
          </cell>
          <cell r="M30">
            <v>13</v>
          </cell>
          <cell r="N30">
            <v>1594</v>
          </cell>
          <cell r="O30">
            <v>2</v>
          </cell>
          <cell r="P30">
            <v>149</v>
          </cell>
          <cell r="Q30">
            <v>8</v>
          </cell>
          <cell r="R30">
            <v>929</v>
          </cell>
          <cell r="S30">
            <v>10</v>
          </cell>
          <cell r="T30">
            <v>948</v>
          </cell>
          <cell r="U30">
            <v>7</v>
          </cell>
          <cell r="V30">
            <v>731</v>
          </cell>
          <cell r="W30">
            <v>7</v>
          </cell>
          <cell r="X30">
            <v>1163</v>
          </cell>
        </row>
        <row r="31">
          <cell r="B31" t="str">
            <v>Washington, DC</v>
          </cell>
          <cell r="C31">
            <v>77</v>
          </cell>
          <cell r="D31">
            <v>9326</v>
          </cell>
          <cell r="E31">
            <v>428</v>
          </cell>
          <cell r="F31">
            <v>77867</v>
          </cell>
          <cell r="G31">
            <v>16</v>
          </cell>
          <cell r="H31">
            <v>2322</v>
          </cell>
          <cell r="I31">
            <v>23</v>
          </cell>
          <cell r="J31">
            <v>4199</v>
          </cell>
          <cell r="K31">
            <v>39</v>
          </cell>
          <cell r="L31">
            <v>6521</v>
          </cell>
          <cell r="M31">
            <v>18</v>
          </cell>
          <cell r="N31">
            <v>3040</v>
          </cell>
          <cell r="O31">
            <v>5</v>
          </cell>
          <cell r="P31">
            <v>550</v>
          </cell>
          <cell r="Q31">
            <v>11</v>
          </cell>
          <cell r="R31">
            <v>1472</v>
          </cell>
          <cell r="S31">
            <v>15</v>
          </cell>
          <cell r="T31">
            <v>1922</v>
          </cell>
          <cell r="U31">
            <v>14</v>
          </cell>
          <cell r="V31">
            <v>2237</v>
          </cell>
          <cell r="W31">
            <v>17</v>
          </cell>
          <cell r="X31">
            <v>3930</v>
          </cell>
        </row>
      </sheetData>
      <sheetData sheetId="2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Set"/>
      <sheetName val="Baymont by State"/>
      <sheetName val="Comf Suites by State"/>
      <sheetName val="Cyard by State"/>
      <sheetName val="HGI by State"/>
      <sheetName val="Hamp Inn by State"/>
      <sheetName val="Hamp Suite by State"/>
      <sheetName val="HAW LTD by State"/>
      <sheetName val="HI Express by State"/>
      <sheetName val="La Quinta by State"/>
      <sheetName val="HI Ex Suites by State"/>
      <sheetName val="Super 8 by State"/>
      <sheetName val="Wingate by State"/>
      <sheetName val="lookups"/>
      <sheetName val="brand pivots"/>
      <sheetName val="baymont state pivots"/>
      <sheetName val="comf state pivots"/>
      <sheetName val="courtyard state pivots"/>
      <sheetName val="hilt gard inn state pivots"/>
      <sheetName val="hamp inn state pivots"/>
      <sheetName val="hamp suite state pivots"/>
      <sheetName val="haw ltd state pivots"/>
      <sheetName val="hi express state pivots"/>
      <sheetName val="hi suites state pivots"/>
      <sheetName val="la quinta state pivots"/>
      <sheetName val="super 8 state pivots"/>
      <sheetName val="wingate state pivo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33">
          <cell r="EC33" t="str">
            <v>Alabama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2</v>
          </cell>
          <cell r="EI33">
            <v>155</v>
          </cell>
          <cell r="EJ33">
            <v>0</v>
          </cell>
          <cell r="EK33">
            <v>0</v>
          </cell>
          <cell r="EL33">
            <v>2</v>
          </cell>
          <cell r="EM33">
            <v>110</v>
          </cell>
          <cell r="EN33">
            <v>0</v>
          </cell>
          <cell r="EO33">
            <v>0</v>
          </cell>
          <cell r="EP33">
            <v>2</v>
          </cell>
          <cell r="EQ33">
            <v>155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</row>
        <row r="34">
          <cell r="EC34" t="str">
            <v>Alaska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</row>
        <row r="35">
          <cell r="EC35" t="str">
            <v>Arizona</v>
          </cell>
          <cell r="ED35">
            <v>0</v>
          </cell>
          <cell r="EE35">
            <v>0</v>
          </cell>
          <cell r="EF35">
            <v>1</v>
          </cell>
          <cell r="EG35">
            <v>45</v>
          </cell>
          <cell r="EH35">
            <v>0</v>
          </cell>
          <cell r="EI35">
            <v>0</v>
          </cell>
          <cell r="EJ35">
            <v>2</v>
          </cell>
          <cell r="EK35">
            <v>158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1</v>
          </cell>
          <cell r="EQ35">
            <v>45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</row>
        <row r="36">
          <cell r="EC36" t="str">
            <v>Arkansas</v>
          </cell>
          <cell r="ED36">
            <v>3</v>
          </cell>
          <cell r="EE36">
            <v>170</v>
          </cell>
          <cell r="EF36">
            <v>2</v>
          </cell>
          <cell r="EG36">
            <v>110</v>
          </cell>
          <cell r="EH36">
            <v>4</v>
          </cell>
          <cell r="EI36">
            <v>244</v>
          </cell>
          <cell r="EJ36">
            <v>2</v>
          </cell>
          <cell r="EK36">
            <v>105</v>
          </cell>
          <cell r="EL36">
            <v>0</v>
          </cell>
          <cell r="EM36">
            <v>0</v>
          </cell>
          <cell r="EN36">
            <v>3</v>
          </cell>
          <cell r="EO36">
            <v>170</v>
          </cell>
          <cell r="EP36">
            <v>6</v>
          </cell>
          <cell r="EQ36">
            <v>354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</row>
        <row r="37">
          <cell r="EC37" t="str">
            <v>California</v>
          </cell>
          <cell r="ED37">
            <v>1</v>
          </cell>
          <cell r="EE37">
            <v>56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1</v>
          </cell>
          <cell r="EW37">
            <v>56</v>
          </cell>
        </row>
        <row r="38">
          <cell r="EC38" t="str">
            <v>Colorado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1</v>
          </cell>
          <cell r="EK38">
            <v>50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</row>
        <row r="39">
          <cell r="EC39" t="str">
            <v>Connecticut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1</v>
          </cell>
          <cell r="EI39">
            <v>61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1</v>
          </cell>
          <cell r="EQ39">
            <v>61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</row>
        <row r="40">
          <cell r="EC40" t="str">
            <v>Delaware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1</v>
          </cell>
          <cell r="EI40">
            <v>100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1</v>
          </cell>
          <cell r="EQ40">
            <v>100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</row>
        <row r="41">
          <cell r="EC41" t="str">
            <v>District of Columbia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</row>
        <row r="42">
          <cell r="EC42" t="str">
            <v>Florida</v>
          </cell>
          <cell r="ED42">
            <v>0</v>
          </cell>
          <cell r="EE42">
            <v>0</v>
          </cell>
          <cell r="EF42">
            <v>1</v>
          </cell>
          <cell r="EG42">
            <v>100</v>
          </cell>
          <cell r="EH42">
            <v>1</v>
          </cell>
          <cell r="EI42">
            <v>60</v>
          </cell>
          <cell r="EJ42">
            <v>2</v>
          </cell>
          <cell r="EK42">
            <v>91</v>
          </cell>
          <cell r="EL42">
            <v>1</v>
          </cell>
          <cell r="EM42">
            <v>64</v>
          </cell>
          <cell r="EN42">
            <v>0</v>
          </cell>
          <cell r="EO42">
            <v>0</v>
          </cell>
          <cell r="EP42">
            <v>1</v>
          </cell>
          <cell r="EQ42">
            <v>60</v>
          </cell>
          <cell r="ER42">
            <v>1</v>
          </cell>
          <cell r="ES42">
            <v>100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</row>
        <row r="43">
          <cell r="EC43" t="str">
            <v>Georgia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2</v>
          </cell>
          <cell r="EI43">
            <v>160</v>
          </cell>
          <cell r="EJ43">
            <v>2</v>
          </cell>
          <cell r="EK43">
            <v>88</v>
          </cell>
          <cell r="EL43">
            <v>1</v>
          </cell>
          <cell r="EM43">
            <v>60</v>
          </cell>
          <cell r="EN43">
            <v>0</v>
          </cell>
          <cell r="EO43">
            <v>0</v>
          </cell>
          <cell r="EP43">
            <v>2</v>
          </cell>
          <cell r="EQ43">
            <v>160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</row>
        <row r="44">
          <cell r="EC44" t="str">
            <v>Hawaii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</row>
        <row r="45">
          <cell r="EC45" t="str">
            <v>Idaho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2</v>
          </cell>
          <cell r="EI45">
            <v>121</v>
          </cell>
          <cell r="EJ45">
            <v>1</v>
          </cell>
          <cell r="EK45">
            <v>39</v>
          </cell>
          <cell r="EL45">
            <v>1</v>
          </cell>
          <cell r="EM45">
            <v>50</v>
          </cell>
          <cell r="EN45">
            <v>0</v>
          </cell>
          <cell r="EO45">
            <v>0</v>
          </cell>
          <cell r="EP45">
            <v>1</v>
          </cell>
          <cell r="EQ45">
            <v>61</v>
          </cell>
          <cell r="ER45">
            <v>1</v>
          </cell>
          <cell r="ES45">
            <v>60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</row>
        <row r="46">
          <cell r="EC46" t="str">
            <v>Illinois</v>
          </cell>
          <cell r="ED46">
            <v>1</v>
          </cell>
          <cell r="EE46">
            <v>50</v>
          </cell>
          <cell r="EF46">
            <v>2</v>
          </cell>
          <cell r="EG46">
            <v>155</v>
          </cell>
          <cell r="EH46">
            <v>1</v>
          </cell>
          <cell r="EI46">
            <v>40</v>
          </cell>
          <cell r="EJ46">
            <v>3</v>
          </cell>
          <cell r="EK46">
            <v>162</v>
          </cell>
          <cell r="EL46">
            <v>2</v>
          </cell>
          <cell r="EM46">
            <v>89</v>
          </cell>
          <cell r="EN46">
            <v>3</v>
          </cell>
          <cell r="EO46">
            <v>145</v>
          </cell>
          <cell r="EP46">
            <v>1</v>
          </cell>
          <cell r="EQ46">
            <v>100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</row>
        <row r="47">
          <cell r="EC47" t="str">
            <v>Indiana</v>
          </cell>
          <cell r="ED47">
            <v>3</v>
          </cell>
          <cell r="EE47">
            <v>188</v>
          </cell>
          <cell r="EF47">
            <v>1</v>
          </cell>
          <cell r="EG47">
            <v>70</v>
          </cell>
          <cell r="EH47">
            <v>2</v>
          </cell>
          <cell r="EI47">
            <v>130</v>
          </cell>
          <cell r="EJ47">
            <v>5</v>
          </cell>
          <cell r="EK47">
            <v>221</v>
          </cell>
          <cell r="EL47">
            <v>1</v>
          </cell>
          <cell r="EM47">
            <v>50</v>
          </cell>
          <cell r="EN47">
            <v>2</v>
          </cell>
          <cell r="EO47">
            <v>120</v>
          </cell>
          <cell r="EP47">
            <v>1</v>
          </cell>
          <cell r="EQ47">
            <v>60</v>
          </cell>
          <cell r="ER47">
            <v>1</v>
          </cell>
          <cell r="ES47">
            <v>70</v>
          </cell>
          <cell r="ET47">
            <v>1</v>
          </cell>
          <cell r="EU47">
            <v>70</v>
          </cell>
          <cell r="EV47">
            <v>1</v>
          </cell>
          <cell r="EW47">
            <v>68</v>
          </cell>
        </row>
        <row r="48">
          <cell r="EC48" t="str">
            <v>Iowa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1</v>
          </cell>
          <cell r="EI48">
            <v>34</v>
          </cell>
          <cell r="EJ48">
            <v>6</v>
          </cell>
          <cell r="EK48">
            <v>280</v>
          </cell>
          <cell r="EL48">
            <v>2</v>
          </cell>
          <cell r="EM48">
            <v>89</v>
          </cell>
          <cell r="EN48">
            <v>0</v>
          </cell>
          <cell r="EO48">
            <v>0</v>
          </cell>
          <cell r="EP48">
            <v>1</v>
          </cell>
          <cell r="EQ48">
            <v>34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</row>
        <row r="49">
          <cell r="EC49" t="str">
            <v>Kansas</v>
          </cell>
          <cell r="ED49">
            <v>1</v>
          </cell>
          <cell r="EE49">
            <v>55</v>
          </cell>
          <cell r="EF49">
            <v>1</v>
          </cell>
          <cell r="EG49">
            <v>95</v>
          </cell>
          <cell r="EH49">
            <v>1</v>
          </cell>
          <cell r="EI49">
            <v>55</v>
          </cell>
          <cell r="EJ49">
            <v>3</v>
          </cell>
          <cell r="EK49">
            <v>149</v>
          </cell>
          <cell r="EL49">
            <v>3</v>
          </cell>
          <cell r="EM49">
            <v>136</v>
          </cell>
          <cell r="EN49">
            <v>1</v>
          </cell>
          <cell r="EO49">
            <v>55</v>
          </cell>
          <cell r="EP49">
            <v>2</v>
          </cell>
          <cell r="EQ49">
            <v>150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</row>
        <row r="50">
          <cell r="EC50" t="str">
            <v>Kentucky</v>
          </cell>
          <cell r="ED50">
            <v>1</v>
          </cell>
          <cell r="EE50">
            <v>40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1</v>
          </cell>
          <cell r="EK50">
            <v>72</v>
          </cell>
          <cell r="EL50">
            <v>2</v>
          </cell>
          <cell r="EM50">
            <v>141</v>
          </cell>
          <cell r="EN50">
            <v>1</v>
          </cell>
          <cell r="EO50">
            <v>40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</row>
        <row r="51">
          <cell r="EC51" t="str">
            <v>Louisiana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1</v>
          </cell>
          <cell r="EI51">
            <v>59</v>
          </cell>
          <cell r="EJ51">
            <v>2</v>
          </cell>
          <cell r="EK51">
            <v>113</v>
          </cell>
          <cell r="EL51">
            <v>1</v>
          </cell>
          <cell r="EM51">
            <v>60</v>
          </cell>
          <cell r="EN51">
            <v>0</v>
          </cell>
          <cell r="EO51">
            <v>0</v>
          </cell>
          <cell r="EP51">
            <v>1</v>
          </cell>
          <cell r="EQ51">
            <v>59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</row>
        <row r="52">
          <cell r="EC52" t="str">
            <v>Maine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</row>
        <row r="53">
          <cell r="EC53" t="str">
            <v>Maryland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</row>
        <row r="54">
          <cell r="EC54" t="str">
            <v>Massachusetts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</row>
        <row r="55">
          <cell r="EC55" t="str">
            <v>Michigan</v>
          </cell>
          <cell r="ED55">
            <v>2</v>
          </cell>
          <cell r="EE55">
            <v>115</v>
          </cell>
          <cell r="EF55">
            <v>0</v>
          </cell>
          <cell r="EG55">
            <v>0</v>
          </cell>
          <cell r="EH55">
            <v>7</v>
          </cell>
          <cell r="EI55">
            <v>477</v>
          </cell>
          <cell r="EJ55">
            <v>2</v>
          </cell>
          <cell r="EK55">
            <v>91</v>
          </cell>
          <cell r="EL55">
            <v>0</v>
          </cell>
          <cell r="EM55">
            <v>0</v>
          </cell>
          <cell r="EN55">
            <v>2</v>
          </cell>
          <cell r="EO55">
            <v>115</v>
          </cell>
          <cell r="EP55">
            <v>6</v>
          </cell>
          <cell r="EQ55">
            <v>416</v>
          </cell>
          <cell r="ER55">
            <v>1</v>
          </cell>
          <cell r="ES55">
            <v>61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</row>
        <row r="56">
          <cell r="EC56" t="str">
            <v>Minnesota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1</v>
          </cell>
          <cell r="EK56">
            <v>40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</row>
        <row r="57">
          <cell r="EC57" t="str">
            <v>Mississippi</v>
          </cell>
          <cell r="ED57">
            <v>2</v>
          </cell>
          <cell r="EE57">
            <v>105</v>
          </cell>
          <cell r="EF57">
            <v>0</v>
          </cell>
          <cell r="EG57">
            <v>0</v>
          </cell>
          <cell r="EH57">
            <v>2</v>
          </cell>
          <cell r="EI57">
            <v>94</v>
          </cell>
          <cell r="EJ57">
            <v>1</v>
          </cell>
          <cell r="EK57">
            <v>48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2</v>
          </cell>
          <cell r="EQ57">
            <v>94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2</v>
          </cell>
          <cell r="EW57">
            <v>105</v>
          </cell>
        </row>
        <row r="58">
          <cell r="EC58" t="str">
            <v>Missouri</v>
          </cell>
          <cell r="ED58">
            <v>2</v>
          </cell>
          <cell r="EE58">
            <v>134</v>
          </cell>
          <cell r="EF58">
            <v>0</v>
          </cell>
          <cell r="EG58">
            <v>0</v>
          </cell>
          <cell r="EH58">
            <v>5</v>
          </cell>
          <cell r="EI58">
            <v>355</v>
          </cell>
          <cell r="EJ58">
            <v>4</v>
          </cell>
          <cell r="EK58">
            <v>291</v>
          </cell>
          <cell r="EL58">
            <v>5</v>
          </cell>
          <cell r="EM58">
            <v>273</v>
          </cell>
          <cell r="EN58">
            <v>2</v>
          </cell>
          <cell r="EO58">
            <v>134</v>
          </cell>
          <cell r="EP58">
            <v>5</v>
          </cell>
          <cell r="EQ58">
            <v>355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</row>
        <row r="59">
          <cell r="EC59" t="str">
            <v>Montana</v>
          </cell>
          <cell r="ED59">
            <v>0</v>
          </cell>
          <cell r="EE59">
            <v>0</v>
          </cell>
          <cell r="EF59">
            <v>1</v>
          </cell>
          <cell r="EG59">
            <v>30</v>
          </cell>
          <cell r="EH59">
            <v>2</v>
          </cell>
          <cell r="EI59">
            <v>94</v>
          </cell>
          <cell r="EJ59">
            <v>1</v>
          </cell>
          <cell r="EK59">
            <v>32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3</v>
          </cell>
          <cell r="EQ59">
            <v>124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</row>
        <row r="60">
          <cell r="EC60" t="str">
            <v>Nebraska</v>
          </cell>
          <cell r="ED60">
            <v>0</v>
          </cell>
          <cell r="EE60">
            <v>0</v>
          </cell>
          <cell r="EF60">
            <v>1</v>
          </cell>
          <cell r="EG60">
            <v>40</v>
          </cell>
          <cell r="EH60">
            <v>1</v>
          </cell>
          <cell r="EI60">
            <v>41</v>
          </cell>
          <cell r="EJ60">
            <v>1</v>
          </cell>
          <cell r="EK60">
            <v>39</v>
          </cell>
          <cell r="EL60">
            <v>2</v>
          </cell>
          <cell r="EM60">
            <v>76</v>
          </cell>
          <cell r="EN60">
            <v>0</v>
          </cell>
          <cell r="EO60">
            <v>0</v>
          </cell>
          <cell r="EP60">
            <v>2</v>
          </cell>
          <cell r="EQ60">
            <v>81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</row>
        <row r="61">
          <cell r="EC61" t="str">
            <v>Nevada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</row>
        <row r="62">
          <cell r="EC62" t="str">
            <v>New Hampshire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</row>
        <row r="63">
          <cell r="EC63" t="str">
            <v>New Jersey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3</v>
          </cell>
          <cell r="EI63">
            <v>183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3</v>
          </cell>
          <cell r="EQ63">
            <v>183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</row>
        <row r="64">
          <cell r="EC64" t="str">
            <v>New Mexico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</row>
        <row r="65">
          <cell r="EC65" t="str">
            <v>New York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1</v>
          </cell>
          <cell r="EI65">
            <v>70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1</v>
          </cell>
          <cell r="EQ65">
            <v>70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</row>
        <row r="66">
          <cell r="EC66" t="str">
            <v>North Carolina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2</v>
          </cell>
          <cell r="EK66">
            <v>133</v>
          </cell>
          <cell r="EL66">
            <v>2</v>
          </cell>
          <cell r="EM66">
            <v>125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</row>
        <row r="67">
          <cell r="EC67" t="str">
            <v>North Dakota</v>
          </cell>
          <cell r="ED67">
            <v>1</v>
          </cell>
          <cell r="EE67">
            <v>30</v>
          </cell>
          <cell r="EF67">
            <v>0</v>
          </cell>
          <cell r="EG67">
            <v>0</v>
          </cell>
          <cell r="EH67">
            <v>1</v>
          </cell>
          <cell r="EI67">
            <v>40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1</v>
          </cell>
          <cell r="EQ67">
            <v>40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1</v>
          </cell>
          <cell r="EW67">
            <v>30</v>
          </cell>
        </row>
        <row r="68">
          <cell r="EC68" t="str">
            <v>Ohio</v>
          </cell>
          <cell r="ED68">
            <v>1</v>
          </cell>
          <cell r="EE68">
            <v>83</v>
          </cell>
          <cell r="EF68">
            <v>0</v>
          </cell>
          <cell r="EG68">
            <v>0</v>
          </cell>
          <cell r="EH68">
            <v>1</v>
          </cell>
          <cell r="EI68">
            <v>75</v>
          </cell>
          <cell r="EJ68">
            <v>4</v>
          </cell>
          <cell r="EK68">
            <v>219</v>
          </cell>
          <cell r="EL68">
            <v>1</v>
          </cell>
          <cell r="EM68">
            <v>52</v>
          </cell>
          <cell r="EN68">
            <v>1</v>
          </cell>
          <cell r="EO68">
            <v>83</v>
          </cell>
          <cell r="EP68">
            <v>1</v>
          </cell>
          <cell r="EQ68">
            <v>75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</row>
        <row r="69">
          <cell r="EC69" t="str">
            <v>Oklahoma</v>
          </cell>
          <cell r="ED69">
            <v>1</v>
          </cell>
          <cell r="EE69">
            <v>75</v>
          </cell>
          <cell r="EF69">
            <v>0</v>
          </cell>
          <cell r="EG69">
            <v>0</v>
          </cell>
          <cell r="EH69">
            <v>2</v>
          </cell>
          <cell r="EI69">
            <v>130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1</v>
          </cell>
          <cell r="EO69">
            <v>75</v>
          </cell>
          <cell r="EP69">
            <v>2</v>
          </cell>
          <cell r="EQ69">
            <v>130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</row>
        <row r="70">
          <cell r="EC70" t="str">
            <v>Oregon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</row>
        <row r="71">
          <cell r="EC71" t="str">
            <v>Pennsylvania</v>
          </cell>
          <cell r="ED71">
            <v>1</v>
          </cell>
          <cell r="EE71">
            <v>61</v>
          </cell>
          <cell r="EF71">
            <v>1</v>
          </cell>
          <cell r="EG71">
            <v>65</v>
          </cell>
          <cell r="EH71">
            <v>0</v>
          </cell>
          <cell r="EI71">
            <v>0</v>
          </cell>
          <cell r="EJ71">
            <v>2</v>
          </cell>
          <cell r="EK71">
            <v>101</v>
          </cell>
          <cell r="EL71">
            <v>1</v>
          </cell>
          <cell r="EM71">
            <v>50</v>
          </cell>
          <cell r="EN71">
            <v>1</v>
          </cell>
          <cell r="EO71">
            <v>61</v>
          </cell>
          <cell r="EP71">
            <v>1</v>
          </cell>
          <cell r="EQ71">
            <v>65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</row>
        <row r="72">
          <cell r="EC72" t="str">
            <v>Rhode Island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</row>
        <row r="73">
          <cell r="EC73" t="str">
            <v>South Carolina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1</v>
          </cell>
          <cell r="EK73">
            <v>50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</row>
        <row r="74">
          <cell r="EC74" t="str">
            <v>South Dakota</v>
          </cell>
          <cell r="ED74">
            <v>2</v>
          </cell>
          <cell r="EE74">
            <v>120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1</v>
          </cell>
          <cell r="EK74">
            <v>32</v>
          </cell>
          <cell r="EL74">
            <v>1</v>
          </cell>
          <cell r="EM74">
            <v>56</v>
          </cell>
          <cell r="EN74">
            <v>2</v>
          </cell>
          <cell r="EO74">
            <v>120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</row>
        <row r="75">
          <cell r="EC75" t="str">
            <v>Tennessee</v>
          </cell>
          <cell r="ED75">
            <v>2</v>
          </cell>
          <cell r="EE75">
            <v>101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1</v>
          </cell>
          <cell r="EK75">
            <v>22</v>
          </cell>
          <cell r="EL75">
            <v>1</v>
          </cell>
          <cell r="EM75">
            <v>48</v>
          </cell>
          <cell r="EN75">
            <v>1</v>
          </cell>
          <cell r="EO75">
            <v>61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1</v>
          </cell>
          <cell r="EW75">
            <v>40</v>
          </cell>
        </row>
        <row r="76">
          <cell r="EC76" t="str">
            <v>Texas</v>
          </cell>
          <cell r="ED76">
            <v>7</v>
          </cell>
          <cell r="EE76">
            <v>343</v>
          </cell>
          <cell r="EF76">
            <v>3</v>
          </cell>
          <cell r="EG76">
            <v>191</v>
          </cell>
          <cell r="EH76">
            <v>10</v>
          </cell>
          <cell r="EI76">
            <v>604</v>
          </cell>
          <cell r="EJ76">
            <v>11</v>
          </cell>
          <cell r="EK76">
            <v>528</v>
          </cell>
          <cell r="EL76">
            <v>5</v>
          </cell>
          <cell r="EM76">
            <v>246</v>
          </cell>
          <cell r="EN76">
            <v>8</v>
          </cell>
          <cell r="EO76">
            <v>433</v>
          </cell>
          <cell r="EP76">
            <v>10</v>
          </cell>
          <cell r="EQ76">
            <v>580</v>
          </cell>
          <cell r="ER76">
            <v>1</v>
          </cell>
          <cell r="ES76">
            <v>75</v>
          </cell>
          <cell r="ET76">
            <v>0</v>
          </cell>
          <cell r="EU76">
            <v>0</v>
          </cell>
          <cell r="EV76">
            <v>1</v>
          </cell>
          <cell r="EW76">
            <v>50</v>
          </cell>
        </row>
        <row r="77">
          <cell r="EC77" t="str">
            <v>Utah</v>
          </cell>
          <cell r="ED77">
            <v>1</v>
          </cell>
          <cell r="EE77">
            <v>64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1</v>
          </cell>
          <cell r="EO77">
            <v>64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</row>
        <row r="78">
          <cell r="EC78" t="str">
            <v>Vermont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</row>
        <row r="79">
          <cell r="EC79" t="str">
            <v>Virginia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6</v>
          </cell>
          <cell r="EK79">
            <v>312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</row>
        <row r="80">
          <cell r="EC80" t="str">
            <v>Washington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</row>
        <row r="81">
          <cell r="EC81" t="str">
            <v>West Virginia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1</v>
          </cell>
          <cell r="EK81">
            <v>58</v>
          </cell>
          <cell r="EL81">
            <v>1</v>
          </cell>
          <cell r="EM81">
            <v>54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</row>
        <row r="82">
          <cell r="EC82" t="str">
            <v>Wisconsin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2</v>
          </cell>
          <cell r="EK82">
            <v>94</v>
          </cell>
          <cell r="EL82">
            <v>1</v>
          </cell>
          <cell r="EM82">
            <v>41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</row>
        <row r="83">
          <cell r="EC83" t="str">
            <v>Wyoming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1</v>
          </cell>
          <cell r="EI83">
            <v>54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1</v>
          </cell>
          <cell r="EQ83">
            <v>54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</row>
        <row r="97">
          <cell r="EC97" t="str">
            <v>Alabama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2</v>
          </cell>
          <cell r="EI97">
            <v>220</v>
          </cell>
          <cell r="EJ97">
            <v>0</v>
          </cell>
          <cell r="EK97">
            <v>0</v>
          </cell>
          <cell r="EL97">
            <v>1</v>
          </cell>
          <cell r="EM97">
            <v>84</v>
          </cell>
          <cell r="EN97">
            <v>0</v>
          </cell>
          <cell r="EO97">
            <v>0</v>
          </cell>
          <cell r="EP97">
            <v>1</v>
          </cell>
          <cell r="EQ97">
            <v>100</v>
          </cell>
          <cell r="ER97">
            <v>1</v>
          </cell>
          <cell r="ES97">
            <v>120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</row>
        <row r="98">
          <cell r="EC98" t="str">
            <v>Alaska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</row>
        <row r="99">
          <cell r="EC99" t="str">
            <v>Arizona</v>
          </cell>
          <cell r="ED99">
            <v>0</v>
          </cell>
          <cell r="EE99">
            <v>0</v>
          </cell>
          <cell r="EF99">
            <v>1</v>
          </cell>
          <cell r="EG99">
            <v>100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1</v>
          </cell>
          <cell r="EQ99">
            <v>100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</row>
        <row r="100">
          <cell r="EC100" t="str">
            <v>Arkansas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1</v>
          </cell>
          <cell r="EI100">
            <v>120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1</v>
          </cell>
          <cell r="EU100">
            <v>120</v>
          </cell>
          <cell r="EV100">
            <v>0</v>
          </cell>
          <cell r="EW100">
            <v>0</v>
          </cell>
        </row>
        <row r="101">
          <cell r="EC101" t="str">
            <v>California</v>
          </cell>
          <cell r="ED101">
            <v>1</v>
          </cell>
          <cell r="EE101">
            <v>100</v>
          </cell>
          <cell r="EF101">
            <v>4</v>
          </cell>
          <cell r="EG101">
            <v>360</v>
          </cell>
          <cell r="EH101">
            <v>3</v>
          </cell>
          <cell r="EI101">
            <v>300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2</v>
          </cell>
          <cell r="EO101">
            <v>180</v>
          </cell>
          <cell r="EP101">
            <v>5</v>
          </cell>
          <cell r="EQ101">
            <v>480</v>
          </cell>
          <cell r="ER101">
            <v>1</v>
          </cell>
          <cell r="ES101">
            <v>100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</row>
        <row r="102">
          <cell r="EC102" t="str">
            <v>Colorado</v>
          </cell>
          <cell r="ED102">
            <v>0</v>
          </cell>
          <cell r="EE102">
            <v>0</v>
          </cell>
          <cell r="EF102">
            <v>1</v>
          </cell>
          <cell r="EG102">
            <v>100</v>
          </cell>
          <cell r="EH102">
            <v>3</v>
          </cell>
          <cell r="EI102">
            <v>390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2</v>
          </cell>
          <cell r="EQ102">
            <v>250</v>
          </cell>
          <cell r="ER102">
            <v>2</v>
          </cell>
          <cell r="ES102">
            <v>240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</row>
        <row r="103">
          <cell r="EC103" t="str">
            <v>Connecticut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</row>
        <row r="104">
          <cell r="EC104" t="str">
            <v>Delaware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</row>
        <row r="105">
          <cell r="EC105" t="str">
            <v>District of Columbia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1</v>
          </cell>
          <cell r="EI105">
            <v>130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1</v>
          </cell>
          <cell r="EQ105">
            <v>130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</row>
        <row r="106">
          <cell r="EC106" t="str">
            <v>Florida</v>
          </cell>
          <cell r="ED106">
            <v>2</v>
          </cell>
          <cell r="EE106">
            <v>182</v>
          </cell>
          <cell r="EF106">
            <v>3</v>
          </cell>
          <cell r="EG106">
            <v>285</v>
          </cell>
          <cell r="EH106">
            <v>4</v>
          </cell>
          <cell r="EI106">
            <v>446</v>
          </cell>
          <cell r="EJ106">
            <v>3</v>
          </cell>
          <cell r="EK106">
            <v>255</v>
          </cell>
          <cell r="EL106">
            <v>1</v>
          </cell>
          <cell r="EM106">
            <v>102</v>
          </cell>
          <cell r="EN106">
            <v>2</v>
          </cell>
          <cell r="EO106">
            <v>182</v>
          </cell>
          <cell r="EP106">
            <v>6</v>
          </cell>
          <cell r="EQ106">
            <v>631</v>
          </cell>
          <cell r="ER106">
            <v>1</v>
          </cell>
          <cell r="ES106">
            <v>100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</row>
        <row r="107">
          <cell r="EC107" t="str">
            <v>Georgia</v>
          </cell>
          <cell r="ED107">
            <v>1</v>
          </cell>
          <cell r="EE107">
            <v>100</v>
          </cell>
          <cell r="EF107">
            <v>0</v>
          </cell>
          <cell r="EG107">
            <v>0</v>
          </cell>
          <cell r="EH107">
            <v>3</v>
          </cell>
          <cell r="EI107">
            <v>300</v>
          </cell>
          <cell r="EJ107">
            <v>2</v>
          </cell>
          <cell r="EK107">
            <v>185</v>
          </cell>
          <cell r="EL107">
            <v>3</v>
          </cell>
          <cell r="EM107">
            <v>268</v>
          </cell>
          <cell r="EN107">
            <v>1</v>
          </cell>
          <cell r="EO107">
            <v>100</v>
          </cell>
          <cell r="EP107">
            <v>3</v>
          </cell>
          <cell r="EQ107">
            <v>300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</row>
        <row r="108">
          <cell r="EC108" t="str">
            <v>Hawaii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</row>
        <row r="109">
          <cell r="EC109" t="str">
            <v>Idaho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</row>
        <row r="110">
          <cell r="EC110" t="str">
            <v>Illinois</v>
          </cell>
          <cell r="ED110">
            <v>1</v>
          </cell>
          <cell r="EE110">
            <v>100</v>
          </cell>
          <cell r="EF110">
            <v>3</v>
          </cell>
          <cell r="EG110">
            <v>299</v>
          </cell>
          <cell r="EH110">
            <v>3</v>
          </cell>
          <cell r="EI110">
            <v>300</v>
          </cell>
          <cell r="EJ110">
            <v>0</v>
          </cell>
          <cell r="EK110">
            <v>0</v>
          </cell>
          <cell r="EL110">
            <v>1</v>
          </cell>
          <cell r="EM110">
            <v>81</v>
          </cell>
          <cell r="EN110">
            <v>1</v>
          </cell>
          <cell r="EO110">
            <v>100</v>
          </cell>
          <cell r="EP110">
            <v>6</v>
          </cell>
          <cell r="EQ110">
            <v>599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</row>
        <row r="111">
          <cell r="EC111" t="str">
            <v>Indiana</v>
          </cell>
          <cell r="ED111">
            <v>0</v>
          </cell>
          <cell r="EE111">
            <v>0</v>
          </cell>
          <cell r="EF111">
            <v>2</v>
          </cell>
          <cell r="EG111">
            <v>200</v>
          </cell>
          <cell r="EH111">
            <v>3</v>
          </cell>
          <cell r="EI111">
            <v>300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1</v>
          </cell>
          <cell r="EO111">
            <v>100</v>
          </cell>
          <cell r="EP111">
            <v>4</v>
          </cell>
          <cell r="EQ111">
            <v>400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</row>
        <row r="112">
          <cell r="EC112" t="str">
            <v>Iowa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1</v>
          </cell>
          <cell r="EI112">
            <v>101</v>
          </cell>
          <cell r="EJ112">
            <v>1</v>
          </cell>
          <cell r="EK112">
            <v>102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1</v>
          </cell>
          <cell r="EQ112">
            <v>101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</row>
        <row r="113">
          <cell r="EC113" t="str">
            <v>Kansas</v>
          </cell>
          <cell r="ED113">
            <v>0</v>
          </cell>
          <cell r="EE113">
            <v>0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0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</row>
        <row r="114">
          <cell r="EC114" t="str">
            <v>Kentucky</v>
          </cell>
          <cell r="ED114">
            <v>0</v>
          </cell>
          <cell r="EE114">
            <v>0</v>
          </cell>
          <cell r="EF114">
            <v>1</v>
          </cell>
          <cell r="EG114">
            <v>140</v>
          </cell>
          <cell r="EH114">
            <v>3</v>
          </cell>
          <cell r="EI114">
            <v>340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4</v>
          </cell>
          <cell r="EQ114">
            <v>480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</row>
        <row r="115">
          <cell r="EC115" t="str">
            <v>Louisiana</v>
          </cell>
          <cell r="ED115">
            <v>0</v>
          </cell>
          <cell r="EE115">
            <v>0</v>
          </cell>
          <cell r="EF115">
            <v>2</v>
          </cell>
          <cell r="EG115">
            <v>200</v>
          </cell>
          <cell r="EH115">
            <v>1</v>
          </cell>
          <cell r="EI115">
            <v>100</v>
          </cell>
          <cell r="EJ115">
            <v>1</v>
          </cell>
          <cell r="EK115">
            <v>82</v>
          </cell>
          <cell r="EL115">
            <v>1</v>
          </cell>
          <cell r="EM115">
            <v>102</v>
          </cell>
          <cell r="EN115">
            <v>0</v>
          </cell>
          <cell r="EO115">
            <v>0</v>
          </cell>
          <cell r="EP115">
            <v>2</v>
          </cell>
          <cell r="EQ115">
            <v>200</v>
          </cell>
          <cell r="ER115">
            <v>0</v>
          </cell>
          <cell r="ES115">
            <v>0</v>
          </cell>
          <cell r="ET115">
            <v>1</v>
          </cell>
          <cell r="EU115">
            <v>100</v>
          </cell>
          <cell r="EV115">
            <v>0</v>
          </cell>
          <cell r="EW115">
            <v>0</v>
          </cell>
        </row>
        <row r="116">
          <cell r="EC116" t="str">
            <v>Maine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</row>
        <row r="117">
          <cell r="EC117" t="str">
            <v>Maryland</v>
          </cell>
          <cell r="ED117">
            <v>2</v>
          </cell>
          <cell r="EE117">
            <v>223</v>
          </cell>
          <cell r="EF117">
            <v>1</v>
          </cell>
          <cell r="EG117">
            <v>100</v>
          </cell>
          <cell r="EH117">
            <v>3</v>
          </cell>
          <cell r="EI117">
            <v>300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1</v>
          </cell>
          <cell r="EO117">
            <v>110</v>
          </cell>
          <cell r="EP117">
            <v>3</v>
          </cell>
          <cell r="EQ117">
            <v>300</v>
          </cell>
          <cell r="ER117">
            <v>2</v>
          </cell>
          <cell r="ES117">
            <v>213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</row>
        <row r="118">
          <cell r="EC118" t="str">
            <v>Massachusetts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</row>
        <row r="119">
          <cell r="EC119" t="str">
            <v>Michigan</v>
          </cell>
          <cell r="ED119">
            <v>0</v>
          </cell>
          <cell r="EE119">
            <v>0</v>
          </cell>
          <cell r="EF119">
            <v>1</v>
          </cell>
          <cell r="EG119">
            <v>100</v>
          </cell>
          <cell r="EH119">
            <v>0</v>
          </cell>
          <cell r="EI119">
            <v>0</v>
          </cell>
          <cell r="EJ119">
            <v>1</v>
          </cell>
          <cell r="EK119">
            <v>82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1</v>
          </cell>
          <cell r="ES119">
            <v>100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</row>
        <row r="120">
          <cell r="EC120" t="str">
            <v>Minnesota</v>
          </cell>
          <cell r="ED120">
            <v>0</v>
          </cell>
          <cell r="EE120">
            <v>0</v>
          </cell>
          <cell r="EF120">
            <v>1</v>
          </cell>
          <cell r="EG120">
            <v>101</v>
          </cell>
          <cell r="EH120">
            <v>2</v>
          </cell>
          <cell r="EI120">
            <v>212</v>
          </cell>
          <cell r="EJ120">
            <v>1</v>
          </cell>
          <cell r="EK120">
            <v>84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2</v>
          </cell>
          <cell r="EQ120">
            <v>207</v>
          </cell>
          <cell r="ER120">
            <v>0</v>
          </cell>
          <cell r="ES120">
            <v>0</v>
          </cell>
          <cell r="ET120">
            <v>1</v>
          </cell>
          <cell r="EU120">
            <v>106</v>
          </cell>
          <cell r="EV120">
            <v>0</v>
          </cell>
          <cell r="EW120">
            <v>0</v>
          </cell>
        </row>
        <row r="121">
          <cell r="EC121" t="str">
            <v>Mississippi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1</v>
          </cell>
          <cell r="EI121">
            <v>100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1</v>
          </cell>
          <cell r="EQ121">
            <v>100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</row>
        <row r="122">
          <cell r="EC122" t="str">
            <v>Missouri</v>
          </cell>
          <cell r="ED122">
            <v>1</v>
          </cell>
          <cell r="EE122">
            <v>81</v>
          </cell>
          <cell r="EF122">
            <v>0</v>
          </cell>
          <cell r="EG122">
            <v>0</v>
          </cell>
          <cell r="EH122">
            <v>2</v>
          </cell>
          <cell r="EI122">
            <v>200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2</v>
          </cell>
          <cell r="EQ122">
            <v>200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1</v>
          </cell>
          <cell r="EW122">
            <v>81</v>
          </cell>
        </row>
        <row r="123">
          <cell r="EC123" t="str">
            <v>Montana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2</v>
          </cell>
          <cell r="EI123">
            <v>204</v>
          </cell>
          <cell r="EJ123">
            <v>1</v>
          </cell>
          <cell r="EK123">
            <v>86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2</v>
          </cell>
          <cell r="EQ123">
            <v>204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</row>
        <row r="124">
          <cell r="EC124" t="str">
            <v>Nebraska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1</v>
          </cell>
          <cell r="EK124">
            <v>102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</row>
        <row r="125">
          <cell r="EC125" t="str">
            <v>Nevada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1</v>
          </cell>
          <cell r="EI125">
            <v>100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1</v>
          </cell>
          <cell r="EQ125">
            <v>100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</row>
        <row r="126">
          <cell r="EC126" t="str">
            <v>New Hampshire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</row>
        <row r="127">
          <cell r="EC127" t="str">
            <v>New Jersey</v>
          </cell>
          <cell r="ED127">
            <v>1</v>
          </cell>
          <cell r="EE127">
            <v>100</v>
          </cell>
          <cell r="EF127">
            <v>3</v>
          </cell>
          <cell r="EG127">
            <v>292</v>
          </cell>
          <cell r="EH127">
            <v>4</v>
          </cell>
          <cell r="EI127">
            <v>490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3</v>
          </cell>
          <cell r="EO127">
            <v>292</v>
          </cell>
          <cell r="EP127">
            <v>5</v>
          </cell>
          <cell r="EQ127">
            <v>590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</row>
        <row r="128">
          <cell r="EC128" t="str">
            <v>New Mexico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1</v>
          </cell>
          <cell r="EI128">
            <v>100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1</v>
          </cell>
          <cell r="ES128">
            <v>100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</row>
        <row r="129">
          <cell r="EC129" t="str">
            <v>New York</v>
          </cell>
          <cell r="ED129">
            <v>0</v>
          </cell>
          <cell r="EE129">
            <v>0</v>
          </cell>
          <cell r="EF129">
            <v>1</v>
          </cell>
          <cell r="EG129">
            <v>100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1</v>
          </cell>
          <cell r="EM129">
            <v>130</v>
          </cell>
          <cell r="EN129">
            <v>1</v>
          </cell>
          <cell r="EO129">
            <v>100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</row>
        <row r="130">
          <cell r="EC130" t="str">
            <v>North Carolina</v>
          </cell>
          <cell r="ED130">
            <v>3</v>
          </cell>
          <cell r="EE130">
            <v>300</v>
          </cell>
          <cell r="EF130">
            <v>2</v>
          </cell>
          <cell r="EG130">
            <v>200</v>
          </cell>
          <cell r="EH130">
            <v>5</v>
          </cell>
          <cell r="EI130">
            <v>561</v>
          </cell>
          <cell r="EJ130">
            <v>4</v>
          </cell>
          <cell r="EK130">
            <v>386</v>
          </cell>
          <cell r="EL130">
            <v>3</v>
          </cell>
          <cell r="EM130">
            <v>296</v>
          </cell>
          <cell r="EN130">
            <v>2</v>
          </cell>
          <cell r="EO130">
            <v>200</v>
          </cell>
          <cell r="EP130">
            <v>6</v>
          </cell>
          <cell r="EQ130">
            <v>621</v>
          </cell>
          <cell r="ER130">
            <v>1</v>
          </cell>
          <cell r="ES130">
            <v>140</v>
          </cell>
          <cell r="ET130">
            <v>0</v>
          </cell>
          <cell r="EU130">
            <v>0</v>
          </cell>
          <cell r="EV130">
            <v>1</v>
          </cell>
          <cell r="EW130">
            <v>100</v>
          </cell>
        </row>
        <row r="131">
          <cell r="EC131" t="str">
            <v>North Dakota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1</v>
          </cell>
          <cell r="EK131">
            <v>84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</row>
        <row r="132">
          <cell r="EC132" t="str">
            <v>Ohio</v>
          </cell>
          <cell r="ED132">
            <v>0</v>
          </cell>
          <cell r="EE132">
            <v>0</v>
          </cell>
          <cell r="EF132">
            <v>1</v>
          </cell>
          <cell r="EG132">
            <v>106</v>
          </cell>
          <cell r="EH132">
            <v>0</v>
          </cell>
          <cell r="EI132">
            <v>0</v>
          </cell>
          <cell r="EJ132">
            <v>1</v>
          </cell>
          <cell r="EK132">
            <v>100</v>
          </cell>
          <cell r="EL132">
            <v>2</v>
          </cell>
          <cell r="EM132">
            <v>170</v>
          </cell>
          <cell r="EN132">
            <v>0</v>
          </cell>
          <cell r="EO132">
            <v>0</v>
          </cell>
          <cell r="EP132">
            <v>1</v>
          </cell>
          <cell r="EQ132">
            <v>106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</row>
        <row r="133">
          <cell r="EC133" t="str">
            <v>Oklahoma</v>
          </cell>
          <cell r="ED133">
            <v>0</v>
          </cell>
          <cell r="EE133">
            <v>0</v>
          </cell>
          <cell r="EF133">
            <v>1</v>
          </cell>
          <cell r="EG133">
            <v>100</v>
          </cell>
          <cell r="EH133">
            <v>1</v>
          </cell>
          <cell r="EI133">
            <v>100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1</v>
          </cell>
          <cell r="EO133">
            <v>100</v>
          </cell>
          <cell r="EP133">
            <v>1</v>
          </cell>
          <cell r="EQ133">
            <v>100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</row>
        <row r="134">
          <cell r="EC134" t="str">
            <v>Oregon</v>
          </cell>
          <cell r="ED134">
            <v>1</v>
          </cell>
          <cell r="EE134">
            <v>80</v>
          </cell>
          <cell r="EF134">
            <v>1</v>
          </cell>
          <cell r="EG134">
            <v>100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1</v>
          </cell>
          <cell r="EQ134">
            <v>100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1</v>
          </cell>
          <cell r="EW134">
            <v>80</v>
          </cell>
        </row>
        <row r="135">
          <cell r="EC135" t="str">
            <v>Pennsylvania</v>
          </cell>
          <cell r="ED135">
            <v>1</v>
          </cell>
          <cell r="EE135">
            <v>103</v>
          </cell>
          <cell r="EF135">
            <v>0</v>
          </cell>
          <cell r="EG135">
            <v>0</v>
          </cell>
          <cell r="EH135">
            <v>1</v>
          </cell>
          <cell r="EI135">
            <v>140</v>
          </cell>
          <cell r="EJ135">
            <v>0</v>
          </cell>
          <cell r="EK135">
            <v>0</v>
          </cell>
          <cell r="EL135">
            <v>1</v>
          </cell>
          <cell r="EM135">
            <v>80</v>
          </cell>
          <cell r="EN135">
            <v>1</v>
          </cell>
          <cell r="EO135">
            <v>103</v>
          </cell>
          <cell r="EP135">
            <v>1</v>
          </cell>
          <cell r="EQ135">
            <v>140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</row>
        <row r="136">
          <cell r="EC136" t="str">
            <v>Rhode Island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</row>
        <row r="137">
          <cell r="EC137" t="str">
            <v>South Carolina</v>
          </cell>
          <cell r="ED137">
            <v>0</v>
          </cell>
          <cell r="EE137">
            <v>0</v>
          </cell>
          <cell r="EF137">
            <v>1</v>
          </cell>
          <cell r="EG137">
            <v>100</v>
          </cell>
          <cell r="EH137">
            <v>2</v>
          </cell>
          <cell r="EI137">
            <v>184</v>
          </cell>
          <cell r="EJ137">
            <v>2</v>
          </cell>
          <cell r="EK137">
            <v>192</v>
          </cell>
          <cell r="EL137">
            <v>1</v>
          </cell>
          <cell r="EM137">
            <v>100</v>
          </cell>
          <cell r="EN137">
            <v>1</v>
          </cell>
          <cell r="EO137">
            <v>100</v>
          </cell>
          <cell r="EP137">
            <v>2</v>
          </cell>
          <cell r="EQ137">
            <v>184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</row>
        <row r="138">
          <cell r="EC138" t="str">
            <v>South Dakota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1</v>
          </cell>
          <cell r="EI138">
            <v>101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1</v>
          </cell>
          <cell r="EQ138">
            <v>101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</row>
        <row r="139">
          <cell r="EC139" t="str">
            <v>Tennessee</v>
          </cell>
          <cell r="ED139">
            <v>0</v>
          </cell>
          <cell r="EE139">
            <v>0</v>
          </cell>
          <cell r="EF139">
            <v>1</v>
          </cell>
          <cell r="EG139">
            <v>100</v>
          </cell>
          <cell r="EH139">
            <v>1</v>
          </cell>
          <cell r="EI139">
            <v>100</v>
          </cell>
          <cell r="EJ139">
            <v>1</v>
          </cell>
          <cell r="EK139">
            <v>100</v>
          </cell>
          <cell r="EL139">
            <v>0</v>
          </cell>
          <cell r="EM139">
            <v>0</v>
          </cell>
          <cell r="EN139">
            <v>1</v>
          </cell>
          <cell r="EO139">
            <v>100</v>
          </cell>
          <cell r="EP139">
            <v>1</v>
          </cell>
          <cell r="EQ139">
            <v>100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</row>
        <row r="140">
          <cell r="EC140" t="str">
            <v>Texas</v>
          </cell>
          <cell r="ED140">
            <v>3</v>
          </cell>
          <cell r="EE140">
            <v>288</v>
          </cell>
          <cell r="EF140">
            <v>2</v>
          </cell>
          <cell r="EG140">
            <v>200</v>
          </cell>
          <cell r="EH140">
            <v>11</v>
          </cell>
          <cell r="EI140">
            <v>1108</v>
          </cell>
          <cell r="EJ140">
            <v>3</v>
          </cell>
          <cell r="EK140">
            <v>283</v>
          </cell>
          <cell r="EL140">
            <v>2</v>
          </cell>
          <cell r="EM140">
            <v>172</v>
          </cell>
          <cell r="EN140">
            <v>2</v>
          </cell>
          <cell r="EO140">
            <v>187</v>
          </cell>
          <cell r="EP140">
            <v>12</v>
          </cell>
          <cell r="EQ140">
            <v>1208</v>
          </cell>
          <cell r="ER140">
            <v>0</v>
          </cell>
          <cell r="ES140">
            <v>0</v>
          </cell>
          <cell r="ET140">
            <v>1</v>
          </cell>
          <cell r="EU140">
            <v>100</v>
          </cell>
          <cell r="EV140">
            <v>1</v>
          </cell>
          <cell r="EW140">
            <v>101</v>
          </cell>
        </row>
        <row r="141">
          <cell r="EC141" t="str">
            <v>Utah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1</v>
          </cell>
          <cell r="EI141">
            <v>200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1</v>
          </cell>
          <cell r="ES141">
            <v>200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</row>
        <row r="142">
          <cell r="EC142" t="str">
            <v>Vermont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</row>
        <row r="143">
          <cell r="EC143" t="str">
            <v>Virginia</v>
          </cell>
          <cell r="ED143">
            <v>3</v>
          </cell>
          <cell r="EE143">
            <v>307</v>
          </cell>
          <cell r="EF143">
            <v>0</v>
          </cell>
          <cell r="EG143">
            <v>0</v>
          </cell>
          <cell r="EH143">
            <v>4</v>
          </cell>
          <cell r="EI143">
            <v>400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2</v>
          </cell>
          <cell r="EO143">
            <v>214</v>
          </cell>
          <cell r="EP143">
            <v>4</v>
          </cell>
          <cell r="EQ143">
            <v>400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1</v>
          </cell>
          <cell r="EW143">
            <v>93</v>
          </cell>
        </row>
        <row r="144">
          <cell r="EC144" t="str">
            <v>Washington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1</v>
          </cell>
          <cell r="EI144">
            <v>159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1</v>
          </cell>
          <cell r="ES144">
            <v>159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</row>
        <row r="145">
          <cell r="EC145" t="str">
            <v>West Virginia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</row>
        <row r="146">
          <cell r="EC146" t="str">
            <v>Wisconsin</v>
          </cell>
          <cell r="ED146">
            <v>1</v>
          </cell>
          <cell r="EE146">
            <v>100</v>
          </cell>
          <cell r="EF146">
            <v>0</v>
          </cell>
          <cell r="EG146">
            <v>0</v>
          </cell>
          <cell r="EH146">
            <v>1</v>
          </cell>
          <cell r="EI146">
            <v>100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1</v>
          </cell>
          <cell r="EO146">
            <v>100</v>
          </cell>
          <cell r="EP146">
            <v>1</v>
          </cell>
          <cell r="EQ146">
            <v>100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</row>
        <row r="147">
          <cell r="EC147" t="str">
            <v>Wyoming</v>
          </cell>
          <cell r="ED147">
            <v>0</v>
          </cell>
          <cell r="EE147">
            <v>0</v>
          </cell>
          <cell r="EF147">
            <v>1</v>
          </cell>
          <cell r="EG147">
            <v>80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1</v>
          </cell>
          <cell r="EQ147">
            <v>80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S"/>
      <sheetName val="EBIT"/>
      <sheetName val="New&amp;Impr_estsheet00"/>
      <sheetName val="auto"/>
      <sheetName val="ZDW-EPS"/>
      <sheetName val="ZDW-EBIT"/>
      <sheetName val="apparel"/>
      <sheetName val="bj qtrly"/>
      <sheetName val="COST Work"/>
      <sheetName val="Juv Fin Stmts"/>
      <sheetName val="Fundamentals"/>
      <sheetName val="scratch"/>
      <sheetName val="subjects"/>
      <sheetName val="Comp Inputs"/>
      <sheetName val="WACC_VDF"/>
      <sheetName val="Income Statement_VDF"/>
    </sheetNames>
    <definedNames>
      <definedName name="Macro4"/>
      <definedName name="Macro5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tLookups"/>
      <sheetName val=" Mkt OpStats Rank"/>
      <sheetName val="Mkt Op Stats Compare"/>
      <sheetName val="Bostonp1"/>
      <sheetName val="Bostonp2"/>
      <sheetName val="census %"/>
      <sheetName val="pipeline %"/>
      <sheetName val="Comp Set"/>
      <sheetName val="Cyard by State"/>
      <sheetName val="Cyard by MSA"/>
      <sheetName val="Marriott Totals"/>
      <sheetName val="Marriott by MSA"/>
      <sheetName val="Top Cos"/>
    </sheetNames>
    <sheetDataSet>
      <sheetData sheetId="0" refreshError="1">
        <row r="4">
          <cell r="A4" t="str">
            <v>Anaheim, CA</v>
          </cell>
          <cell r="B4">
            <v>346</v>
          </cell>
          <cell r="C4">
            <v>46598</v>
          </cell>
          <cell r="D4">
            <v>12</v>
          </cell>
          <cell r="E4">
            <v>3177</v>
          </cell>
          <cell r="F4">
            <v>8</v>
          </cell>
          <cell r="G4">
            <v>2714</v>
          </cell>
          <cell r="H4">
            <v>20</v>
          </cell>
          <cell r="I4">
            <v>5891</v>
          </cell>
          <cell r="J4">
            <v>9</v>
          </cell>
          <cell r="K4">
            <v>1869</v>
          </cell>
          <cell r="L4">
            <v>29</v>
          </cell>
          <cell r="M4">
            <v>7760</v>
          </cell>
        </row>
        <row r="5">
          <cell r="A5" t="str">
            <v>Atlanta, GA</v>
          </cell>
          <cell r="B5">
            <v>614</v>
          </cell>
          <cell r="C5">
            <v>82957</v>
          </cell>
          <cell r="D5">
            <v>19</v>
          </cell>
          <cell r="E5">
            <v>1661</v>
          </cell>
          <cell r="F5">
            <v>12</v>
          </cell>
          <cell r="G5">
            <v>1106</v>
          </cell>
          <cell r="H5">
            <v>31</v>
          </cell>
          <cell r="I5">
            <v>2767</v>
          </cell>
          <cell r="J5">
            <v>43</v>
          </cell>
          <cell r="K5">
            <v>6374</v>
          </cell>
          <cell r="L5">
            <v>74</v>
          </cell>
          <cell r="M5">
            <v>9141</v>
          </cell>
        </row>
        <row r="6">
          <cell r="A6" t="str">
            <v>Boston, MA</v>
          </cell>
          <cell r="B6">
            <v>260</v>
          </cell>
          <cell r="C6">
            <v>42115</v>
          </cell>
          <cell r="D6">
            <v>16</v>
          </cell>
          <cell r="E6">
            <v>2491</v>
          </cell>
          <cell r="F6">
            <v>18</v>
          </cell>
          <cell r="G6">
            <v>4341</v>
          </cell>
          <cell r="H6">
            <v>34</v>
          </cell>
          <cell r="I6">
            <v>6832</v>
          </cell>
          <cell r="J6">
            <v>24</v>
          </cell>
          <cell r="K6">
            <v>4191</v>
          </cell>
          <cell r="L6">
            <v>58</v>
          </cell>
          <cell r="M6">
            <v>11023</v>
          </cell>
        </row>
        <row r="7">
          <cell r="A7" t="str">
            <v>Chicago, IL</v>
          </cell>
          <cell r="B7">
            <v>458</v>
          </cell>
          <cell r="C7">
            <v>81220</v>
          </cell>
          <cell r="D7">
            <v>21</v>
          </cell>
          <cell r="E7">
            <v>3902</v>
          </cell>
          <cell r="F7">
            <v>16</v>
          </cell>
          <cell r="G7">
            <v>3876</v>
          </cell>
          <cell r="H7">
            <v>37</v>
          </cell>
          <cell r="I7">
            <v>7778</v>
          </cell>
          <cell r="J7">
            <v>25</v>
          </cell>
          <cell r="K7">
            <v>4411</v>
          </cell>
          <cell r="L7">
            <v>62</v>
          </cell>
          <cell r="M7">
            <v>12189</v>
          </cell>
        </row>
        <row r="8">
          <cell r="A8" t="str">
            <v>Dallas, TX</v>
          </cell>
          <cell r="B8">
            <v>424</v>
          </cell>
          <cell r="C8">
            <v>61904</v>
          </cell>
          <cell r="D8">
            <v>14</v>
          </cell>
          <cell r="E8">
            <v>1929</v>
          </cell>
          <cell r="F8">
            <v>14</v>
          </cell>
          <cell r="G8">
            <v>2506</v>
          </cell>
          <cell r="H8">
            <v>28</v>
          </cell>
          <cell r="I8">
            <v>4435</v>
          </cell>
          <cell r="J8">
            <v>24</v>
          </cell>
          <cell r="K8">
            <v>3322</v>
          </cell>
          <cell r="L8">
            <v>52</v>
          </cell>
          <cell r="M8">
            <v>7757</v>
          </cell>
        </row>
        <row r="9">
          <cell r="A9" t="str">
            <v>Denver, CO</v>
          </cell>
          <cell r="B9">
            <v>218</v>
          </cell>
          <cell r="C9">
            <v>34818</v>
          </cell>
          <cell r="D9">
            <v>4</v>
          </cell>
          <cell r="E9">
            <v>321</v>
          </cell>
          <cell r="F9">
            <v>11</v>
          </cell>
          <cell r="G9">
            <v>2459</v>
          </cell>
          <cell r="H9">
            <v>15</v>
          </cell>
          <cell r="I9">
            <v>2780</v>
          </cell>
          <cell r="J9">
            <v>15</v>
          </cell>
          <cell r="K9">
            <v>2220</v>
          </cell>
          <cell r="L9">
            <v>30</v>
          </cell>
          <cell r="M9">
            <v>5000</v>
          </cell>
        </row>
        <row r="10">
          <cell r="A10" t="str">
            <v>Detroit, MI</v>
          </cell>
          <cell r="B10">
            <v>279</v>
          </cell>
          <cell r="C10">
            <v>35349</v>
          </cell>
          <cell r="D10">
            <v>12</v>
          </cell>
          <cell r="E10">
            <v>1127</v>
          </cell>
          <cell r="F10">
            <v>12</v>
          </cell>
          <cell r="G10">
            <v>1632</v>
          </cell>
          <cell r="H10">
            <v>24</v>
          </cell>
          <cell r="I10">
            <v>2759</v>
          </cell>
          <cell r="J10">
            <v>20</v>
          </cell>
          <cell r="K10">
            <v>1954</v>
          </cell>
          <cell r="L10">
            <v>44</v>
          </cell>
          <cell r="M10">
            <v>4713</v>
          </cell>
        </row>
        <row r="11">
          <cell r="A11" t="str">
            <v>Houston, TX</v>
          </cell>
          <cell r="B11">
            <v>375</v>
          </cell>
          <cell r="C11">
            <v>51594</v>
          </cell>
          <cell r="D11">
            <v>21</v>
          </cell>
          <cell r="E11">
            <v>1888</v>
          </cell>
          <cell r="F11">
            <v>6</v>
          </cell>
          <cell r="G11">
            <v>759</v>
          </cell>
          <cell r="H11">
            <v>27</v>
          </cell>
          <cell r="I11">
            <v>2647</v>
          </cell>
          <cell r="J11">
            <v>20</v>
          </cell>
          <cell r="K11">
            <v>4364</v>
          </cell>
          <cell r="L11">
            <v>47</v>
          </cell>
          <cell r="M11">
            <v>7011</v>
          </cell>
        </row>
        <row r="12">
          <cell r="A12" t="str">
            <v>Los Angeles, CA</v>
          </cell>
          <cell r="B12">
            <v>679</v>
          </cell>
          <cell r="C12">
            <v>83718</v>
          </cell>
          <cell r="D12">
            <v>11</v>
          </cell>
          <cell r="E12">
            <v>1593</v>
          </cell>
          <cell r="F12">
            <v>13</v>
          </cell>
          <cell r="G12">
            <v>2630</v>
          </cell>
          <cell r="H12">
            <v>24</v>
          </cell>
          <cell r="I12">
            <v>4223</v>
          </cell>
          <cell r="J12">
            <v>12</v>
          </cell>
          <cell r="K12">
            <v>1585</v>
          </cell>
          <cell r="L12">
            <v>36</v>
          </cell>
          <cell r="M12">
            <v>5808</v>
          </cell>
        </row>
        <row r="13">
          <cell r="A13" t="str">
            <v>Miami, FL</v>
          </cell>
          <cell r="B13">
            <v>272</v>
          </cell>
          <cell r="C13">
            <v>43547</v>
          </cell>
          <cell r="D13">
            <v>11</v>
          </cell>
          <cell r="E13">
            <v>2605</v>
          </cell>
          <cell r="F13">
            <v>5</v>
          </cell>
          <cell r="G13">
            <v>625</v>
          </cell>
          <cell r="H13">
            <v>16</v>
          </cell>
          <cell r="I13">
            <v>3230</v>
          </cell>
          <cell r="J13">
            <v>16</v>
          </cell>
          <cell r="K13">
            <v>2192</v>
          </cell>
          <cell r="L13">
            <v>32</v>
          </cell>
          <cell r="M13">
            <v>5422</v>
          </cell>
        </row>
        <row r="14">
          <cell r="A14" t="str">
            <v>Minneapolis, MN</v>
          </cell>
          <cell r="B14">
            <v>233</v>
          </cell>
          <cell r="C14">
            <v>31550</v>
          </cell>
          <cell r="D14">
            <v>6</v>
          </cell>
          <cell r="E14">
            <v>787</v>
          </cell>
          <cell r="F14">
            <v>7</v>
          </cell>
          <cell r="G14">
            <v>894</v>
          </cell>
          <cell r="H14">
            <v>13</v>
          </cell>
          <cell r="I14">
            <v>1681</v>
          </cell>
          <cell r="J14">
            <v>18</v>
          </cell>
          <cell r="K14">
            <v>2215</v>
          </cell>
          <cell r="L14">
            <v>31</v>
          </cell>
          <cell r="M14">
            <v>3896</v>
          </cell>
        </row>
        <row r="15">
          <cell r="A15" t="str">
            <v>Nashville, TN</v>
          </cell>
          <cell r="B15">
            <v>252</v>
          </cell>
          <cell r="C15">
            <v>31435</v>
          </cell>
          <cell r="D15">
            <v>8</v>
          </cell>
          <cell r="E15">
            <v>1262</v>
          </cell>
          <cell r="F15">
            <v>7</v>
          </cell>
          <cell r="G15">
            <v>564</v>
          </cell>
          <cell r="H15">
            <v>15</v>
          </cell>
          <cell r="I15">
            <v>1826</v>
          </cell>
          <cell r="J15">
            <v>11</v>
          </cell>
          <cell r="K15">
            <v>1137</v>
          </cell>
          <cell r="L15">
            <v>26</v>
          </cell>
          <cell r="M15">
            <v>2963</v>
          </cell>
        </row>
        <row r="16">
          <cell r="A16" t="str">
            <v>New Orleans, LA</v>
          </cell>
          <cell r="B16">
            <v>179</v>
          </cell>
          <cell r="C16">
            <v>30755</v>
          </cell>
          <cell r="D16">
            <v>13</v>
          </cell>
          <cell r="E16">
            <v>1924</v>
          </cell>
          <cell r="F16">
            <v>5</v>
          </cell>
          <cell r="G16">
            <v>480</v>
          </cell>
          <cell r="H16">
            <v>18</v>
          </cell>
          <cell r="I16">
            <v>2404</v>
          </cell>
          <cell r="J16">
            <v>17</v>
          </cell>
          <cell r="K16">
            <v>3052</v>
          </cell>
          <cell r="L16">
            <v>35</v>
          </cell>
          <cell r="M16">
            <v>5456</v>
          </cell>
        </row>
        <row r="17">
          <cell r="A17" t="str">
            <v>New York, NY</v>
          </cell>
          <cell r="B17">
            <v>277</v>
          </cell>
          <cell r="C17">
            <v>75608</v>
          </cell>
          <cell r="D17">
            <v>12</v>
          </cell>
          <cell r="E17">
            <v>3079</v>
          </cell>
          <cell r="F17">
            <v>5</v>
          </cell>
          <cell r="G17">
            <v>550</v>
          </cell>
          <cell r="H17">
            <v>17</v>
          </cell>
          <cell r="I17">
            <v>3629</v>
          </cell>
          <cell r="J17">
            <v>14</v>
          </cell>
          <cell r="K17">
            <v>2537</v>
          </cell>
          <cell r="L17">
            <v>31</v>
          </cell>
          <cell r="M17">
            <v>6166</v>
          </cell>
        </row>
        <row r="18">
          <cell r="A18" t="str">
            <v>Norfolk, VA</v>
          </cell>
          <cell r="B18">
            <v>310</v>
          </cell>
          <cell r="C18">
            <v>34697</v>
          </cell>
          <cell r="D18">
            <v>4</v>
          </cell>
          <cell r="E18">
            <v>668</v>
          </cell>
          <cell r="F18">
            <v>3</v>
          </cell>
          <cell r="G18">
            <v>239</v>
          </cell>
          <cell r="H18">
            <v>7</v>
          </cell>
          <cell r="I18">
            <v>907</v>
          </cell>
          <cell r="J18">
            <v>12</v>
          </cell>
          <cell r="K18">
            <v>1634</v>
          </cell>
          <cell r="L18">
            <v>19</v>
          </cell>
          <cell r="M18">
            <v>2541</v>
          </cell>
        </row>
        <row r="19">
          <cell r="A19" t="str">
            <v>Oahu Island, HI</v>
          </cell>
          <cell r="B19">
            <v>109</v>
          </cell>
          <cell r="C19">
            <v>36407</v>
          </cell>
          <cell r="D19">
            <v>1</v>
          </cell>
          <cell r="E19">
            <v>453</v>
          </cell>
          <cell r="F19">
            <v>0</v>
          </cell>
          <cell r="G19">
            <v>0</v>
          </cell>
          <cell r="H19">
            <v>1</v>
          </cell>
          <cell r="I19">
            <v>453</v>
          </cell>
          <cell r="J19">
            <v>1</v>
          </cell>
          <cell r="K19">
            <v>299</v>
          </cell>
          <cell r="L19">
            <v>2</v>
          </cell>
          <cell r="M19">
            <v>752</v>
          </cell>
        </row>
        <row r="20">
          <cell r="A20" t="str">
            <v>Orlando, FL</v>
          </cell>
          <cell r="B20">
            <v>417</v>
          </cell>
          <cell r="C20">
            <v>112948</v>
          </cell>
          <cell r="D20">
            <v>15</v>
          </cell>
          <cell r="E20">
            <v>7899</v>
          </cell>
          <cell r="F20">
            <v>13</v>
          </cell>
          <cell r="G20">
            <v>4788</v>
          </cell>
          <cell r="H20">
            <v>28</v>
          </cell>
          <cell r="I20">
            <v>12687</v>
          </cell>
          <cell r="J20">
            <v>42</v>
          </cell>
          <cell r="K20">
            <v>12195</v>
          </cell>
          <cell r="L20">
            <v>70</v>
          </cell>
          <cell r="M20">
            <v>24882</v>
          </cell>
        </row>
        <row r="21">
          <cell r="A21" t="str">
            <v>Philadelphia, PA</v>
          </cell>
          <cell r="B21">
            <v>238</v>
          </cell>
          <cell r="C21">
            <v>37267</v>
          </cell>
          <cell r="D21">
            <v>11</v>
          </cell>
          <cell r="E21">
            <v>1571</v>
          </cell>
          <cell r="F21">
            <v>6</v>
          </cell>
          <cell r="G21">
            <v>680</v>
          </cell>
          <cell r="H21">
            <v>17</v>
          </cell>
          <cell r="I21">
            <v>2251</v>
          </cell>
          <cell r="J21">
            <v>18</v>
          </cell>
          <cell r="K21">
            <v>1815</v>
          </cell>
          <cell r="L21">
            <v>35</v>
          </cell>
          <cell r="M21">
            <v>4066</v>
          </cell>
        </row>
        <row r="22">
          <cell r="A22" t="str">
            <v>Phoenix, AZ</v>
          </cell>
          <cell r="B22">
            <v>336</v>
          </cell>
          <cell r="C22">
            <v>50713</v>
          </cell>
          <cell r="D22">
            <v>2</v>
          </cell>
          <cell r="E22">
            <v>219</v>
          </cell>
          <cell r="F22">
            <v>9</v>
          </cell>
          <cell r="G22">
            <v>2842</v>
          </cell>
          <cell r="H22">
            <v>11</v>
          </cell>
          <cell r="I22">
            <v>3061</v>
          </cell>
          <cell r="J22">
            <v>10</v>
          </cell>
          <cell r="K22">
            <v>2821</v>
          </cell>
          <cell r="L22">
            <v>21</v>
          </cell>
          <cell r="M22">
            <v>5882</v>
          </cell>
        </row>
        <row r="23">
          <cell r="A23" t="str">
            <v>Saint Louis, MO</v>
          </cell>
          <cell r="B23">
            <v>214</v>
          </cell>
          <cell r="C23">
            <v>30315</v>
          </cell>
          <cell r="D23">
            <v>5</v>
          </cell>
          <cell r="E23">
            <v>782</v>
          </cell>
          <cell r="F23">
            <v>5</v>
          </cell>
          <cell r="G23">
            <v>1818</v>
          </cell>
          <cell r="H23">
            <v>10</v>
          </cell>
          <cell r="I23">
            <v>2600</v>
          </cell>
          <cell r="J23">
            <v>14</v>
          </cell>
          <cell r="K23">
            <v>1480</v>
          </cell>
          <cell r="L23">
            <v>24</v>
          </cell>
          <cell r="M23">
            <v>4080</v>
          </cell>
        </row>
        <row r="24">
          <cell r="A24" t="str">
            <v>San Diego, CA</v>
          </cell>
          <cell r="B24">
            <v>399</v>
          </cell>
          <cell r="C24">
            <v>49458</v>
          </cell>
          <cell r="D24">
            <v>10</v>
          </cell>
          <cell r="E24">
            <v>2086</v>
          </cell>
          <cell r="F24">
            <v>9</v>
          </cell>
          <cell r="G24">
            <v>1606</v>
          </cell>
          <cell r="H24">
            <v>19</v>
          </cell>
          <cell r="I24">
            <v>3692</v>
          </cell>
          <cell r="J24">
            <v>15</v>
          </cell>
          <cell r="K24">
            <v>4536</v>
          </cell>
          <cell r="L24">
            <v>34</v>
          </cell>
          <cell r="M24">
            <v>8228</v>
          </cell>
        </row>
        <row r="25">
          <cell r="A25" t="str">
            <v>San Francisco, CA</v>
          </cell>
          <cell r="B25">
            <v>339</v>
          </cell>
          <cell r="C25">
            <v>48885</v>
          </cell>
          <cell r="D25">
            <v>13</v>
          </cell>
          <cell r="E25">
            <v>2192</v>
          </cell>
          <cell r="F25">
            <v>9</v>
          </cell>
          <cell r="G25">
            <v>1691</v>
          </cell>
          <cell r="H25">
            <v>22</v>
          </cell>
          <cell r="I25">
            <v>3883</v>
          </cell>
          <cell r="J25">
            <v>22</v>
          </cell>
          <cell r="K25">
            <v>4038</v>
          </cell>
          <cell r="L25">
            <v>44</v>
          </cell>
          <cell r="M25">
            <v>7921</v>
          </cell>
        </row>
        <row r="26">
          <cell r="A26" t="str">
            <v>Seattle, WA</v>
          </cell>
          <cell r="B26">
            <v>282</v>
          </cell>
          <cell r="C26">
            <v>32954</v>
          </cell>
          <cell r="D26">
            <v>8</v>
          </cell>
          <cell r="E26">
            <v>1571</v>
          </cell>
          <cell r="F26">
            <v>16</v>
          </cell>
          <cell r="G26">
            <v>2692</v>
          </cell>
          <cell r="H26">
            <v>24</v>
          </cell>
          <cell r="I26">
            <v>4263</v>
          </cell>
          <cell r="J26">
            <v>11</v>
          </cell>
          <cell r="K26">
            <v>2119</v>
          </cell>
          <cell r="L26">
            <v>35</v>
          </cell>
          <cell r="M26">
            <v>6382</v>
          </cell>
        </row>
        <row r="27">
          <cell r="A27" t="str">
            <v>Tampa, FL</v>
          </cell>
          <cell r="B27">
            <v>308</v>
          </cell>
          <cell r="C27">
            <v>38264</v>
          </cell>
          <cell r="D27">
            <v>10</v>
          </cell>
          <cell r="E27">
            <v>1152</v>
          </cell>
          <cell r="F27">
            <v>3</v>
          </cell>
          <cell r="G27">
            <v>213</v>
          </cell>
          <cell r="H27">
            <v>13</v>
          </cell>
          <cell r="I27">
            <v>1365</v>
          </cell>
          <cell r="J27">
            <v>25</v>
          </cell>
          <cell r="K27">
            <v>2785</v>
          </cell>
          <cell r="L27">
            <v>38</v>
          </cell>
          <cell r="M27">
            <v>4150</v>
          </cell>
        </row>
        <row r="28">
          <cell r="A28" t="str">
            <v>Washington, DC</v>
          </cell>
          <cell r="B28">
            <v>425</v>
          </cell>
          <cell r="C28">
            <v>78572</v>
          </cell>
          <cell r="D28">
            <v>16</v>
          </cell>
          <cell r="E28">
            <v>2089</v>
          </cell>
          <cell r="F28">
            <v>15</v>
          </cell>
          <cell r="G28">
            <v>2562</v>
          </cell>
          <cell r="H28">
            <v>31</v>
          </cell>
          <cell r="I28">
            <v>4651</v>
          </cell>
          <cell r="J28">
            <v>28</v>
          </cell>
          <cell r="K28">
            <v>7092</v>
          </cell>
          <cell r="L28">
            <v>59</v>
          </cell>
          <cell r="M28">
            <v>11743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s"/>
      <sheetName val="Occupancy"/>
      <sheetName val="Occ Growth"/>
      <sheetName val="Rate"/>
      <sheetName val="Rate Growth"/>
      <sheetName val="RevPAR"/>
      <sheetName val="RevPAR Growth"/>
      <sheetName val="LTM"/>
      <sheetName val="Inputs"/>
      <sheetName val="Ams All"/>
      <sheetName val="Amsterdam 2"/>
      <sheetName val="Bar All"/>
      <sheetName val="Barcelona 2"/>
      <sheetName val="Ber All"/>
      <sheetName val="Berlin 2"/>
      <sheetName val="Bru All"/>
      <sheetName val="Brussels 2"/>
      <sheetName val="Dub All"/>
      <sheetName val="Dublin 2"/>
      <sheetName val="Fra All"/>
      <sheetName val="Frankfurt 2"/>
      <sheetName val="London All"/>
      <sheetName val="London 1"/>
      <sheetName val="Mad All"/>
      <sheetName val="Madrid 2"/>
      <sheetName val="Mil All"/>
      <sheetName val="Milan 2"/>
      <sheetName val="Mun All"/>
      <sheetName val="Munich 2"/>
      <sheetName val="Par All"/>
      <sheetName val="Paris 2"/>
      <sheetName val="Rom All"/>
      <sheetName val="Rome 2"/>
      <sheetName val="UK Prov All "/>
      <sheetName val="UK Prov"/>
      <sheetName val="Stockh All"/>
      <sheetName val="Stockh 1"/>
      <sheetName val="Germ All"/>
      <sheetName val="Germ All 2"/>
      <sheetName val="Germ Prim Cit All"/>
      <sheetName val="Germ Prim Cit 2"/>
      <sheetName val="FY Averages"/>
      <sheetName val="Update"/>
      <sheetName val="Cons RevPAR"/>
      <sheetName val="Berlin2"/>
      <sheetName val="London 2"/>
      <sheetName val="UK Provinces 1 "/>
      <sheetName val="UK Provinces All "/>
      <sheetName val="UK Provinces 2"/>
      <sheetName val="Stockh 2"/>
      <sheetName val="Germ All Hotels All"/>
      <sheetName val="Germ All Hotels 2"/>
      <sheetName val="Germ Primary Cit All"/>
      <sheetName val="Germ Primary C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Projects export"/>
    </sheetNames>
    <sheetDataSet>
      <sheetData sheetId="0">
        <row r="4">
          <cell r="AI4" t="str">
            <v>ABILENE, TX</v>
          </cell>
          <cell r="AJ4" t="str">
            <v>Abilene, TX</v>
          </cell>
          <cell r="AK4" t="str">
            <v/>
          </cell>
          <cell r="AL4" t="str">
            <v/>
          </cell>
          <cell r="AM4" t="str">
            <v/>
          </cell>
          <cell r="AN4" t="str">
            <v/>
          </cell>
          <cell r="AO4" t="str">
            <v/>
          </cell>
          <cell r="AP4" t="str">
            <v/>
          </cell>
          <cell r="AQ4" t="str">
            <v/>
          </cell>
          <cell r="AR4" t="str">
            <v/>
          </cell>
          <cell r="AS4" t="str">
            <v/>
          </cell>
          <cell r="AT4" t="str">
            <v/>
          </cell>
        </row>
        <row r="5">
          <cell r="AI5" t="str">
            <v>AKRON, OH</v>
          </cell>
          <cell r="AJ5" t="str">
            <v>Akron, OH</v>
          </cell>
          <cell r="AK5" t="str">
            <v>Akron, OH</v>
          </cell>
          <cell r="AL5" t="str">
            <v>Top 110</v>
          </cell>
          <cell r="AM5" t="str">
            <v/>
          </cell>
          <cell r="AN5" t="str">
            <v/>
          </cell>
          <cell r="AO5" t="str">
            <v/>
          </cell>
          <cell r="AP5" t="str">
            <v/>
          </cell>
          <cell r="AQ5" t="str">
            <v/>
          </cell>
          <cell r="AR5" t="str">
            <v/>
          </cell>
          <cell r="AS5" t="str">
            <v/>
          </cell>
          <cell r="AT5" t="str">
            <v/>
          </cell>
        </row>
        <row r="6">
          <cell r="AI6" t="str">
            <v>ALBANY, GA</v>
          </cell>
          <cell r="AJ6" t="str">
            <v>Albany, GA</v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</row>
        <row r="7">
          <cell r="AI7" t="str">
            <v>ALBANY-SCHENECTADY-TROY, NY</v>
          </cell>
          <cell r="AJ7" t="str">
            <v>Albany-Schenectady-Troy, NY</v>
          </cell>
          <cell r="AK7" t="str">
            <v>Albany, NY</v>
          </cell>
          <cell r="AL7" t="str">
            <v>Top 110</v>
          </cell>
          <cell r="AM7" t="str">
            <v>BS</v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</row>
        <row r="8">
          <cell r="AI8" t="str">
            <v>ALBUQUERQUE, NM</v>
          </cell>
          <cell r="AJ8" t="str">
            <v>Albuquerque, NM</v>
          </cell>
          <cell r="AK8" t="str">
            <v>Albuquerque, NM</v>
          </cell>
          <cell r="AL8" t="str">
            <v>Top 110</v>
          </cell>
          <cell r="AM8" t="str">
            <v>BS</v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</row>
        <row r="9">
          <cell r="AI9" t="str">
            <v>ALEXANDRIA, LA</v>
          </cell>
          <cell r="AJ9" t="str">
            <v>Alexandria, LA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</row>
        <row r="10">
          <cell r="AI10" t="str">
            <v>ALLENTOWN-BETHLEHEM-EASTON, PA</v>
          </cell>
          <cell r="AJ10" t="str">
            <v>Allentown, PA</v>
          </cell>
          <cell r="AK10" t="str">
            <v>Allentown, PA</v>
          </cell>
          <cell r="AL10" t="str">
            <v>Top 110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</row>
        <row r="11">
          <cell r="AI11" t="str">
            <v>ALTOONA, PA</v>
          </cell>
          <cell r="AJ11" t="str">
            <v>Altoona, PA</v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</row>
        <row r="12">
          <cell r="AI12" t="str">
            <v>AMARILLO, TX</v>
          </cell>
          <cell r="AJ12" t="str">
            <v>Amarillo, TX</v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</row>
        <row r="13">
          <cell r="AI13" t="str">
            <v>ANCHORAGE, AK</v>
          </cell>
          <cell r="AJ13" t="str">
            <v>Anchorage, AK</v>
          </cell>
          <cell r="AK13" t="str">
            <v>Anchorage, AK</v>
          </cell>
          <cell r="AL13" t="str">
            <v>Top 110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</row>
        <row r="14">
          <cell r="AI14" t="str">
            <v>ANN ARBOR, MI</v>
          </cell>
          <cell r="AJ14" t="str">
            <v>Ann Arbor, MI</v>
          </cell>
          <cell r="AK14" t="str">
            <v>Ann Arbor, MI</v>
          </cell>
          <cell r="AL14" t="str">
            <v>Top 110</v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</row>
        <row r="15">
          <cell r="AI15" t="str">
            <v>ANNISTON, AL</v>
          </cell>
          <cell r="AJ15" t="str">
            <v>Anniston, AL</v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</row>
        <row r="16">
          <cell r="AI16" t="str">
            <v>APPLETON-OSHKOSH-NEENAH, WI</v>
          </cell>
          <cell r="AJ16" t="str">
            <v>Appleton-Oshkosh-Neenah, WI</v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</row>
        <row r="17">
          <cell r="AI17" t="str">
            <v>ASHEVILLE, NC</v>
          </cell>
          <cell r="AJ17" t="str">
            <v>Asheville, NC</v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</row>
        <row r="18">
          <cell r="AI18" t="str">
            <v>ATHENS, GA</v>
          </cell>
          <cell r="AJ18" t="str">
            <v>Athens, GA</v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</row>
        <row r="19">
          <cell r="AI19" t="str">
            <v>ATLANTA, GA</v>
          </cell>
          <cell r="AJ19" t="str">
            <v>Atlanta, GA</v>
          </cell>
          <cell r="AK19" t="str">
            <v>Atlanta, GA</v>
          </cell>
          <cell r="AL19" t="str">
            <v>Top 25</v>
          </cell>
          <cell r="AM19" t="str">
            <v>BS</v>
          </cell>
          <cell r="AN19" t="str">
            <v>Atlanta, GA</v>
          </cell>
          <cell r="AO19" t="str">
            <v>Atlanta, GA</v>
          </cell>
          <cell r="AP19" t="str">
            <v>ATLANTA, GA</v>
          </cell>
          <cell r="AQ19" t="str">
            <v>Atlanta, GA</v>
          </cell>
          <cell r="AR19" t="str">
            <v>Atlanta, GA</v>
          </cell>
          <cell r="AS19" t="str">
            <v>Atlanta, GA</v>
          </cell>
          <cell r="AT19" t="str">
            <v/>
          </cell>
        </row>
        <row r="20">
          <cell r="AI20" t="str">
            <v>ATLANTIC-CAPE MAY, NJ</v>
          </cell>
          <cell r="AJ20" t="str">
            <v>Atlantic City-Cape May, NJ</v>
          </cell>
          <cell r="AK20" t="str">
            <v/>
          </cell>
          <cell r="AL20" t="str">
            <v/>
          </cell>
          <cell r="AM20" t="str">
            <v>BS</v>
          </cell>
          <cell r="AN20" t="str">
            <v>Atlantic City, NJ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</row>
        <row r="21">
          <cell r="AI21" t="str">
            <v>AUGUSTA-AIKEN, GA-SC</v>
          </cell>
          <cell r="AJ21" t="str">
            <v>Augusta-Aiken, GA-SC</v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</row>
        <row r="22">
          <cell r="AI22" t="str">
            <v>AUSTIN-SAN MARCOS, TX</v>
          </cell>
          <cell r="AJ22" t="str">
            <v>Austin, TX</v>
          </cell>
          <cell r="AK22" t="str">
            <v>Austin, TX</v>
          </cell>
          <cell r="AL22" t="str">
            <v>Top 110</v>
          </cell>
          <cell r="AM22" t="str">
            <v>BS</v>
          </cell>
          <cell r="AN22" t="str">
            <v>Austin, TX</v>
          </cell>
          <cell r="AO22" t="str">
            <v/>
          </cell>
          <cell r="AP22" t="str">
            <v>AUSTIN, TX</v>
          </cell>
          <cell r="AQ22" t="str">
            <v>Austin, TX</v>
          </cell>
          <cell r="AR22" t="str">
            <v/>
          </cell>
          <cell r="AS22" t="str">
            <v/>
          </cell>
          <cell r="AT22" t="str">
            <v/>
          </cell>
        </row>
        <row r="23">
          <cell r="AI23" t="str">
            <v>BAKERSFIELD, CA</v>
          </cell>
          <cell r="AJ23" t="str">
            <v>Bakersfield, CA</v>
          </cell>
          <cell r="AK23" t="str">
            <v>Bakersfield, CA</v>
          </cell>
          <cell r="AL23" t="str">
            <v>Top 110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</row>
        <row r="24">
          <cell r="AI24" t="str">
            <v>BALTIMORE, MD</v>
          </cell>
          <cell r="AJ24" t="str">
            <v>Baltimore, MD</v>
          </cell>
          <cell r="AK24" t="str">
            <v>Baltimore, MD</v>
          </cell>
          <cell r="AL24" t="str">
            <v>Top 25</v>
          </cell>
          <cell r="AM24" t="str">
            <v>BS</v>
          </cell>
          <cell r="AN24" t="str">
            <v>Baltimore, MD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</row>
        <row r="25">
          <cell r="AI25" t="str">
            <v>BATON ROUGE, LA</v>
          </cell>
          <cell r="AJ25" t="str">
            <v>Baton Rouge, LA</v>
          </cell>
          <cell r="AK25" t="str">
            <v>Baton Rouge, LA</v>
          </cell>
          <cell r="AL25" t="str">
            <v>Top 110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</row>
        <row r="26">
          <cell r="AI26" t="str">
            <v>BEAUMONT-PORT ARTHUR, TX</v>
          </cell>
          <cell r="AJ26" t="str">
            <v>Beaumont-Port Arthur, TX</v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</row>
        <row r="27">
          <cell r="AI27" t="str">
            <v>BELLINGHAM, WA</v>
          </cell>
          <cell r="AJ27" t="str">
            <v>Bellingham, WA</v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</row>
        <row r="28">
          <cell r="AI28" t="str">
            <v>BENTON HARBOR, MI</v>
          </cell>
          <cell r="AJ28" t="str">
            <v>Benton Harbor, MI</v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</row>
        <row r="29">
          <cell r="AI29" t="str">
            <v>BERGEN-PASSAIC, NJ</v>
          </cell>
          <cell r="AJ29" t="str">
            <v>Bergen-Passaic, NJ</v>
          </cell>
          <cell r="AK29" t="str">
            <v>Bergen, NJ</v>
          </cell>
          <cell r="AL29" t="str">
            <v>Top 50</v>
          </cell>
          <cell r="AM29" t="str">
            <v/>
          </cell>
          <cell r="AN29" t="str">
            <v/>
          </cell>
          <cell r="AO29" t="str">
            <v>New York Suburban</v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</row>
        <row r="30">
          <cell r="AI30" t="str">
            <v>BILOXI-GULFPORT-PASCAGOULA, MS</v>
          </cell>
          <cell r="AJ30" t="str">
            <v>Biloxi-Gulfport-Pascagoula, MS</v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</row>
        <row r="31">
          <cell r="AI31" t="str">
            <v>BINGHAMTON, NY</v>
          </cell>
          <cell r="AJ31" t="str">
            <v>Binghamton, NY</v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</row>
        <row r="32">
          <cell r="AI32" t="str">
            <v>BIRMINGHAM, AL</v>
          </cell>
          <cell r="AJ32" t="str">
            <v>Birmingham, AL</v>
          </cell>
          <cell r="AK32" t="str">
            <v>Birmingham, AL</v>
          </cell>
          <cell r="AL32" t="str">
            <v>Top 110</v>
          </cell>
          <cell r="AM32" t="str">
            <v>BS</v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</row>
        <row r="33">
          <cell r="AI33" t="str">
            <v>BISMARCK, ND</v>
          </cell>
          <cell r="AJ33" t="str">
            <v>Bismarck, ND</v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</row>
        <row r="34">
          <cell r="AI34" t="str">
            <v>BLOOMINGTON, IN</v>
          </cell>
          <cell r="AJ34" t="str">
            <v>Bloomington, IN</v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</row>
        <row r="35">
          <cell r="AI35" t="str">
            <v>BLOOMINGTON-NORMAL, IL</v>
          </cell>
          <cell r="AJ35" t="str">
            <v>Bloomington-Normal, IL</v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</row>
        <row r="36">
          <cell r="AI36" t="str">
            <v>BOISE CITY, ID</v>
          </cell>
          <cell r="AJ36" t="str">
            <v>Boise, ID</v>
          </cell>
          <cell r="AK36" t="str">
            <v>Boise, ID</v>
          </cell>
          <cell r="AL36" t="str">
            <v>Top 110</v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</row>
        <row r="37">
          <cell r="AI37" t="str">
            <v>BOSTON, MA</v>
          </cell>
          <cell r="AJ37" t="str">
            <v>Boston, MA</v>
          </cell>
          <cell r="AK37" t="str">
            <v>Boston, MA</v>
          </cell>
          <cell r="AL37" t="str">
            <v>Top 25</v>
          </cell>
          <cell r="AM37" t="str">
            <v>BS</v>
          </cell>
          <cell r="AN37" t="str">
            <v>Boston, MA</v>
          </cell>
          <cell r="AO37" t="str">
            <v>Boston, MA</v>
          </cell>
          <cell r="AP37" t="str">
            <v>BOSTON, MA</v>
          </cell>
          <cell r="AQ37" t="str">
            <v>Boston, MA</v>
          </cell>
          <cell r="AR37" t="str">
            <v>Boston, MA</v>
          </cell>
          <cell r="AS37" t="str">
            <v>Boston, MA</v>
          </cell>
          <cell r="AT37" t="str">
            <v/>
          </cell>
        </row>
        <row r="38">
          <cell r="AI38" t="str">
            <v>BOULDER-LONGMONT, CO</v>
          </cell>
          <cell r="AJ38" t="str">
            <v>Boulder-Longmont, CO</v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</row>
        <row r="39">
          <cell r="AI39" t="str">
            <v>BREMERTON, WA</v>
          </cell>
          <cell r="AJ39" t="str">
            <v>Bremerton, WA</v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</row>
        <row r="40">
          <cell r="AI40" t="str">
            <v>BROCKTON, MA</v>
          </cell>
          <cell r="AJ40" t="str">
            <v>Brockton, MA</v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</row>
        <row r="41">
          <cell r="AI41" t="str">
            <v>BROWNSVILLE-HARLINGEN-SAN BENITO, TX</v>
          </cell>
          <cell r="AJ41" t="str">
            <v>Brownsville-Harlingen-San Bernito, TX</v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</row>
        <row r="42">
          <cell r="AI42" t="str">
            <v>BRYAN-COLLEGE STATION, TX</v>
          </cell>
          <cell r="AJ42" t="str">
            <v>Bryan-College Station, TX</v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</row>
        <row r="43">
          <cell r="AI43" t="str">
            <v>BUFFALO-NIAGARA FALLS, NY</v>
          </cell>
          <cell r="AJ43" t="str">
            <v>Buffalo-Niagara Falls, NY</v>
          </cell>
          <cell r="AK43" t="str">
            <v>Buffalo, NY</v>
          </cell>
          <cell r="AL43" t="str">
            <v>Top 50</v>
          </cell>
          <cell r="AM43" t="str">
            <v>BS</v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</row>
        <row r="44">
          <cell r="AI44" t="str">
            <v>BURLINGTON, VT</v>
          </cell>
          <cell r="AJ44" t="str">
            <v>Burlington, VT</v>
          </cell>
          <cell r="AK44" t="str">
            <v>Burlington, VT</v>
          </cell>
          <cell r="AL44" t="str">
            <v>Top 110</v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</row>
        <row r="45">
          <cell r="AI45" t="str">
            <v>CANTON-MASSILLON, OH</v>
          </cell>
          <cell r="AJ45" t="str">
            <v>Canton-Massillon, OH</v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</row>
        <row r="46">
          <cell r="AI46" t="str">
            <v>CASPER, WY</v>
          </cell>
          <cell r="AJ46" t="str">
            <v>Casper, WY</v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</row>
        <row r="47">
          <cell r="AI47" t="str">
            <v>CEDAR RAPIDS, IA</v>
          </cell>
          <cell r="AJ47" t="str">
            <v>Cedar Rapids, IA</v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</row>
        <row r="48">
          <cell r="AI48" t="str">
            <v>CHAMPAIGN-URBANA, IL</v>
          </cell>
          <cell r="AJ48" t="str">
            <v>Champaign-Urbana, IL</v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</row>
        <row r="49">
          <cell r="AI49" t="str">
            <v>CHARLESTON, WV</v>
          </cell>
          <cell r="AJ49" t="str">
            <v>Charleston, WV</v>
          </cell>
          <cell r="AK49" t="str">
            <v>Charleston, WV</v>
          </cell>
          <cell r="AL49" t="str">
            <v>Top 110</v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</row>
        <row r="50">
          <cell r="AI50" t="str">
            <v>CHARLESTON-NORTH CHARLESTON, SC</v>
          </cell>
          <cell r="AJ50" t="str">
            <v>Charleston, SC</v>
          </cell>
          <cell r="AK50" t="str">
            <v>Charleston, SC</v>
          </cell>
          <cell r="AL50" t="str">
            <v>Top 110</v>
          </cell>
          <cell r="AM50" t="str">
            <v>BS</v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>Charleston, SC</v>
          </cell>
        </row>
        <row r="51">
          <cell r="AI51" t="str">
            <v>CHARLOTTE-GASTONIA-ROCK HILL, NC-SC</v>
          </cell>
          <cell r="AJ51" t="str">
            <v>Charlotte-Gastonia, NC-SC</v>
          </cell>
          <cell r="AK51" t="str">
            <v>Charlotte, NC</v>
          </cell>
          <cell r="AL51" t="str">
            <v>Top 50</v>
          </cell>
          <cell r="AM51" t="str">
            <v>BS</v>
          </cell>
          <cell r="AN51" t="str">
            <v>Charlotte, NC</v>
          </cell>
          <cell r="AO51" t="str">
            <v/>
          </cell>
          <cell r="AP51" t="str">
            <v>CHARLOTTE, NC</v>
          </cell>
          <cell r="AQ51" t="str">
            <v>Charlotte, NC</v>
          </cell>
          <cell r="AR51" t="str">
            <v/>
          </cell>
          <cell r="AS51" t="str">
            <v/>
          </cell>
          <cell r="AT51" t="str">
            <v>Charlotte, NC</v>
          </cell>
        </row>
        <row r="52">
          <cell r="AI52" t="str">
            <v>CHARLOTTESVILLE, VA</v>
          </cell>
          <cell r="AJ52" t="str">
            <v>Charlottesville, VA</v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</row>
        <row r="53">
          <cell r="AI53" t="str">
            <v>CHATTANOOGA, TN-GA</v>
          </cell>
          <cell r="AJ53" t="str">
            <v>Chattanooga, TN-GA</v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</row>
        <row r="54">
          <cell r="AI54" t="str">
            <v>CHEYENNE, WY</v>
          </cell>
          <cell r="AJ54" t="str">
            <v>Cheyenne, WY</v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</row>
        <row r="55">
          <cell r="AI55" t="str">
            <v>CHICAGO, IL</v>
          </cell>
          <cell r="AJ55" t="str">
            <v>Chicago, IL</v>
          </cell>
          <cell r="AK55" t="str">
            <v>Chicago, IL</v>
          </cell>
          <cell r="AL55" t="str">
            <v>Top 25</v>
          </cell>
          <cell r="AM55" t="str">
            <v>BS</v>
          </cell>
          <cell r="AN55" t="str">
            <v>Chicago, IL</v>
          </cell>
          <cell r="AO55" t="str">
            <v>Chicago, IL</v>
          </cell>
          <cell r="AP55" t="str">
            <v>CHICAGO, IL</v>
          </cell>
          <cell r="AQ55" t="str">
            <v>Chicago, IL</v>
          </cell>
          <cell r="AR55" t="str">
            <v>Chicago, IL</v>
          </cell>
          <cell r="AS55" t="str">
            <v>Chicago, IL</v>
          </cell>
          <cell r="AT55" t="str">
            <v>Chicago, IL</v>
          </cell>
        </row>
        <row r="56">
          <cell r="AI56" t="str">
            <v>CHICO-PARADISE, CA</v>
          </cell>
          <cell r="AJ56" t="str">
            <v>Chico-Paradise, CA</v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</row>
        <row r="57">
          <cell r="AI57" t="str">
            <v>CINCINNATI, OH-KY-IN</v>
          </cell>
          <cell r="AJ57" t="str">
            <v>Cincinnati, OH-KY-IN</v>
          </cell>
          <cell r="AK57" t="str">
            <v>Cincinnati, OH</v>
          </cell>
          <cell r="AL57" t="str">
            <v>Top 50</v>
          </cell>
          <cell r="AM57" t="str">
            <v>BS</v>
          </cell>
          <cell r="AN57" t="str">
            <v>Cincinnati, OH</v>
          </cell>
          <cell r="AO57" t="str">
            <v/>
          </cell>
          <cell r="AP57" t="str">
            <v/>
          </cell>
          <cell r="AQ57" t="str">
            <v/>
          </cell>
          <cell r="AR57" t="str">
            <v/>
          </cell>
          <cell r="AS57" t="str">
            <v/>
          </cell>
          <cell r="AT57" t="str">
            <v/>
          </cell>
        </row>
        <row r="58">
          <cell r="AI58" t="str">
            <v>CLARKSVILLE-HOPKINSVILLE, TN-KY</v>
          </cell>
          <cell r="AJ58" t="str">
            <v>Clarksville-Hopkinsville, TN-KY</v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  <cell r="AR58" t="str">
            <v/>
          </cell>
          <cell r="AS58" t="str">
            <v/>
          </cell>
          <cell r="AT58" t="str">
            <v/>
          </cell>
        </row>
        <row r="59">
          <cell r="AI59" t="str">
            <v>CLEVELAND-LORAIN-ELYRIA, OH</v>
          </cell>
          <cell r="AJ59" t="str">
            <v>Cleveland, OH</v>
          </cell>
          <cell r="AK59" t="str">
            <v>Cleveland, OH</v>
          </cell>
          <cell r="AL59" t="str">
            <v>Top 25</v>
          </cell>
          <cell r="AM59" t="str">
            <v>BS</v>
          </cell>
          <cell r="AN59" t="str">
            <v>Cleveland, OH</v>
          </cell>
          <cell r="AO59" t="str">
            <v/>
          </cell>
          <cell r="AP59" t="str">
            <v/>
          </cell>
          <cell r="AQ59" t="str">
            <v/>
          </cell>
          <cell r="AR59" t="str">
            <v/>
          </cell>
          <cell r="AS59" t="str">
            <v/>
          </cell>
          <cell r="AT59" t="str">
            <v/>
          </cell>
        </row>
        <row r="60">
          <cell r="AI60" t="str">
            <v>COLORADO SPRINGS, CO</v>
          </cell>
          <cell r="AJ60" t="str">
            <v>Colorado Springs, CO</v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  <cell r="AR60" t="str">
            <v/>
          </cell>
          <cell r="AS60" t="str">
            <v/>
          </cell>
          <cell r="AT60" t="str">
            <v/>
          </cell>
        </row>
        <row r="61">
          <cell r="AI61" t="str">
            <v>COLUMBIA, MO</v>
          </cell>
          <cell r="AJ61" t="str">
            <v>Columbia, MO</v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  <cell r="AR61" t="str">
            <v/>
          </cell>
          <cell r="AS61" t="str">
            <v/>
          </cell>
          <cell r="AT61" t="str">
            <v/>
          </cell>
        </row>
        <row r="62">
          <cell r="AI62" t="str">
            <v>COLUMBIA, SC</v>
          </cell>
          <cell r="AJ62" t="str">
            <v>Columbia, SC</v>
          </cell>
          <cell r="AK62" t="str">
            <v>Columbia, SC</v>
          </cell>
          <cell r="AL62" t="str">
            <v>Top 110</v>
          </cell>
          <cell r="AM62" t="str">
            <v>BS</v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  <cell r="AR62" t="str">
            <v/>
          </cell>
          <cell r="AS62" t="str">
            <v/>
          </cell>
          <cell r="AT62" t="str">
            <v/>
          </cell>
        </row>
        <row r="63">
          <cell r="AI63" t="str">
            <v>COLUMBUS, GA-AL</v>
          </cell>
          <cell r="AJ63" t="str">
            <v>Columbus, GA-AL</v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  <cell r="AR63" t="str">
            <v/>
          </cell>
          <cell r="AS63" t="str">
            <v/>
          </cell>
          <cell r="AT63" t="str">
            <v/>
          </cell>
        </row>
        <row r="64">
          <cell r="AI64" t="str">
            <v>COLUMBUS, OH</v>
          </cell>
          <cell r="AJ64" t="str">
            <v>Columbus, OH</v>
          </cell>
          <cell r="AK64" t="str">
            <v>Columbus, OH</v>
          </cell>
          <cell r="AL64" t="str">
            <v>Top 50</v>
          </cell>
          <cell r="AM64" t="str">
            <v>BS</v>
          </cell>
          <cell r="AN64" t="str">
            <v>Columbus, OH</v>
          </cell>
          <cell r="AO64" t="str">
            <v/>
          </cell>
          <cell r="AP64" t="str">
            <v/>
          </cell>
          <cell r="AQ64" t="str">
            <v/>
          </cell>
          <cell r="AR64" t="str">
            <v/>
          </cell>
          <cell r="AS64" t="str">
            <v/>
          </cell>
          <cell r="AT64" t="str">
            <v/>
          </cell>
        </row>
        <row r="65">
          <cell r="AI65" t="str">
            <v>CORPUS CHRISTI, TX</v>
          </cell>
          <cell r="AJ65" t="str">
            <v>Corpus Christi, TX</v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  <cell r="AR65" t="str">
            <v/>
          </cell>
          <cell r="AS65" t="str">
            <v/>
          </cell>
          <cell r="AT65" t="str">
            <v/>
          </cell>
        </row>
        <row r="66">
          <cell r="AI66" t="str">
            <v>DALLAS, TX</v>
          </cell>
          <cell r="AJ66" t="str">
            <v>Dallas, TX</v>
          </cell>
          <cell r="AK66" t="str">
            <v>Dallas, TX</v>
          </cell>
          <cell r="AL66" t="str">
            <v>Top 25</v>
          </cell>
          <cell r="AM66" t="str">
            <v>BS</v>
          </cell>
          <cell r="AN66" t="str">
            <v>Dallas, TX</v>
          </cell>
          <cell r="AO66" t="str">
            <v>Dallas, TX</v>
          </cell>
          <cell r="AP66" t="str">
            <v>DALLAS, TX</v>
          </cell>
          <cell r="AQ66" t="str">
            <v>Dallas, TX</v>
          </cell>
          <cell r="AR66" t="str">
            <v>Dallas, TX</v>
          </cell>
          <cell r="AS66" t="str">
            <v>Dallas, TX</v>
          </cell>
          <cell r="AT66" t="str">
            <v/>
          </cell>
        </row>
        <row r="67">
          <cell r="AI67" t="str">
            <v>DANBURY, CT</v>
          </cell>
          <cell r="AJ67" t="str">
            <v>Danbury, CT</v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>New York Suburban</v>
          </cell>
          <cell r="AP67" t="str">
            <v/>
          </cell>
          <cell r="AQ67" t="str">
            <v/>
          </cell>
          <cell r="AR67" t="str">
            <v/>
          </cell>
          <cell r="AS67" t="str">
            <v/>
          </cell>
          <cell r="AT67" t="str">
            <v/>
          </cell>
        </row>
        <row r="68">
          <cell r="AI68" t="str">
            <v>DANVILLE, VA</v>
          </cell>
          <cell r="AJ68" t="str">
            <v>Danville, VA</v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  <cell r="AR68" t="str">
            <v/>
          </cell>
          <cell r="AS68" t="str">
            <v/>
          </cell>
          <cell r="AT68" t="str">
            <v/>
          </cell>
        </row>
        <row r="69">
          <cell r="AI69" t="str">
            <v>DAVENPORT-MOLINE-ROCK ISLAND, IA-IL</v>
          </cell>
          <cell r="AJ69" t="str">
            <v>Davenport-Moline-Rock Island, IA-IL</v>
          </cell>
          <cell r="AK69" t="str">
            <v/>
          </cell>
          <cell r="AL69" t="str">
            <v/>
          </cell>
          <cell r="AM69" t="str">
            <v>BS</v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  <cell r="AR69" t="str">
            <v/>
          </cell>
          <cell r="AS69" t="str">
            <v/>
          </cell>
          <cell r="AT69" t="str">
            <v/>
          </cell>
        </row>
        <row r="70">
          <cell r="AI70" t="str">
            <v>DAYTON-SPRINGFIELD, OH</v>
          </cell>
          <cell r="AJ70" t="str">
            <v>Dayton-Springfield, OH</v>
          </cell>
          <cell r="AK70" t="str">
            <v>Dayton, OH</v>
          </cell>
          <cell r="AL70" t="str">
            <v>Top 110</v>
          </cell>
          <cell r="AM70" t="str">
            <v>BS</v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  <cell r="AR70" t="str">
            <v/>
          </cell>
          <cell r="AS70" t="str">
            <v/>
          </cell>
          <cell r="AT70" t="str">
            <v/>
          </cell>
        </row>
        <row r="71">
          <cell r="AI71" t="str">
            <v>DAYTONA BEACH, FL</v>
          </cell>
          <cell r="AJ71" t="str">
            <v>Daytona Beach, FL</v>
          </cell>
          <cell r="AK71" t="str">
            <v/>
          </cell>
          <cell r="AL71" t="str">
            <v/>
          </cell>
          <cell r="AM71" t="str">
            <v>BS</v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  <cell r="AR71" t="str">
            <v/>
          </cell>
          <cell r="AS71" t="str">
            <v/>
          </cell>
          <cell r="AT71" t="str">
            <v>Daytona, FL</v>
          </cell>
        </row>
        <row r="72">
          <cell r="AI72" t="str">
            <v>DECATUR, AL</v>
          </cell>
          <cell r="AJ72" t="str">
            <v>Decatur, AL</v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  <cell r="AR72" t="str">
            <v/>
          </cell>
          <cell r="AS72" t="str">
            <v/>
          </cell>
          <cell r="AT72" t="str">
            <v/>
          </cell>
        </row>
        <row r="73">
          <cell r="AI73" t="str">
            <v>DECATUR, IL</v>
          </cell>
          <cell r="AJ73" t="str">
            <v>Decatur, IL</v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  <cell r="AR73" t="str">
            <v/>
          </cell>
          <cell r="AS73" t="str">
            <v/>
          </cell>
          <cell r="AT73" t="str">
            <v/>
          </cell>
        </row>
        <row r="74">
          <cell r="AI74" t="str">
            <v>DENVER, CO</v>
          </cell>
          <cell r="AJ74" t="str">
            <v>Denver, CO</v>
          </cell>
          <cell r="AK74" t="str">
            <v>Denver, CO</v>
          </cell>
          <cell r="AL74" t="str">
            <v>Top 50</v>
          </cell>
          <cell r="AM74" t="str">
            <v>BS</v>
          </cell>
          <cell r="AN74" t="str">
            <v>Denver, CO</v>
          </cell>
          <cell r="AO74" t="str">
            <v>Denver, CO</v>
          </cell>
          <cell r="AP74" t="str">
            <v>DENVER, CO</v>
          </cell>
          <cell r="AQ74" t="str">
            <v>Denver, CO</v>
          </cell>
          <cell r="AR74" t="str">
            <v>Denver, CO</v>
          </cell>
          <cell r="AS74" t="str">
            <v/>
          </cell>
          <cell r="AT74" t="str">
            <v>Denver, CO</v>
          </cell>
        </row>
        <row r="75">
          <cell r="AI75" t="str">
            <v>DES MOINES, IA</v>
          </cell>
          <cell r="AJ75" t="str">
            <v>Des Moines, IA</v>
          </cell>
          <cell r="AK75" t="str">
            <v>Des Moines, IA</v>
          </cell>
          <cell r="AL75" t="str">
            <v>Top 110</v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</row>
        <row r="76">
          <cell r="AI76" t="str">
            <v>DETROIT, MI</v>
          </cell>
          <cell r="AJ76" t="str">
            <v>Detroit, MI</v>
          </cell>
          <cell r="AK76" t="str">
            <v>Detroit, MI</v>
          </cell>
          <cell r="AL76" t="str">
            <v>Top 25</v>
          </cell>
          <cell r="AM76" t="str">
            <v>BS</v>
          </cell>
          <cell r="AN76" t="str">
            <v>Detroit, MI</v>
          </cell>
          <cell r="AO76" t="str">
            <v>Detroit, MI</v>
          </cell>
          <cell r="AP76" t="str">
            <v>DETROIT, MI</v>
          </cell>
          <cell r="AQ76" t="str">
            <v>Detroit, MI</v>
          </cell>
          <cell r="AR76" t="str">
            <v>Detroit, MI</v>
          </cell>
          <cell r="AS76" t="str">
            <v/>
          </cell>
          <cell r="AT76" t="str">
            <v/>
          </cell>
        </row>
        <row r="77">
          <cell r="AI77" t="str">
            <v>DOTHAN, AL</v>
          </cell>
          <cell r="AJ77" t="str">
            <v>Dothan, AL</v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 t="str">
            <v/>
          </cell>
          <cell r="AS77" t="str">
            <v/>
          </cell>
          <cell r="AT77" t="str">
            <v/>
          </cell>
        </row>
        <row r="78">
          <cell r="AI78" t="str">
            <v>DOVER, DE</v>
          </cell>
          <cell r="AJ78" t="str">
            <v>Dover, DE</v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 t="str">
            <v/>
          </cell>
          <cell r="AS78" t="str">
            <v/>
          </cell>
          <cell r="AT78" t="str">
            <v/>
          </cell>
        </row>
        <row r="79">
          <cell r="AI79" t="str">
            <v>DUBUQUE, IA</v>
          </cell>
          <cell r="AJ79" t="str">
            <v>Dubuque, IA</v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 t="str">
            <v/>
          </cell>
        </row>
        <row r="80">
          <cell r="AI80" t="str">
            <v>DULUTH-SUPERIOR, MN-WI</v>
          </cell>
          <cell r="AJ80" t="str">
            <v>Duluth-Superior, MN-WI</v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 t="str">
            <v/>
          </cell>
        </row>
        <row r="81">
          <cell r="AI81" t="str">
            <v>DUTCHESS COUNTY, NY</v>
          </cell>
          <cell r="AJ81" t="str">
            <v>Dutchess County, NY</v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>New York Suburban</v>
          </cell>
          <cell r="AP81" t="str">
            <v/>
          </cell>
          <cell r="AQ81" t="str">
            <v/>
          </cell>
          <cell r="AR81" t="str">
            <v/>
          </cell>
          <cell r="AS81" t="str">
            <v/>
          </cell>
          <cell r="AT81" t="str">
            <v/>
          </cell>
        </row>
        <row r="82">
          <cell r="AI82" t="str">
            <v>EAU CLAIRE, WI</v>
          </cell>
          <cell r="AJ82" t="str">
            <v>Eau Claire, WI</v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R82" t="str">
            <v/>
          </cell>
          <cell r="AS82" t="str">
            <v/>
          </cell>
          <cell r="AT82" t="str">
            <v/>
          </cell>
        </row>
        <row r="83">
          <cell r="AI83" t="str">
            <v>EL PASO, TX</v>
          </cell>
          <cell r="AJ83" t="str">
            <v>El Paso, TX</v>
          </cell>
          <cell r="AK83" t="str">
            <v>El Paso, TX</v>
          </cell>
          <cell r="AL83" t="str">
            <v>Top 110</v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R83" t="str">
            <v/>
          </cell>
          <cell r="AS83" t="str">
            <v/>
          </cell>
          <cell r="AT83" t="str">
            <v/>
          </cell>
        </row>
        <row r="84">
          <cell r="AI84" t="str">
            <v>ELKHART-GOSHEN, IN</v>
          </cell>
          <cell r="AJ84" t="str">
            <v>Elkhart-Goshen, IN</v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R84" t="str">
            <v/>
          </cell>
          <cell r="AS84" t="str">
            <v/>
          </cell>
          <cell r="AT84" t="str">
            <v/>
          </cell>
        </row>
        <row r="85">
          <cell r="AI85" t="str">
            <v>ELMIRA, NY</v>
          </cell>
          <cell r="AJ85" t="str">
            <v>Elmira, NY</v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 t="str">
            <v/>
          </cell>
        </row>
        <row r="86">
          <cell r="AI86" t="str">
            <v>ERIE, PA</v>
          </cell>
          <cell r="AJ86" t="str">
            <v>Erie, PA</v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R86" t="str">
            <v/>
          </cell>
          <cell r="AS86" t="str">
            <v/>
          </cell>
          <cell r="AT86" t="str">
            <v/>
          </cell>
        </row>
        <row r="87">
          <cell r="AI87" t="str">
            <v>EUGENE-SPRINGFIELD, OR</v>
          </cell>
          <cell r="AJ87" t="str">
            <v>Eugene-Springfield, OR</v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R87" t="str">
            <v/>
          </cell>
          <cell r="AS87" t="str">
            <v/>
          </cell>
          <cell r="AT87" t="str">
            <v/>
          </cell>
        </row>
        <row r="88">
          <cell r="AI88" t="str">
            <v>EVANSVILLE-HENDERSON, IN-KY</v>
          </cell>
          <cell r="AJ88" t="str">
            <v>Evansville-Henderson, IN-KY</v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R88" t="str">
            <v/>
          </cell>
          <cell r="AS88" t="str">
            <v/>
          </cell>
          <cell r="AT88" t="str">
            <v/>
          </cell>
        </row>
        <row r="89">
          <cell r="AI89" t="str">
            <v>FARGO-MOORHEAD, ND-MN</v>
          </cell>
          <cell r="AJ89" t="str">
            <v>Fargo-Moorhead, ND-MN</v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R89" t="str">
            <v/>
          </cell>
          <cell r="AS89" t="str">
            <v/>
          </cell>
          <cell r="AT89" t="str">
            <v/>
          </cell>
        </row>
        <row r="90">
          <cell r="AI90" t="str">
            <v>FAYETTEVILLE, NC</v>
          </cell>
          <cell r="AJ90" t="str">
            <v>Fayetteville, NC</v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  <cell r="AR90" t="str">
            <v/>
          </cell>
          <cell r="AS90" t="str">
            <v/>
          </cell>
          <cell r="AT90" t="str">
            <v/>
          </cell>
        </row>
        <row r="91">
          <cell r="AI91" t="str">
            <v>FAYETTEVILLE-SPRINGDALE-ROGERS, AR</v>
          </cell>
          <cell r="AJ91" t="str">
            <v>Fayetteville-Springdale-Rogers, AR</v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R91" t="str">
            <v/>
          </cell>
          <cell r="AS91" t="str">
            <v/>
          </cell>
          <cell r="AT91" t="str">
            <v/>
          </cell>
        </row>
        <row r="92">
          <cell r="AI92" t="str">
            <v>flagstaff, AZ</v>
          </cell>
          <cell r="AJ92" t="str">
            <v>Flagstaff, AZ</v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</row>
        <row r="93">
          <cell r="AI93" t="str">
            <v>FLINT, MI</v>
          </cell>
          <cell r="AJ93" t="str">
            <v>Flint, MI</v>
          </cell>
          <cell r="AK93" t="str">
            <v>Flint, MI</v>
          </cell>
          <cell r="AL93" t="str">
            <v>Top 110</v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  <cell r="AR93" t="str">
            <v/>
          </cell>
          <cell r="AS93" t="str">
            <v/>
          </cell>
          <cell r="AT93" t="str">
            <v/>
          </cell>
        </row>
        <row r="94">
          <cell r="AI94" t="str">
            <v>FLORENCE, AL</v>
          </cell>
          <cell r="AJ94" t="str">
            <v>Florence, AL</v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  <cell r="AR94" t="str">
            <v/>
          </cell>
          <cell r="AS94" t="str">
            <v/>
          </cell>
          <cell r="AT94" t="str">
            <v/>
          </cell>
        </row>
        <row r="95">
          <cell r="AI95" t="str">
            <v>FLORENCE, SC</v>
          </cell>
          <cell r="AJ95" t="str">
            <v>Florence, SC</v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  <cell r="AR95" t="str">
            <v/>
          </cell>
          <cell r="AS95" t="str">
            <v/>
          </cell>
          <cell r="AT95" t="str">
            <v/>
          </cell>
        </row>
        <row r="96">
          <cell r="AI96" t="str">
            <v>FORT COLLINS-LOVELAND, CO</v>
          </cell>
          <cell r="AJ96" t="str">
            <v>Fort Collins-Loveland, CO</v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  <cell r="AR96" t="str">
            <v/>
          </cell>
          <cell r="AS96" t="str">
            <v/>
          </cell>
          <cell r="AT96" t="str">
            <v/>
          </cell>
        </row>
        <row r="97">
          <cell r="AI97" t="str">
            <v>FORT LAUDERDALE, FL</v>
          </cell>
          <cell r="AJ97" t="str">
            <v>Fort Lauderdale, FL</v>
          </cell>
          <cell r="AK97" t="str">
            <v>Fort Lauderdale, FL</v>
          </cell>
          <cell r="AL97" t="str">
            <v>Top 50</v>
          </cell>
          <cell r="AM97" t="str">
            <v>BS</v>
          </cell>
          <cell r="AN97" t="str">
            <v>Fort Lauderdale, FL</v>
          </cell>
          <cell r="AO97" t="str">
            <v/>
          </cell>
          <cell r="AP97" t="str">
            <v>FORT LAUDERDALE, FL</v>
          </cell>
          <cell r="AQ97" t="str">
            <v/>
          </cell>
          <cell r="AR97" t="str">
            <v/>
          </cell>
          <cell r="AS97" t="str">
            <v/>
          </cell>
          <cell r="AT97" t="str">
            <v/>
          </cell>
        </row>
        <row r="98">
          <cell r="AI98" t="str">
            <v>FORT MYERS-CAPE CORAL, FL</v>
          </cell>
          <cell r="AJ98" t="str">
            <v>Fort Myers-Cape Coral, FL</v>
          </cell>
          <cell r="AK98" t="str">
            <v/>
          </cell>
          <cell r="AL98" t="str">
            <v/>
          </cell>
          <cell r="AM98" t="str">
            <v>BS</v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 t="str">
            <v/>
          </cell>
        </row>
        <row r="99">
          <cell r="AI99" t="str">
            <v>FORT PIERCE-PORT SAINT LUCIE, FL</v>
          </cell>
          <cell r="AJ99" t="str">
            <v>Fort Pierce-Port St. Lucie, FL</v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R99" t="str">
            <v/>
          </cell>
          <cell r="AS99" t="str">
            <v/>
          </cell>
          <cell r="AT99" t="str">
            <v/>
          </cell>
        </row>
        <row r="100">
          <cell r="AI100" t="str">
            <v>FORT SMITH, AR-OK</v>
          </cell>
          <cell r="AJ100" t="str">
            <v>Fort Smith, AR-OK</v>
          </cell>
          <cell r="AK100" t="str">
            <v/>
          </cell>
          <cell r="AL100" t="str">
            <v/>
          </cell>
          <cell r="AM100" t="str">
            <v/>
          </cell>
          <cell r="AN100" t="str">
            <v/>
          </cell>
          <cell r="AO100" t="str">
            <v/>
          </cell>
          <cell r="AP100" t="str">
            <v/>
          </cell>
          <cell r="AQ100" t="str">
            <v/>
          </cell>
          <cell r="AR100" t="str">
            <v/>
          </cell>
          <cell r="AS100" t="str">
            <v/>
          </cell>
          <cell r="AT100" t="str">
            <v/>
          </cell>
        </row>
        <row r="101">
          <cell r="AI101" t="str">
            <v>FORT WALTON BEACH, FL</v>
          </cell>
          <cell r="AJ101" t="str">
            <v>Fort Walton Beach, FL</v>
          </cell>
          <cell r="AK101" t="str">
            <v/>
          </cell>
          <cell r="AL101" t="str">
            <v/>
          </cell>
          <cell r="AM101" t="str">
            <v/>
          </cell>
          <cell r="AN101" t="str">
            <v/>
          </cell>
          <cell r="AO101" t="str">
            <v/>
          </cell>
          <cell r="AP101" t="str">
            <v/>
          </cell>
          <cell r="AQ101" t="str">
            <v/>
          </cell>
          <cell r="AR101" t="str">
            <v/>
          </cell>
          <cell r="AS101" t="str">
            <v/>
          </cell>
          <cell r="AT101" t="str">
            <v/>
          </cell>
        </row>
        <row r="102">
          <cell r="AI102" t="str">
            <v>FORT WAYNE, IN</v>
          </cell>
          <cell r="AJ102" t="str">
            <v>Fort Wayne, IN</v>
          </cell>
          <cell r="AK102" t="str">
            <v>Fort Wayne, IN</v>
          </cell>
          <cell r="AL102" t="str">
            <v>Top 110</v>
          </cell>
          <cell r="AM102" t="str">
            <v/>
          </cell>
          <cell r="AN102" t="str">
            <v/>
          </cell>
          <cell r="AO102" t="str">
            <v/>
          </cell>
          <cell r="AP102" t="str">
            <v/>
          </cell>
          <cell r="AQ102" t="str">
            <v/>
          </cell>
          <cell r="AR102" t="str">
            <v/>
          </cell>
          <cell r="AS102" t="str">
            <v/>
          </cell>
          <cell r="AT102" t="str">
            <v/>
          </cell>
        </row>
        <row r="103">
          <cell r="AI103" t="str">
            <v>FORT WORTH-ARLINGTON, TX</v>
          </cell>
          <cell r="AJ103" t="str">
            <v>Fort Worth-Arlington, TX</v>
          </cell>
          <cell r="AK103" t="str">
            <v>Fort Worth, TX</v>
          </cell>
          <cell r="AL103" t="str">
            <v>Top 50</v>
          </cell>
          <cell r="AM103" t="str">
            <v>BS</v>
          </cell>
          <cell r="AN103" t="str">
            <v>Fort Worth, TX</v>
          </cell>
          <cell r="AO103" t="str">
            <v/>
          </cell>
          <cell r="AP103" t="str">
            <v>FORT WORTH, TX</v>
          </cell>
          <cell r="AQ103" t="str">
            <v>Fort Worth, TX</v>
          </cell>
          <cell r="AR103" t="str">
            <v/>
          </cell>
          <cell r="AS103" t="str">
            <v/>
          </cell>
          <cell r="AT103" t="str">
            <v/>
          </cell>
        </row>
        <row r="104">
          <cell r="AI104" t="str">
            <v>FRESNO, CA</v>
          </cell>
          <cell r="AJ104" t="str">
            <v>Fresno, CA</v>
          </cell>
          <cell r="AK104" t="str">
            <v>Fresno, CA</v>
          </cell>
          <cell r="AL104" t="str">
            <v>Top 110</v>
          </cell>
          <cell r="AM104" t="str">
            <v/>
          </cell>
          <cell r="AN104" t="str">
            <v/>
          </cell>
          <cell r="AO104" t="str">
            <v/>
          </cell>
          <cell r="AP104" t="str">
            <v/>
          </cell>
          <cell r="AQ104" t="str">
            <v/>
          </cell>
          <cell r="AR104" t="str">
            <v/>
          </cell>
          <cell r="AS104" t="str">
            <v/>
          </cell>
          <cell r="AT104" t="str">
            <v/>
          </cell>
        </row>
        <row r="105">
          <cell r="AI105" t="str">
            <v>GADSDEN, AL</v>
          </cell>
          <cell r="AJ105" t="str">
            <v>Gadsden, AL</v>
          </cell>
          <cell r="AK105" t="str">
            <v/>
          </cell>
          <cell r="AL105" t="str">
            <v/>
          </cell>
          <cell r="AM105" t="str">
            <v/>
          </cell>
          <cell r="AN105" t="str">
            <v/>
          </cell>
          <cell r="AO105" t="str">
            <v/>
          </cell>
          <cell r="AP105" t="str">
            <v/>
          </cell>
          <cell r="AQ105" t="str">
            <v/>
          </cell>
          <cell r="AR105" t="str">
            <v/>
          </cell>
          <cell r="AS105" t="str">
            <v/>
          </cell>
          <cell r="AT105" t="str">
            <v/>
          </cell>
        </row>
        <row r="106">
          <cell r="AI106" t="str">
            <v>GAINESVILLE, FL</v>
          </cell>
          <cell r="AJ106" t="str">
            <v>Gainesville, FL</v>
          </cell>
          <cell r="AK106" t="str">
            <v/>
          </cell>
          <cell r="AL106" t="str">
            <v/>
          </cell>
          <cell r="AM106" t="str">
            <v/>
          </cell>
          <cell r="AN106" t="str">
            <v/>
          </cell>
          <cell r="AO106" t="str">
            <v/>
          </cell>
          <cell r="AP106" t="str">
            <v/>
          </cell>
          <cell r="AQ106" t="str">
            <v/>
          </cell>
          <cell r="AR106" t="str">
            <v/>
          </cell>
          <cell r="AS106" t="str">
            <v/>
          </cell>
          <cell r="AT106" t="str">
            <v/>
          </cell>
        </row>
        <row r="107">
          <cell r="AI107" t="str">
            <v>GARY, IN</v>
          </cell>
          <cell r="AJ107" t="str">
            <v>Gary, IN</v>
          </cell>
          <cell r="AK107" t="str">
            <v>Gary, IN</v>
          </cell>
          <cell r="AL107" t="str">
            <v>Top 110</v>
          </cell>
          <cell r="AM107" t="str">
            <v/>
          </cell>
          <cell r="AN107" t="str">
            <v/>
          </cell>
          <cell r="AO107" t="str">
            <v/>
          </cell>
          <cell r="AP107" t="str">
            <v/>
          </cell>
          <cell r="AQ107" t="str">
            <v/>
          </cell>
          <cell r="AR107" t="str">
            <v/>
          </cell>
          <cell r="AS107" t="str">
            <v/>
          </cell>
          <cell r="AT107" t="str">
            <v/>
          </cell>
        </row>
        <row r="108">
          <cell r="AI108" t="str">
            <v>GATLINBURG-PIGEON FORGE, TN</v>
          </cell>
          <cell r="AJ108" t="str">
            <v>Gatlinburg-Pigeon Forge, TN</v>
          </cell>
          <cell r="AK108" t="str">
            <v/>
          </cell>
          <cell r="AL108" t="str">
            <v/>
          </cell>
          <cell r="AM108" t="str">
            <v>BS</v>
          </cell>
          <cell r="AN108" t="str">
            <v/>
          </cell>
          <cell r="AO108" t="str">
            <v/>
          </cell>
          <cell r="AP108" t="str">
            <v/>
          </cell>
          <cell r="AQ108" t="str">
            <v/>
          </cell>
          <cell r="AR108" t="str">
            <v/>
          </cell>
          <cell r="AS108" t="str">
            <v/>
          </cell>
          <cell r="AT108" t="str">
            <v/>
          </cell>
        </row>
        <row r="109">
          <cell r="AI109" t="str">
            <v>GLENS FALLS, NY</v>
          </cell>
          <cell r="AJ109" t="str">
            <v>Glens Falls, NY</v>
          </cell>
          <cell r="AK109" t="str">
            <v/>
          </cell>
          <cell r="AL109" t="str">
            <v/>
          </cell>
          <cell r="AM109" t="str">
            <v/>
          </cell>
          <cell r="AN109" t="str">
            <v/>
          </cell>
          <cell r="AO109" t="str">
            <v/>
          </cell>
          <cell r="AP109" t="str">
            <v/>
          </cell>
          <cell r="AQ109" t="str">
            <v/>
          </cell>
          <cell r="AR109" t="str">
            <v/>
          </cell>
          <cell r="AS109" t="str">
            <v/>
          </cell>
          <cell r="AT109" t="str">
            <v/>
          </cell>
        </row>
        <row r="110">
          <cell r="AI110" t="str">
            <v>GOLDSBORO, NC</v>
          </cell>
          <cell r="AJ110" t="str">
            <v>Goldsboro, NC</v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</row>
        <row r="111">
          <cell r="AI111" t="str">
            <v>GRAND FORKS, ND-MN</v>
          </cell>
          <cell r="AJ111" t="str">
            <v>Grand Forks, ND-MN</v>
          </cell>
          <cell r="AK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R111" t="str">
            <v/>
          </cell>
          <cell r="AS111" t="str">
            <v/>
          </cell>
          <cell r="AT111" t="str">
            <v/>
          </cell>
        </row>
        <row r="112">
          <cell r="AI112" t="str">
            <v>GRAND RAPIDS-MUSKEGON-HOLLAND, MI</v>
          </cell>
          <cell r="AJ112" t="str">
            <v>Grand Rapids, MI</v>
          </cell>
          <cell r="AK112" t="str">
            <v>Grand Rapids, MI</v>
          </cell>
          <cell r="AL112" t="str">
            <v>Top 110</v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R112" t="str">
            <v/>
          </cell>
          <cell r="AS112" t="str">
            <v/>
          </cell>
          <cell r="AT112" t="str">
            <v/>
          </cell>
        </row>
        <row r="113">
          <cell r="AI113" t="str">
            <v>GREAT FALLS, MT</v>
          </cell>
          <cell r="AJ113" t="str">
            <v>Great Falls, MT</v>
          </cell>
          <cell r="AK113" t="str">
            <v/>
          </cell>
          <cell r="AL113" t="str">
            <v/>
          </cell>
          <cell r="AM113" t="str">
            <v/>
          </cell>
          <cell r="AN113" t="str">
            <v/>
          </cell>
          <cell r="AO113" t="str">
            <v/>
          </cell>
          <cell r="AP113" t="str">
            <v/>
          </cell>
          <cell r="AQ113" t="str">
            <v/>
          </cell>
          <cell r="AR113" t="str">
            <v/>
          </cell>
          <cell r="AS113" t="str">
            <v/>
          </cell>
          <cell r="AT113" t="str">
            <v/>
          </cell>
        </row>
        <row r="114">
          <cell r="AI114" t="str">
            <v>GREELEY, CO</v>
          </cell>
          <cell r="AJ114" t="str">
            <v>Greeley, CO</v>
          </cell>
          <cell r="AK114" t="str">
            <v/>
          </cell>
          <cell r="AL114" t="str">
            <v/>
          </cell>
          <cell r="AM114" t="str">
            <v/>
          </cell>
          <cell r="AN114" t="str">
            <v/>
          </cell>
          <cell r="AO114" t="str">
            <v/>
          </cell>
          <cell r="AP114" t="str">
            <v/>
          </cell>
          <cell r="AQ114" t="str">
            <v/>
          </cell>
          <cell r="AR114" t="str">
            <v/>
          </cell>
          <cell r="AS114" t="str">
            <v/>
          </cell>
          <cell r="AT114" t="str">
            <v/>
          </cell>
        </row>
        <row r="115">
          <cell r="AI115" t="str">
            <v>GREEN BAY, WI</v>
          </cell>
          <cell r="AJ115" t="str">
            <v>Green Bay, WI</v>
          </cell>
          <cell r="AK115" t="str">
            <v/>
          </cell>
          <cell r="AL115" t="str">
            <v/>
          </cell>
          <cell r="AM115" t="str">
            <v/>
          </cell>
          <cell r="AN115" t="str">
            <v/>
          </cell>
          <cell r="AO115" t="str">
            <v/>
          </cell>
          <cell r="AP115" t="str">
            <v/>
          </cell>
          <cell r="AQ115" t="str">
            <v/>
          </cell>
          <cell r="AR115" t="str">
            <v/>
          </cell>
          <cell r="AS115" t="str">
            <v/>
          </cell>
          <cell r="AT115" t="str">
            <v/>
          </cell>
        </row>
        <row r="116">
          <cell r="AI116" t="str">
            <v>GREENSBORO-WINSTON-SALEM-HIGH POINT, NC</v>
          </cell>
          <cell r="AJ116" t="str">
            <v>Greensboro-Winston Salem, NC</v>
          </cell>
          <cell r="AK116" t="str">
            <v>Greensboro, NC</v>
          </cell>
          <cell r="AL116" t="str">
            <v>Top 50</v>
          </cell>
          <cell r="AM116" t="str">
            <v>BS</v>
          </cell>
          <cell r="AN116" t="str">
            <v>Greensboro, NC</v>
          </cell>
          <cell r="AO116" t="str">
            <v/>
          </cell>
          <cell r="AP116" t="str">
            <v/>
          </cell>
          <cell r="AQ116" t="str">
            <v/>
          </cell>
          <cell r="AR116" t="str">
            <v/>
          </cell>
          <cell r="AS116" t="str">
            <v/>
          </cell>
          <cell r="AT116" t="str">
            <v/>
          </cell>
        </row>
        <row r="117">
          <cell r="AI117" t="str">
            <v>GREENVILLE, NC</v>
          </cell>
          <cell r="AJ117" t="str">
            <v>Greenville, NC</v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R117" t="str">
            <v/>
          </cell>
          <cell r="AS117" t="str">
            <v/>
          </cell>
          <cell r="AT117" t="str">
            <v/>
          </cell>
        </row>
        <row r="118">
          <cell r="AI118" t="str">
            <v>GREENVILLE-SPARTANBURG-ANDERSON, SC</v>
          </cell>
          <cell r="AJ118" t="str">
            <v>Greenville-Spartanburg, SC</v>
          </cell>
          <cell r="AK118" t="str">
            <v>Greenville, SC</v>
          </cell>
          <cell r="AL118" t="str">
            <v>Top 110</v>
          </cell>
          <cell r="AM118" t="str">
            <v>BS</v>
          </cell>
          <cell r="AN118" t="str">
            <v/>
          </cell>
          <cell r="AO118" t="str">
            <v/>
          </cell>
          <cell r="AP118" t="str">
            <v/>
          </cell>
          <cell r="AQ118" t="str">
            <v/>
          </cell>
          <cell r="AR118" t="str">
            <v/>
          </cell>
          <cell r="AS118" t="str">
            <v/>
          </cell>
          <cell r="AT118" t="str">
            <v/>
          </cell>
        </row>
        <row r="119">
          <cell r="AI119" t="str">
            <v>HAGERSTOWN, MD</v>
          </cell>
          <cell r="AJ119" t="str">
            <v>Hagerstown, MD</v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 t="str">
            <v/>
          </cell>
        </row>
        <row r="120">
          <cell r="AI120" t="str">
            <v>HAMILTON-MIDDLETOWN, OH</v>
          </cell>
          <cell r="AJ120" t="str">
            <v>Hamilton-Middletown, OH</v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 t="str">
            <v/>
          </cell>
        </row>
        <row r="121">
          <cell r="AI121" t="str">
            <v>HARRISBURG-LEBANON-CARLISLE, PA</v>
          </cell>
          <cell r="AJ121" t="str">
            <v>Harrisburg, PA</v>
          </cell>
          <cell r="AK121" t="str">
            <v>Harrisburg, PA</v>
          </cell>
          <cell r="AL121" t="str">
            <v>Top 110</v>
          </cell>
          <cell r="AM121" t="str">
            <v>BS</v>
          </cell>
          <cell r="AN121" t="str">
            <v/>
          </cell>
          <cell r="AO121" t="str">
            <v/>
          </cell>
          <cell r="AP121" t="str">
            <v/>
          </cell>
          <cell r="AQ121" t="str">
            <v/>
          </cell>
          <cell r="AR121" t="str">
            <v/>
          </cell>
          <cell r="AS121" t="str">
            <v/>
          </cell>
          <cell r="AT121" t="str">
            <v/>
          </cell>
        </row>
        <row r="122">
          <cell r="AI122" t="str">
            <v>HARTFORD, CT</v>
          </cell>
          <cell r="AJ122" t="str">
            <v>Hartford, CT</v>
          </cell>
          <cell r="AK122" t="str">
            <v>Hartford, CT</v>
          </cell>
          <cell r="AL122" t="str">
            <v>Top 50</v>
          </cell>
          <cell r="AM122" t="str">
            <v>BS</v>
          </cell>
          <cell r="AN122" t="str">
            <v/>
          </cell>
          <cell r="AO122" t="str">
            <v/>
          </cell>
          <cell r="AP122" t="str">
            <v/>
          </cell>
          <cell r="AQ122" t="str">
            <v/>
          </cell>
          <cell r="AR122" t="str">
            <v/>
          </cell>
          <cell r="AS122" t="str">
            <v/>
          </cell>
          <cell r="AT122" t="str">
            <v/>
          </cell>
        </row>
        <row r="123">
          <cell r="AI123" t="str">
            <v>HICKORY-MORGANTON, NC</v>
          </cell>
          <cell r="AJ123" t="str">
            <v>Hickory-Morganton, NC</v>
          </cell>
          <cell r="AK123" t="str">
            <v/>
          </cell>
          <cell r="AL123" t="str">
            <v/>
          </cell>
          <cell r="AM123" t="str">
            <v/>
          </cell>
          <cell r="AN123" t="str">
            <v/>
          </cell>
          <cell r="AO123" t="str">
            <v/>
          </cell>
          <cell r="AP123" t="str">
            <v/>
          </cell>
          <cell r="AQ123" t="str">
            <v/>
          </cell>
          <cell r="AR123" t="str">
            <v/>
          </cell>
          <cell r="AS123" t="str">
            <v/>
          </cell>
          <cell r="AT123" t="str">
            <v/>
          </cell>
        </row>
        <row r="124">
          <cell r="AI124" t="str">
            <v>HONOLULU, HI</v>
          </cell>
          <cell r="AJ124" t="str">
            <v>Oahu Island, HI</v>
          </cell>
          <cell r="AK124" t="str">
            <v>Honolulu, HI</v>
          </cell>
          <cell r="AL124" t="str">
            <v>Top 110</v>
          </cell>
          <cell r="AM124" t="str">
            <v>BS</v>
          </cell>
          <cell r="AN124" t="str">
            <v>Honolulu, HI</v>
          </cell>
          <cell r="AO124" t="str">
            <v>Honolulu, HI</v>
          </cell>
          <cell r="AP124" t="str">
            <v/>
          </cell>
          <cell r="AQ124" t="str">
            <v/>
          </cell>
          <cell r="AR124" t="str">
            <v>Oahu Island, HI</v>
          </cell>
          <cell r="AS124" t="str">
            <v/>
          </cell>
          <cell r="AT124" t="str">
            <v/>
          </cell>
        </row>
        <row r="125">
          <cell r="AI125" t="str">
            <v>HOUMA, LA</v>
          </cell>
          <cell r="AJ125" t="str">
            <v>Houma, LA</v>
          </cell>
          <cell r="AK125" t="str">
            <v/>
          </cell>
          <cell r="AL125" t="str">
            <v/>
          </cell>
          <cell r="AM125" t="str">
            <v/>
          </cell>
          <cell r="AN125" t="str">
            <v/>
          </cell>
          <cell r="AO125" t="str">
            <v/>
          </cell>
          <cell r="AP125" t="str">
            <v/>
          </cell>
          <cell r="AQ125" t="str">
            <v/>
          </cell>
          <cell r="AR125" t="str">
            <v/>
          </cell>
          <cell r="AS125" t="str">
            <v/>
          </cell>
          <cell r="AT125" t="str">
            <v/>
          </cell>
        </row>
        <row r="126">
          <cell r="AI126" t="str">
            <v>HOUSTON, TX</v>
          </cell>
          <cell r="AJ126" t="str">
            <v>Houston, TX</v>
          </cell>
          <cell r="AK126" t="str">
            <v>Houston, TX</v>
          </cell>
          <cell r="AL126" t="str">
            <v>Top 25</v>
          </cell>
          <cell r="AM126" t="str">
            <v>BS</v>
          </cell>
          <cell r="AN126" t="str">
            <v>Houston, TX</v>
          </cell>
          <cell r="AO126" t="str">
            <v>Houston, TX</v>
          </cell>
          <cell r="AP126" t="str">
            <v>HOUSTON, TX</v>
          </cell>
          <cell r="AQ126" t="str">
            <v>Houston, TX</v>
          </cell>
          <cell r="AR126" t="str">
            <v>Houston, TX</v>
          </cell>
          <cell r="AS126" t="str">
            <v>Houston, TX</v>
          </cell>
          <cell r="AT126" t="str">
            <v/>
          </cell>
        </row>
        <row r="127">
          <cell r="AI127" t="str">
            <v>HUNTINGTON-ASHLAND, WV-KY-OH</v>
          </cell>
          <cell r="AJ127" t="str">
            <v>Huntington-Ashland, WV-KY-OH</v>
          </cell>
          <cell r="AK127" t="str">
            <v/>
          </cell>
          <cell r="AL127" t="str">
            <v/>
          </cell>
          <cell r="AM127" t="str">
            <v/>
          </cell>
          <cell r="AN127" t="str">
            <v/>
          </cell>
          <cell r="AO127" t="str">
            <v/>
          </cell>
          <cell r="AP127" t="str">
            <v/>
          </cell>
          <cell r="AQ127" t="str">
            <v/>
          </cell>
          <cell r="AR127" t="str">
            <v/>
          </cell>
          <cell r="AS127" t="str">
            <v/>
          </cell>
          <cell r="AT127" t="str">
            <v/>
          </cell>
        </row>
        <row r="128">
          <cell r="AI128" t="str">
            <v>HUNTSVILLE, AL</v>
          </cell>
          <cell r="AJ128" t="str">
            <v>Huntsville, AL</v>
          </cell>
          <cell r="AK128" t="str">
            <v/>
          </cell>
          <cell r="AL128" t="str">
            <v/>
          </cell>
          <cell r="AM128" t="str">
            <v/>
          </cell>
          <cell r="AN128" t="str">
            <v/>
          </cell>
          <cell r="AO128" t="str">
            <v/>
          </cell>
          <cell r="AP128" t="str">
            <v/>
          </cell>
          <cell r="AQ128" t="str">
            <v/>
          </cell>
          <cell r="AR128" t="str">
            <v/>
          </cell>
          <cell r="AS128" t="str">
            <v/>
          </cell>
          <cell r="AT128" t="str">
            <v/>
          </cell>
        </row>
        <row r="129">
          <cell r="AI129" t="str">
            <v>INDIANAPOLIS, IN</v>
          </cell>
          <cell r="AJ129" t="str">
            <v>Indianapolis, IN</v>
          </cell>
          <cell r="AK129" t="str">
            <v>Indianapolis, IN</v>
          </cell>
          <cell r="AL129" t="str">
            <v>Top 50</v>
          </cell>
          <cell r="AM129" t="str">
            <v>BS</v>
          </cell>
          <cell r="AN129" t="str">
            <v>Indianapolis, IN</v>
          </cell>
          <cell r="AO129" t="str">
            <v/>
          </cell>
          <cell r="AP129" t="str">
            <v/>
          </cell>
          <cell r="AQ129" t="str">
            <v/>
          </cell>
          <cell r="AR129" t="str">
            <v/>
          </cell>
          <cell r="AS129" t="str">
            <v/>
          </cell>
          <cell r="AT129" t="str">
            <v/>
          </cell>
        </row>
        <row r="130">
          <cell r="AI130" t="str">
            <v>IOWA CITY, IA</v>
          </cell>
          <cell r="AJ130" t="str">
            <v>Iowa City, IA</v>
          </cell>
          <cell r="AK130" t="str">
            <v/>
          </cell>
          <cell r="AL130" t="str">
            <v/>
          </cell>
          <cell r="AM130" t="str">
            <v/>
          </cell>
          <cell r="AN130" t="str">
            <v/>
          </cell>
          <cell r="AO130" t="str">
            <v/>
          </cell>
          <cell r="AP130" t="str">
            <v/>
          </cell>
          <cell r="AQ130" t="str">
            <v/>
          </cell>
          <cell r="AR130" t="str">
            <v/>
          </cell>
          <cell r="AS130" t="str">
            <v/>
          </cell>
          <cell r="AT130" t="str">
            <v/>
          </cell>
        </row>
        <row r="131">
          <cell r="AI131" t="str">
            <v>JACKSON, MI</v>
          </cell>
          <cell r="AJ131" t="str">
            <v>Jackson, MI</v>
          </cell>
          <cell r="AK131" t="str">
            <v/>
          </cell>
          <cell r="AL131" t="str">
            <v/>
          </cell>
          <cell r="AM131" t="str">
            <v/>
          </cell>
          <cell r="AN131" t="str">
            <v/>
          </cell>
          <cell r="AO131" t="str">
            <v/>
          </cell>
          <cell r="AP131" t="str">
            <v/>
          </cell>
          <cell r="AQ131" t="str">
            <v/>
          </cell>
          <cell r="AR131" t="str">
            <v/>
          </cell>
          <cell r="AS131" t="str">
            <v/>
          </cell>
          <cell r="AT131" t="str">
            <v/>
          </cell>
        </row>
        <row r="132">
          <cell r="AI132" t="str">
            <v>JACKSON, MS</v>
          </cell>
          <cell r="AJ132" t="str">
            <v>Jackson, MS</v>
          </cell>
          <cell r="AK132" t="str">
            <v>Jackson, MS</v>
          </cell>
          <cell r="AL132" t="str">
            <v>Top 110</v>
          </cell>
          <cell r="AM132" t="str">
            <v>BS</v>
          </cell>
          <cell r="AN132" t="str">
            <v/>
          </cell>
          <cell r="AO132" t="str">
            <v/>
          </cell>
          <cell r="AP132" t="str">
            <v/>
          </cell>
          <cell r="AQ132" t="str">
            <v/>
          </cell>
          <cell r="AR132" t="str">
            <v/>
          </cell>
          <cell r="AS132" t="str">
            <v/>
          </cell>
          <cell r="AT132" t="str">
            <v/>
          </cell>
        </row>
        <row r="133">
          <cell r="AI133" t="str">
            <v>JACKSON, TN</v>
          </cell>
          <cell r="AJ133" t="str">
            <v>Jackson, TN</v>
          </cell>
          <cell r="AK133" t="str">
            <v/>
          </cell>
          <cell r="AL133" t="str">
            <v/>
          </cell>
          <cell r="AM133" t="str">
            <v/>
          </cell>
          <cell r="AN133" t="str">
            <v/>
          </cell>
          <cell r="AO133" t="str">
            <v/>
          </cell>
          <cell r="AP133" t="str">
            <v/>
          </cell>
          <cell r="AQ133" t="str">
            <v/>
          </cell>
          <cell r="AR133" t="str">
            <v/>
          </cell>
          <cell r="AS133" t="str">
            <v/>
          </cell>
          <cell r="AT133" t="str">
            <v/>
          </cell>
        </row>
        <row r="134">
          <cell r="AI134" t="str">
            <v>JACKSONVILLE, FL</v>
          </cell>
          <cell r="AJ134" t="str">
            <v>Jacksonville, FL</v>
          </cell>
          <cell r="AK134" t="str">
            <v>Jacksonville, FL</v>
          </cell>
          <cell r="AL134" t="str">
            <v>Top 110</v>
          </cell>
          <cell r="AM134" t="str">
            <v>BS</v>
          </cell>
          <cell r="AN134" t="str">
            <v>Jacksonville, FL</v>
          </cell>
          <cell r="AO134" t="str">
            <v/>
          </cell>
          <cell r="AP134" t="str">
            <v/>
          </cell>
          <cell r="AQ134" t="str">
            <v>Jacksonville, FL</v>
          </cell>
          <cell r="AR134" t="str">
            <v/>
          </cell>
          <cell r="AS134" t="str">
            <v/>
          </cell>
          <cell r="AT134" t="str">
            <v/>
          </cell>
        </row>
        <row r="135">
          <cell r="AI135" t="str">
            <v>JACKSONVILLE, NC</v>
          </cell>
          <cell r="AJ135" t="str">
            <v>Jacksonville, NC</v>
          </cell>
          <cell r="AK135" t="str">
            <v/>
          </cell>
          <cell r="AL135" t="str">
            <v/>
          </cell>
          <cell r="AM135" t="str">
            <v/>
          </cell>
          <cell r="AN135" t="str">
            <v/>
          </cell>
          <cell r="AO135" t="str">
            <v/>
          </cell>
          <cell r="AP135" t="str">
            <v/>
          </cell>
          <cell r="AQ135" t="str">
            <v/>
          </cell>
          <cell r="AR135" t="str">
            <v/>
          </cell>
          <cell r="AS135" t="str">
            <v/>
          </cell>
          <cell r="AT135" t="str">
            <v/>
          </cell>
        </row>
        <row r="136">
          <cell r="AI136" t="str">
            <v>JAMESTOWN, NY</v>
          </cell>
          <cell r="AJ136" t="str">
            <v>Jamestown, NY</v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</row>
        <row r="137">
          <cell r="AI137" t="str">
            <v>JANESVILLE-BELOIT, WI</v>
          </cell>
          <cell r="AJ137" t="str">
            <v>Janesville-Beloit, WI</v>
          </cell>
          <cell r="AK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R137" t="str">
            <v/>
          </cell>
          <cell r="AS137" t="str">
            <v/>
          </cell>
          <cell r="AT137" t="str">
            <v/>
          </cell>
        </row>
        <row r="138">
          <cell r="AI138" t="str">
            <v>JERSEY CITY, NJ</v>
          </cell>
          <cell r="AJ138" t="str">
            <v>Jersey City, NJ</v>
          </cell>
          <cell r="AK138" t="str">
            <v>Jersey City, NJ</v>
          </cell>
          <cell r="AL138" t="str">
            <v>Top 110</v>
          </cell>
          <cell r="AM138" t="str">
            <v/>
          </cell>
          <cell r="AN138" t="str">
            <v/>
          </cell>
          <cell r="AO138" t="str">
            <v>New York Suburban</v>
          </cell>
          <cell r="AP138" t="str">
            <v/>
          </cell>
          <cell r="AQ138" t="str">
            <v/>
          </cell>
          <cell r="AR138" t="str">
            <v/>
          </cell>
          <cell r="AS138" t="str">
            <v/>
          </cell>
          <cell r="AT138" t="str">
            <v/>
          </cell>
        </row>
        <row r="139">
          <cell r="AI139" t="str">
            <v>JOHNSON CITY-KINGSPORT- BRISTOL, TN-VA</v>
          </cell>
          <cell r="AJ139" t="str">
            <v>Johnson City-Kingsport-Bristol, TN-VA</v>
          </cell>
          <cell r="AK139" t="str">
            <v/>
          </cell>
          <cell r="AL139" t="str">
            <v/>
          </cell>
          <cell r="AM139" t="str">
            <v/>
          </cell>
          <cell r="AN139" t="str">
            <v/>
          </cell>
          <cell r="AO139" t="str">
            <v/>
          </cell>
          <cell r="AP139" t="str">
            <v/>
          </cell>
          <cell r="AQ139" t="str">
            <v/>
          </cell>
          <cell r="AR139" t="str">
            <v/>
          </cell>
          <cell r="AS139" t="str">
            <v/>
          </cell>
          <cell r="AT139" t="str">
            <v/>
          </cell>
        </row>
        <row r="140">
          <cell r="AI140" t="str">
            <v>JOPLIN, MO</v>
          </cell>
          <cell r="AJ140" t="str">
            <v>Joplin, MO</v>
          </cell>
          <cell r="AK140" t="str">
            <v/>
          </cell>
          <cell r="AL140" t="str">
            <v/>
          </cell>
          <cell r="AM140" t="str">
            <v/>
          </cell>
          <cell r="AN140" t="str">
            <v/>
          </cell>
          <cell r="AO140" t="str">
            <v/>
          </cell>
          <cell r="AP140" t="str">
            <v/>
          </cell>
          <cell r="AQ140" t="str">
            <v/>
          </cell>
          <cell r="AR140" t="str">
            <v/>
          </cell>
          <cell r="AS140" t="str">
            <v/>
          </cell>
          <cell r="AT140" t="str">
            <v/>
          </cell>
        </row>
        <row r="141">
          <cell r="AI141" t="str">
            <v>KALAMAZOO-BATTLE CREEK, MI</v>
          </cell>
          <cell r="AJ141" t="str">
            <v>Kalamazoo-Battle Creek, MI</v>
          </cell>
          <cell r="AK141" t="str">
            <v/>
          </cell>
          <cell r="AL141" t="str">
            <v/>
          </cell>
          <cell r="AM141" t="str">
            <v/>
          </cell>
          <cell r="AN141" t="str">
            <v/>
          </cell>
          <cell r="AO141" t="str">
            <v/>
          </cell>
          <cell r="AP141" t="str">
            <v/>
          </cell>
          <cell r="AQ141" t="str">
            <v/>
          </cell>
          <cell r="AR141" t="str">
            <v/>
          </cell>
          <cell r="AS141" t="str">
            <v/>
          </cell>
          <cell r="AT141" t="str">
            <v/>
          </cell>
        </row>
        <row r="142">
          <cell r="AI142" t="str">
            <v>KANSAS CITY, MO-KS</v>
          </cell>
          <cell r="AJ142" t="str">
            <v>Kansas City, MO-KS</v>
          </cell>
          <cell r="AK142" t="str">
            <v>Kansas City, MO</v>
          </cell>
          <cell r="AL142" t="str">
            <v>Top 50</v>
          </cell>
          <cell r="AM142" t="str">
            <v>BS</v>
          </cell>
          <cell r="AN142" t="str">
            <v>Kansas City, MO</v>
          </cell>
          <cell r="AO142" t="str">
            <v/>
          </cell>
          <cell r="AP142" t="str">
            <v/>
          </cell>
          <cell r="AQ142" t="str">
            <v>Kansas City, MO</v>
          </cell>
          <cell r="AR142" t="str">
            <v/>
          </cell>
          <cell r="AS142" t="str">
            <v/>
          </cell>
          <cell r="AT142" t="str">
            <v/>
          </cell>
        </row>
        <row r="143">
          <cell r="AI143" t="str">
            <v>KENOSHA, WI</v>
          </cell>
          <cell r="AJ143" t="str">
            <v>Kenosha, WI</v>
          </cell>
          <cell r="AK143" t="str">
            <v/>
          </cell>
          <cell r="AL143" t="str">
            <v/>
          </cell>
          <cell r="AM143" t="str">
            <v/>
          </cell>
          <cell r="AN143" t="str">
            <v/>
          </cell>
          <cell r="AO143" t="str">
            <v/>
          </cell>
          <cell r="AP143" t="str">
            <v/>
          </cell>
          <cell r="AQ143" t="str">
            <v/>
          </cell>
          <cell r="AR143" t="str">
            <v/>
          </cell>
          <cell r="AS143" t="str">
            <v/>
          </cell>
          <cell r="AT143" t="str">
            <v/>
          </cell>
        </row>
        <row r="144">
          <cell r="AI144" t="str">
            <v>KEY WEST, FL</v>
          </cell>
          <cell r="AJ144" t="str">
            <v>Key West, FL</v>
          </cell>
          <cell r="AK144" t="str">
            <v/>
          </cell>
          <cell r="AL144" t="str">
            <v/>
          </cell>
          <cell r="AM144" t="str">
            <v>BS</v>
          </cell>
          <cell r="AN144" t="str">
            <v/>
          </cell>
          <cell r="AO144" t="str">
            <v/>
          </cell>
          <cell r="AP144" t="str">
            <v/>
          </cell>
          <cell r="AQ144" t="str">
            <v/>
          </cell>
          <cell r="AR144" t="str">
            <v/>
          </cell>
          <cell r="AS144" t="str">
            <v/>
          </cell>
          <cell r="AT144" t="str">
            <v/>
          </cell>
        </row>
        <row r="145">
          <cell r="AI145" t="str">
            <v>KILLEEN-TEMPLE, TX</v>
          </cell>
          <cell r="AJ145" t="str">
            <v>Killeen-Temple, TX</v>
          </cell>
          <cell r="AK145" t="str">
            <v/>
          </cell>
          <cell r="AL145" t="str">
            <v/>
          </cell>
          <cell r="AM145" t="str">
            <v/>
          </cell>
          <cell r="AN145" t="str">
            <v/>
          </cell>
          <cell r="AO145" t="str">
            <v/>
          </cell>
          <cell r="AP145" t="str">
            <v/>
          </cell>
          <cell r="AQ145" t="str">
            <v/>
          </cell>
          <cell r="AR145" t="str">
            <v/>
          </cell>
          <cell r="AS145" t="str">
            <v/>
          </cell>
          <cell r="AT145" t="str">
            <v/>
          </cell>
        </row>
        <row r="146">
          <cell r="AI146" t="str">
            <v>KNOXVILLE, TN</v>
          </cell>
          <cell r="AJ146" t="str">
            <v>Knoxville, TN</v>
          </cell>
          <cell r="AK146" t="str">
            <v>Knoxville, TN</v>
          </cell>
          <cell r="AL146" t="str">
            <v>Top 110</v>
          </cell>
          <cell r="AM146" t="str">
            <v>BS</v>
          </cell>
          <cell r="AN146" t="str">
            <v/>
          </cell>
          <cell r="AO146" t="str">
            <v/>
          </cell>
          <cell r="AP146" t="str">
            <v/>
          </cell>
          <cell r="AQ146" t="str">
            <v/>
          </cell>
          <cell r="AR146" t="str">
            <v/>
          </cell>
          <cell r="AS146" t="str">
            <v/>
          </cell>
          <cell r="AT146" t="str">
            <v/>
          </cell>
        </row>
        <row r="147">
          <cell r="AI147" t="str">
            <v>KOKOMO, IN</v>
          </cell>
          <cell r="AJ147" t="str">
            <v>Kokomo, IN</v>
          </cell>
          <cell r="AK147" t="str">
            <v/>
          </cell>
          <cell r="AL147" t="str">
            <v/>
          </cell>
          <cell r="AM147" t="str">
            <v/>
          </cell>
          <cell r="AN147" t="str">
            <v/>
          </cell>
          <cell r="AO147" t="str">
            <v/>
          </cell>
          <cell r="AP147" t="str">
            <v/>
          </cell>
          <cell r="AQ147" t="str">
            <v/>
          </cell>
          <cell r="AR147" t="str">
            <v/>
          </cell>
          <cell r="AS147" t="str">
            <v/>
          </cell>
          <cell r="AT147" t="str">
            <v/>
          </cell>
        </row>
        <row r="148">
          <cell r="AI148" t="str">
            <v>LA CROSSE, WI-MN</v>
          </cell>
          <cell r="AJ148" t="str">
            <v>La Crosse, WI-MN</v>
          </cell>
          <cell r="AK148" t="str">
            <v/>
          </cell>
          <cell r="AL148" t="str">
            <v/>
          </cell>
          <cell r="AM148" t="str">
            <v/>
          </cell>
          <cell r="AN148" t="str">
            <v/>
          </cell>
          <cell r="AO148" t="str">
            <v/>
          </cell>
          <cell r="AP148" t="str">
            <v/>
          </cell>
          <cell r="AQ148" t="str">
            <v/>
          </cell>
          <cell r="AR148" t="str">
            <v/>
          </cell>
          <cell r="AS148" t="str">
            <v/>
          </cell>
          <cell r="AT148" t="str">
            <v/>
          </cell>
        </row>
        <row r="149">
          <cell r="AI149" t="str">
            <v>LAFAYETTE, IN</v>
          </cell>
          <cell r="AJ149" t="str">
            <v>Lafayette, IN</v>
          </cell>
          <cell r="AK149" t="str">
            <v/>
          </cell>
          <cell r="AL149" t="str">
            <v/>
          </cell>
          <cell r="AM149" t="str">
            <v/>
          </cell>
          <cell r="AN149" t="str">
            <v/>
          </cell>
          <cell r="AO149" t="str">
            <v/>
          </cell>
          <cell r="AP149" t="str">
            <v/>
          </cell>
          <cell r="AQ149" t="str">
            <v/>
          </cell>
          <cell r="AR149" t="str">
            <v/>
          </cell>
          <cell r="AS149" t="str">
            <v/>
          </cell>
          <cell r="AT149" t="str">
            <v/>
          </cell>
        </row>
        <row r="150">
          <cell r="AI150" t="str">
            <v>LAFAYETTE, LA</v>
          </cell>
          <cell r="AJ150" t="str">
            <v>Lafayette, LA</v>
          </cell>
          <cell r="AK150" t="str">
            <v/>
          </cell>
          <cell r="AL150" t="str">
            <v/>
          </cell>
          <cell r="AM150" t="str">
            <v/>
          </cell>
          <cell r="AN150" t="str">
            <v/>
          </cell>
          <cell r="AO150" t="str">
            <v/>
          </cell>
          <cell r="AP150" t="str">
            <v/>
          </cell>
          <cell r="AQ150" t="str">
            <v/>
          </cell>
          <cell r="AR150" t="str">
            <v/>
          </cell>
          <cell r="AS150" t="str">
            <v/>
          </cell>
          <cell r="AT150" t="str">
            <v/>
          </cell>
        </row>
        <row r="151">
          <cell r="AI151" t="str">
            <v>LAKE CHARLES, LA</v>
          </cell>
          <cell r="AJ151" t="str">
            <v>Lake Charles, LA</v>
          </cell>
          <cell r="AK151" t="str">
            <v/>
          </cell>
          <cell r="AL151" t="str">
            <v/>
          </cell>
          <cell r="AM151" t="str">
            <v/>
          </cell>
          <cell r="AN151" t="str">
            <v/>
          </cell>
          <cell r="AO151" t="str">
            <v/>
          </cell>
          <cell r="AP151" t="str">
            <v/>
          </cell>
          <cell r="AQ151" t="str">
            <v/>
          </cell>
          <cell r="AR151" t="str">
            <v/>
          </cell>
          <cell r="AS151" t="str">
            <v/>
          </cell>
          <cell r="AT151" t="str">
            <v/>
          </cell>
        </row>
        <row r="152">
          <cell r="AI152" t="str">
            <v>LAKELAND-WINTER HAVEN, FL</v>
          </cell>
          <cell r="AJ152" t="str">
            <v>Lakeland-Winter Haven, FL</v>
          </cell>
          <cell r="AK152" t="str">
            <v/>
          </cell>
          <cell r="AL152" t="str">
            <v/>
          </cell>
          <cell r="AM152" t="str">
            <v/>
          </cell>
          <cell r="AN152" t="str">
            <v/>
          </cell>
          <cell r="AO152" t="str">
            <v/>
          </cell>
          <cell r="AP152" t="str">
            <v/>
          </cell>
          <cell r="AQ152" t="str">
            <v/>
          </cell>
          <cell r="AR152" t="str">
            <v/>
          </cell>
          <cell r="AS152" t="str">
            <v/>
          </cell>
          <cell r="AT152" t="str">
            <v/>
          </cell>
        </row>
        <row r="153">
          <cell r="AI153" t="str">
            <v>LANCASTER, PA</v>
          </cell>
          <cell r="AJ153" t="str">
            <v>Lancaster, PA</v>
          </cell>
          <cell r="AK153" t="str">
            <v/>
          </cell>
          <cell r="AL153" t="str">
            <v/>
          </cell>
          <cell r="AM153" t="str">
            <v/>
          </cell>
          <cell r="AN153" t="str">
            <v/>
          </cell>
          <cell r="AO153" t="str">
            <v/>
          </cell>
          <cell r="AP153" t="str">
            <v/>
          </cell>
          <cell r="AQ153" t="str">
            <v/>
          </cell>
          <cell r="AR153" t="str">
            <v/>
          </cell>
          <cell r="AS153" t="str">
            <v/>
          </cell>
          <cell r="AT153" t="str">
            <v/>
          </cell>
        </row>
        <row r="154">
          <cell r="AI154" t="str">
            <v>LANSING-EAST LANSING, MI</v>
          </cell>
          <cell r="AJ154" t="str">
            <v>Lansing-East Lansing, MI</v>
          </cell>
          <cell r="AK154" t="str">
            <v/>
          </cell>
          <cell r="AL154" t="str">
            <v/>
          </cell>
          <cell r="AM154" t="str">
            <v/>
          </cell>
          <cell r="AN154" t="str">
            <v/>
          </cell>
          <cell r="AO154" t="str">
            <v/>
          </cell>
          <cell r="AP154" t="str">
            <v/>
          </cell>
          <cell r="AQ154" t="str">
            <v/>
          </cell>
          <cell r="AR154" t="str">
            <v/>
          </cell>
          <cell r="AS154" t="str">
            <v/>
          </cell>
          <cell r="AT154" t="str">
            <v/>
          </cell>
        </row>
        <row r="155">
          <cell r="AI155" t="str">
            <v>LAREDO, TX</v>
          </cell>
          <cell r="AJ155" t="str">
            <v>Laredo, TX</v>
          </cell>
          <cell r="AK155" t="str">
            <v/>
          </cell>
          <cell r="AL155" t="str">
            <v/>
          </cell>
          <cell r="AM155" t="str">
            <v/>
          </cell>
          <cell r="AN155" t="str">
            <v/>
          </cell>
          <cell r="AO155" t="str">
            <v/>
          </cell>
          <cell r="AP155" t="str">
            <v/>
          </cell>
          <cell r="AQ155" t="str">
            <v/>
          </cell>
          <cell r="AR155" t="str">
            <v/>
          </cell>
          <cell r="AS155" t="str">
            <v/>
          </cell>
          <cell r="AT155" t="str">
            <v/>
          </cell>
        </row>
        <row r="156">
          <cell r="AI156" t="str">
            <v>LAS CRUCES, NM</v>
          </cell>
          <cell r="AJ156" t="str">
            <v>Las Cruces, NM</v>
          </cell>
          <cell r="AK156" t="str">
            <v/>
          </cell>
          <cell r="AL156" t="str">
            <v/>
          </cell>
          <cell r="AM156" t="str">
            <v/>
          </cell>
          <cell r="AN156" t="str">
            <v/>
          </cell>
          <cell r="AO156" t="str">
            <v/>
          </cell>
          <cell r="AP156" t="str">
            <v/>
          </cell>
          <cell r="AQ156" t="str">
            <v/>
          </cell>
          <cell r="AR156" t="str">
            <v/>
          </cell>
          <cell r="AS156" t="str">
            <v/>
          </cell>
          <cell r="AT156" t="str">
            <v/>
          </cell>
        </row>
        <row r="157">
          <cell r="AI157" t="str">
            <v>LAS VEGAS, NV-AZ</v>
          </cell>
          <cell r="AJ157" t="str">
            <v>Las Vegas, NV</v>
          </cell>
          <cell r="AK157" t="str">
            <v>Las Vegas, NV</v>
          </cell>
          <cell r="AL157" t="str">
            <v>Top 50</v>
          </cell>
          <cell r="AM157" t="str">
            <v>BS</v>
          </cell>
          <cell r="AN157" t="str">
            <v/>
          </cell>
          <cell r="AO157" t="str">
            <v>Las Vegas, NV</v>
          </cell>
          <cell r="AP157" t="str">
            <v/>
          </cell>
          <cell r="AQ157" t="str">
            <v>Las Vegas, NV</v>
          </cell>
          <cell r="AR157" t="str">
            <v/>
          </cell>
          <cell r="AS157" t="str">
            <v>Las Vegas, NV</v>
          </cell>
          <cell r="AT157" t="str">
            <v/>
          </cell>
        </row>
        <row r="158">
          <cell r="AI158" t="str">
            <v>LAWRENCE, KS</v>
          </cell>
          <cell r="AJ158" t="str">
            <v>Lawrence, KS</v>
          </cell>
          <cell r="AK158" t="str">
            <v/>
          </cell>
          <cell r="AL158" t="str">
            <v/>
          </cell>
          <cell r="AM158" t="str">
            <v/>
          </cell>
          <cell r="AN158" t="str">
            <v/>
          </cell>
          <cell r="AO158" t="str">
            <v/>
          </cell>
          <cell r="AP158" t="str">
            <v/>
          </cell>
          <cell r="AQ158" t="str">
            <v/>
          </cell>
          <cell r="AR158" t="str">
            <v/>
          </cell>
          <cell r="AS158" t="str">
            <v/>
          </cell>
          <cell r="AT158" t="str">
            <v/>
          </cell>
        </row>
        <row r="159">
          <cell r="AI159" t="str">
            <v>LAWRENCE, MA-NH</v>
          </cell>
          <cell r="AJ159" t="str">
            <v>Lawrence, MA-NH</v>
          </cell>
          <cell r="AK159" t="str">
            <v/>
          </cell>
          <cell r="AL159" t="str">
            <v/>
          </cell>
          <cell r="AM159" t="str">
            <v/>
          </cell>
          <cell r="AN159" t="str">
            <v/>
          </cell>
          <cell r="AO159" t="str">
            <v/>
          </cell>
          <cell r="AP159" t="str">
            <v/>
          </cell>
          <cell r="AQ159" t="str">
            <v/>
          </cell>
          <cell r="AR159" t="str">
            <v/>
          </cell>
          <cell r="AS159" t="str">
            <v/>
          </cell>
          <cell r="AT159" t="str">
            <v/>
          </cell>
        </row>
        <row r="160">
          <cell r="AI160" t="str">
            <v>LAWTON, OK</v>
          </cell>
          <cell r="AJ160" t="str">
            <v>Lawton, OK</v>
          </cell>
          <cell r="AK160" t="str">
            <v/>
          </cell>
          <cell r="AL160" t="str">
            <v/>
          </cell>
          <cell r="AM160" t="str">
            <v/>
          </cell>
          <cell r="AN160" t="str">
            <v/>
          </cell>
          <cell r="AO160" t="str">
            <v/>
          </cell>
          <cell r="AP160" t="str">
            <v/>
          </cell>
          <cell r="AQ160" t="str">
            <v/>
          </cell>
          <cell r="AR160" t="str">
            <v/>
          </cell>
          <cell r="AS160" t="str">
            <v/>
          </cell>
          <cell r="AT160" t="str">
            <v/>
          </cell>
        </row>
        <row r="161">
          <cell r="AI161" t="str">
            <v>LEWISTON-AUBURN, ME</v>
          </cell>
          <cell r="AJ161" t="str">
            <v>Lewiston-Auburn, ME</v>
          </cell>
          <cell r="AK161" t="str">
            <v/>
          </cell>
          <cell r="AL161" t="str">
            <v/>
          </cell>
          <cell r="AM161" t="str">
            <v/>
          </cell>
          <cell r="AN161" t="str">
            <v/>
          </cell>
          <cell r="AO161" t="str">
            <v/>
          </cell>
          <cell r="AP161" t="str">
            <v/>
          </cell>
          <cell r="AQ161" t="str">
            <v/>
          </cell>
          <cell r="AR161" t="str">
            <v/>
          </cell>
          <cell r="AS161" t="str">
            <v/>
          </cell>
          <cell r="AT161" t="str">
            <v/>
          </cell>
        </row>
        <row r="162">
          <cell r="AI162" t="str">
            <v>LEXINGTON, KY</v>
          </cell>
          <cell r="AJ162" t="str">
            <v>Lexington, KY</v>
          </cell>
          <cell r="AK162" t="str">
            <v/>
          </cell>
          <cell r="AL162" t="str">
            <v/>
          </cell>
          <cell r="AM162" t="str">
            <v/>
          </cell>
          <cell r="AN162" t="str">
            <v/>
          </cell>
          <cell r="AO162" t="str">
            <v/>
          </cell>
          <cell r="AP162" t="str">
            <v/>
          </cell>
          <cell r="AQ162" t="str">
            <v/>
          </cell>
          <cell r="AR162" t="str">
            <v/>
          </cell>
          <cell r="AS162" t="str">
            <v/>
          </cell>
          <cell r="AT162" t="str">
            <v/>
          </cell>
        </row>
        <row r="163">
          <cell r="AI163" t="str">
            <v>LIMA, OH</v>
          </cell>
          <cell r="AJ163" t="str">
            <v>Lima, OH</v>
          </cell>
          <cell r="AK163" t="str">
            <v/>
          </cell>
          <cell r="AL163" t="str">
            <v/>
          </cell>
          <cell r="AM163" t="str">
            <v/>
          </cell>
          <cell r="AN163" t="str">
            <v/>
          </cell>
          <cell r="AO163" t="str">
            <v/>
          </cell>
          <cell r="AP163" t="str">
            <v/>
          </cell>
          <cell r="AQ163" t="str">
            <v/>
          </cell>
          <cell r="AR163" t="str">
            <v/>
          </cell>
          <cell r="AS163" t="str">
            <v/>
          </cell>
          <cell r="AT163" t="str">
            <v/>
          </cell>
        </row>
        <row r="164">
          <cell r="AI164" t="str">
            <v>LINCOLN, NE</v>
          </cell>
          <cell r="AJ164" t="str">
            <v>Lincoln, NE</v>
          </cell>
          <cell r="AK164" t="str">
            <v/>
          </cell>
          <cell r="AL164" t="str">
            <v/>
          </cell>
          <cell r="AM164" t="str">
            <v/>
          </cell>
          <cell r="AN164" t="str">
            <v/>
          </cell>
          <cell r="AO164" t="str">
            <v/>
          </cell>
          <cell r="AP164" t="str">
            <v/>
          </cell>
          <cell r="AQ164" t="str">
            <v/>
          </cell>
          <cell r="AR164" t="str">
            <v/>
          </cell>
          <cell r="AS164" t="str">
            <v/>
          </cell>
          <cell r="AT164" t="str">
            <v/>
          </cell>
        </row>
        <row r="165">
          <cell r="AI165" t="str">
            <v>LITTLE ROCK-NORTH LITTLE ROCK, AR</v>
          </cell>
          <cell r="AJ165" t="str">
            <v>Little Rock, AR</v>
          </cell>
          <cell r="AK165" t="str">
            <v>Little Rock, AR</v>
          </cell>
          <cell r="AL165" t="str">
            <v>Top 110</v>
          </cell>
          <cell r="AM165" t="str">
            <v>BS</v>
          </cell>
          <cell r="AN165" t="str">
            <v/>
          </cell>
          <cell r="AO165" t="str">
            <v/>
          </cell>
          <cell r="AP165" t="str">
            <v/>
          </cell>
          <cell r="AQ165" t="str">
            <v/>
          </cell>
          <cell r="AR165" t="str">
            <v/>
          </cell>
          <cell r="AS165" t="str">
            <v/>
          </cell>
          <cell r="AT165" t="str">
            <v/>
          </cell>
        </row>
        <row r="166">
          <cell r="AI166" t="str">
            <v>LONGVIEW-MARSHALL, TX</v>
          </cell>
          <cell r="AJ166" t="str">
            <v>Longview-Marshall, TX</v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/>
          </cell>
          <cell r="AQ166" t="str">
            <v/>
          </cell>
          <cell r="AR166" t="str">
            <v/>
          </cell>
          <cell r="AS166" t="str">
            <v/>
          </cell>
          <cell r="AT166" t="str">
            <v/>
          </cell>
        </row>
        <row r="167">
          <cell r="AI167" t="str">
            <v>LOS ANGELES-LONG BEACH, CA</v>
          </cell>
          <cell r="AJ167" t="str">
            <v>Los Angeles-Long Beach, CA</v>
          </cell>
          <cell r="AK167" t="str">
            <v>Los Angeles, CA</v>
          </cell>
          <cell r="AL167" t="str">
            <v>Top 25</v>
          </cell>
          <cell r="AM167" t="str">
            <v>BS</v>
          </cell>
          <cell r="AN167" t="str">
            <v>Los Angeles, CA</v>
          </cell>
          <cell r="AO167" t="str">
            <v>Los Angeles, CA</v>
          </cell>
          <cell r="AP167" t="str">
            <v>LOS ANGELES, CA</v>
          </cell>
          <cell r="AQ167" t="str">
            <v>Los Angeles, CA</v>
          </cell>
          <cell r="AR167" t="str">
            <v>Los Angeles, CA</v>
          </cell>
          <cell r="AS167" t="str">
            <v>Los Angeles, CA</v>
          </cell>
          <cell r="AT167" t="str">
            <v/>
          </cell>
        </row>
        <row r="168">
          <cell r="AI168" t="str">
            <v>LOUISVILLE, KY-IN</v>
          </cell>
          <cell r="AJ168" t="str">
            <v>Louisville, KY-IN</v>
          </cell>
          <cell r="AK168" t="str">
            <v>Louisville, KY</v>
          </cell>
          <cell r="AL168" t="str">
            <v>Top 110</v>
          </cell>
          <cell r="AM168" t="str">
            <v>BS</v>
          </cell>
          <cell r="AN168" t="str">
            <v/>
          </cell>
          <cell r="AO168" t="str">
            <v/>
          </cell>
          <cell r="AP168" t="str">
            <v/>
          </cell>
          <cell r="AQ168" t="str">
            <v/>
          </cell>
          <cell r="AR168" t="str">
            <v/>
          </cell>
          <cell r="AS168" t="str">
            <v/>
          </cell>
          <cell r="AT168" t="str">
            <v/>
          </cell>
        </row>
        <row r="169">
          <cell r="AI169" t="str">
            <v>LOWELL, MA-NH</v>
          </cell>
          <cell r="AJ169" t="str">
            <v>Lowell, MA-NH</v>
          </cell>
          <cell r="AK169" t="str">
            <v/>
          </cell>
          <cell r="AL169" t="str">
            <v/>
          </cell>
          <cell r="AM169" t="str">
            <v/>
          </cell>
          <cell r="AN169" t="str">
            <v/>
          </cell>
          <cell r="AO169" t="str">
            <v/>
          </cell>
          <cell r="AP169" t="str">
            <v/>
          </cell>
          <cell r="AQ169" t="str">
            <v/>
          </cell>
          <cell r="AR169" t="str">
            <v/>
          </cell>
          <cell r="AS169" t="str">
            <v/>
          </cell>
          <cell r="AT169" t="str">
            <v/>
          </cell>
        </row>
        <row r="170">
          <cell r="AI170" t="str">
            <v>LUBBOCK, TX</v>
          </cell>
          <cell r="AJ170" t="str">
            <v>Lubbock, TX</v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</row>
        <row r="171">
          <cell r="AI171" t="str">
            <v>LYNCHBURG, VA</v>
          </cell>
          <cell r="AJ171" t="str">
            <v>Lynchburg, VA</v>
          </cell>
          <cell r="AK171" t="str">
            <v/>
          </cell>
          <cell r="AL171" t="str">
            <v/>
          </cell>
          <cell r="AM171" t="str">
            <v/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</row>
        <row r="172">
          <cell r="AI172" t="str">
            <v>MACON, GA</v>
          </cell>
          <cell r="AJ172" t="str">
            <v>Macon, GA</v>
          </cell>
          <cell r="AK172" t="str">
            <v/>
          </cell>
          <cell r="AL172" t="str">
            <v/>
          </cell>
          <cell r="AM172" t="str">
            <v/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</row>
        <row r="173">
          <cell r="AI173" t="str">
            <v>MADISON, WI</v>
          </cell>
          <cell r="AJ173" t="str">
            <v>Madison, WI</v>
          </cell>
          <cell r="AK173" t="str">
            <v/>
          </cell>
          <cell r="AL173" t="str">
            <v/>
          </cell>
          <cell r="AM173" t="str">
            <v/>
          </cell>
          <cell r="AN173" t="str">
            <v/>
          </cell>
          <cell r="AO173" t="str">
            <v/>
          </cell>
          <cell r="AP173" t="str">
            <v/>
          </cell>
          <cell r="AQ173" t="str">
            <v/>
          </cell>
          <cell r="AR173" t="str">
            <v/>
          </cell>
          <cell r="AS173" t="str">
            <v/>
          </cell>
          <cell r="AT173" t="str">
            <v/>
          </cell>
        </row>
        <row r="174">
          <cell r="AI174" t="str">
            <v>MANCHESTER-NASHUA, NH</v>
          </cell>
          <cell r="AJ174" t="str">
            <v>Manchester-Nashua, NH</v>
          </cell>
          <cell r="AK174" t="str">
            <v>Manchester, NH</v>
          </cell>
          <cell r="AL174" t="str">
            <v>Top 110</v>
          </cell>
          <cell r="AM174" t="str">
            <v/>
          </cell>
          <cell r="AN174" t="str">
            <v/>
          </cell>
          <cell r="AO174" t="str">
            <v/>
          </cell>
          <cell r="AP174" t="str">
            <v/>
          </cell>
          <cell r="AQ174" t="str">
            <v/>
          </cell>
          <cell r="AR174" t="str">
            <v/>
          </cell>
          <cell r="AS174" t="str">
            <v/>
          </cell>
          <cell r="AT174" t="str">
            <v/>
          </cell>
        </row>
        <row r="175">
          <cell r="AI175" t="str">
            <v>MANSFIELD, OH</v>
          </cell>
          <cell r="AJ175" t="str">
            <v>Mansfield, OH</v>
          </cell>
          <cell r="AK175" t="str">
            <v/>
          </cell>
          <cell r="AL175" t="str">
            <v/>
          </cell>
          <cell r="AM175" t="str">
            <v/>
          </cell>
          <cell r="AN175" t="str">
            <v/>
          </cell>
          <cell r="AO175" t="str">
            <v/>
          </cell>
          <cell r="AP175" t="str">
            <v/>
          </cell>
          <cell r="AQ175" t="str">
            <v/>
          </cell>
          <cell r="AR175" t="str">
            <v/>
          </cell>
          <cell r="AS175" t="str">
            <v/>
          </cell>
          <cell r="AT175" t="str">
            <v/>
          </cell>
        </row>
        <row r="176">
          <cell r="AI176" t="str">
            <v>McALLEN-EDINBURG-MISSION, TX</v>
          </cell>
          <cell r="AJ176" t="str">
            <v>McAllen-Edinburg-Mission, TX</v>
          </cell>
          <cell r="AK176" t="str">
            <v/>
          </cell>
          <cell r="AL176" t="str">
            <v/>
          </cell>
          <cell r="AM176" t="str">
            <v/>
          </cell>
          <cell r="AN176" t="str">
            <v/>
          </cell>
          <cell r="AO176" t="str">
            <v/>
          </cell>
          <cell r="AP176" t="str">
            <v/>
          </cell>
          <cell r="AQ176" t="str">
            <v/>
          </cell>
          <cell r="AR176" t="str">
            <v/>
          </cell>
          <cell r="AS176" t="str">
            <v/>
          </cell>
          <cell r="AT176" t="str">
            <v/>
          </cell>
        </row>
        <row r="177">
          <cell r="AI177" t="str">
            <v>MEDFORD-ASHLAND, OR</v>
          </cell>
          <cell r="AJ177" t="str">
            <v>Medford-Ashland, OR</v>
          </cell>
          <cell r="AK177" t="str">
            <v/>
          </cell>
          <cell r="AL177" t="str">
            <v/>
          </cell>
          <cell r="AM177" t="str">
            <v/>
          </cell>
          <cell r="AN177" t="str">
            <v/>
          </cell>
          <cell r="AO177" t="str">
            <v/>
          </cell>
          <cell r="AP177" t="str">
            <v/>
          </cell>
          <cell r="AQ177" t="str">
            <v/>
          </cell>
          <cell r="AR177" t="str">
            <v/>
          </cell>
          <cell r="AS177" t="str">
            <v/>
          </cell>
          <cell r="AT177" t="str">
            <v/>
          </cell>
        </row>
        <row r="178">
          <cell r="AI178" t="str">
            <v>MELBOURNE-TITUSVILLE-PALM BAY, FL</v>
          </cell>
          <cell r="AJ178" t="str">
            <v>Melbourne-Titusville-Palm Bay, FL</v>
          </cell>
          <cell r="AK178" t="str">
            <v/>
          </cell>
          <cell r="AL178" t="str">
            <v/>
          </cell>
          <cell r="AM178" t="str">
            <v/>
          </cell>
          <cell r="AN178" t="str">
            <v/>
          </cell>
          <cell r="AO178" t="str">
            <v/>
          </cell>
          <cell r="AP178" t="str">
            <v/>
          </cell>
          <cell r="AQ178" t="str">
            <v/>
          </cell>
          <cell r="AR178" t="str">
            <v/>
          </cell>
          <cell r="AS178" t="str">
            <v/>
          </cell>
          <cell r="AT178" t="str">
            <v/>
          </cell>
        </row>
        <row r="179">
          <cell r="AI179" t="str">
            <v>MEMPHIS, TN-AR-MS</v>
          </cell>
          <cell r="AJ179" t="str">
            <v>Memphis, TN-AR-MS</v>
          </cell>
          <cell r="AK179" t="str">
            <v>Memphis, TN</v>
          </cell>
          <cell r="AL179" t="str">
            <v>Top 110</v>
          </cell>
          <cell r="AM179" t="str">
            <v>BS</v>
          </cell>
          <cell r="AN179" t="str">
            <v>Memphis, TN</v>
          </cell>
          <cell r="AO179" t="str">
            <v/>
          </cell>
          <cell r="AP179" t="str">
            <v/>
          </cell>
          <cell r="AQ179" t="str">
            <v>Memphis, TN</v>
          </cell>
          <cell r="AR179" t="str">
            <v/>
          </cell>
          <cell r="AS179" t="str">
            <v/>
          </cell>
          <cell r="AT179" t="str">
            <v/>
          </cell>
        </row>
        <row r="180">
          <cell r="AI180" t="str">
            <v>MERCED, CA</v>
          </cell>
          <cell r="AJ180" t="str">
            <v>Merced, CA</v>
          </cell>
          <cell r="AK180" t="str">
            <v/>
          </cell>
          <cell r="AL180" t="str">
            <v/>
          </cell>
          <cell r="AM180" t="str">
            <v/>
          </cell>
          <cell r="AN180" t="str">
            <v/>
          </cell>
          <cell r="AO180" t="str">
            <v/>
          </cell>
          <cell r="AP180" t="str">
            <v/>
          </cell>
          <cell r="AQ180" t="str">
            <v/>
          </cell>
          <cell r="AR180" t="str">
            <v/>
          </cell>
          <cell r="AS180" t="str">
            <v/>
          </cell>
          <cell r="AT180" t="str">
            <v/>
          </cell>
        </row>
        <row r="181">
          <cell r="AI181" t="str">
            <v>MIAMI, FL</v>
          </cell>
          <cell r="AJ181" t="str">
            <v>Miami, FL</v>
          </cell>
          <cell r="AK181" t="str">
            <v>Miami, FL</v>
          </cell>
          <cell r="AL181" t="str">
            <v>Top 25</v>
          </cell>
          <cell r="AM181" t="str">
            <v>BS</v>
          </cell>
          <cell r="AN181" t="str">
            <v>Miami, FL</v>
          </cell>
          <cell r="AO181" t="str">
            <v>Miami, FL</v>
          </cell>
          <cell r="AP181" t="str">
            <v>MIAMI, FL</v>
          </cell>
          <cell r="AQ181" t="str">
            <v/>
          </cell>
          <cell r="AR181" t="str">
            <v>Miami, FL</v>
          </cell>
          <cell r="AS181" t="str">
            <v>Miami, FL</v>
          </cell>
          <cell r="AT181" t="str">
            <v>Miami, FL</v>
          </cell>
        </row>
        <row r="182">
          <cell r="AI182" t="str">
            <v>MIDDLESEX-SOMERSET-HUNTERDON, NJ</v>
          </cell>
          <cell r="AJ182" t="str">
            <v>Middlesex-Somerset-Hunterdon, NJ</v>
          </cell>
          <cell r="AK182" t="str">
            <v>Middlesex, NJ</v>
          </cell>
          <cell r="AL182" t="str">
            <v>Top 110</v>
          </cell>
          <cell r="AM182" t="str">
            <v/>
          </cell>
          <cell r="AN182" t="str">
            <v/>
          </cell>
          <cell r="AO182" t="str">
            <v>New York Suburban</v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 t="str">
            <v/>
          </cell>
        </row>
        <row r="183">
          <cell r="AI183" t="str">
            <v>MILWAUKEE-WAUKESHA, WI</v>
          </cell>
          <cell r="AJ183" t="str">
            <v>Milwaukee, WI</v>
          </cell>
          <cell r="AK183" t="str">
            <v>Milwaukee, WI</v>
          </cell>
          <cell r="AL183" t="str">
            <v>Top 50</v>
          </cell>
          <cell r="AM183" t="str">
            <v>BS</v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</row>
        <row r="184">
          <cell r="AI184" t="str">
            <v>MINNEAPOLIS-SAINT PAUL, MN-WI</v>
          </cell>
          <cell r="AJ184" t="str">
            <v>Minneapolis-St. Paul, MN-WI</v>
          </cell>
          <cell r="AK184" t="str">
            <v>Minneapolis, MN</v>
          </cell>
          <cell r="AL184" t="str">
            <v>Top 25</v>
          </cell>
          <cell r="AM184" t="str">
            <v>BS</v>
          </cell>
          <cell r="AN184" t="str">
            <v>Minneapolis, MN</v>
          </cell>
          <cell r="AO184" t="str">
            <v>Minneapolis, MN</v>
          </cell>
          <cell r="AP184" t="str">
            <v/>
          </cell>
          <cell r="AQ184" t="str">
            <v>Minneapolis, MN</v>
          </cell>
          <cell r="AR184" t="str">
            <v>Minneapolis, MN</v>
          </cell>
          <cell r="AS184" t="str">
            <v>Minneapolis, MN</v>
          </cell>
          <cell r="AT184" t="str">
            <v/>
          </cell>
        </row>
        <row r="185">
          <cell r="AI185" t="str">
            <v>MOBILE, AL</v>
          </cell>
          <cell r="AJ185" t="str">
            <v>Mobile, AL</v>
          </cell>
          <cell r="AK185" t="str">
            <v>Mobile, AL</v>
          </cell>
          <cell r="AL185" t="str">
            <v>Top 110</v>
          </cell>
          <cell r="AM185" t="str">
            <v/>
          </cell>
          <cell r="AN185" t="str">
            <v/>
          </cell>
          <cell r="AO185" t="str">
            <v/>
          </cell>
          <cell r="AP185" t="str">
            <v/>
          </cell>
          <cell r="AQ185" t="str">
            <v/>
          </cell>
          <cell r="AR185" t="str">
            <v/>
          </cell>
          <cell r="AS185" t="str">
            <v/>
          </cell>
          <cell r="AT185" t="str">
            <v/>
          </cell>
        </row>
        <row r="186">
          <cell r="AI186" t="str">
            <v>MODESTO, CA</v>
          </cell>
          <cell r="AJ186" t="str">
            <v>Modesto, CA</v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 t="str">
            <v/>
          </cell>
          <cell r="AP186" t="str">
            <v/>
          </cell>
          <cell r="AQ186" t="str">
            <v/>
          </cell>
          <cell r="AR186" t="str">
            <v/>
          </cell>
          <cell r="AS186" t="str">
            <v/>
          </cell>
          <cell r="AT186" t="str">
            <v/>
          </cell>
        </row>
        <row r="187">
          <cell r="AI187" t="str">
            <v>MONMOUTH-OCEAN, NJ</v>
          </cell>
          <cell r="AJ187" t="str">
            <v>Monmouth-Ocean, NJ</v>
          </cell>
          <cell r="AK187" t="str">
            <v>Monmouth, NJ</v>
          </cell>
          <cell r="AL187" t="str">
            <v>Top 110</v>
          </cell>
          <cell r="AM187" t="str">
            <v/>
          </cell>
          <cell r="AN187" t="str">
            <v/>
          </cell>
          <cell r="AO187" t="str">
            <v>New York Suburban</v>
          </cell>
          <cell r="AP187" t="str">
            <v/>
          </cell>
          <cell r="AQ187" t="str">
            <v/>
          </cell>
          <cell r="AR187" t="str">
            <v/>
          </cell>
          <cell r="AS187" t="str">
            <v/>
          </cell>
          <cell r="AT187" t="str">
            <v/>
          </cell>
        </row>
        <row r="188">
          <cell r="AI188" t="str">
            <v>MONROE, LA</v>
          </cell>
          <cell r="AJ188" t="str">
            <v>Monroe, LA</v>
          </cell>
          <cell r="AK188" t="str">
            <v/>
          </cell>
          <cell r="AL188" t="str">
            <v/>
          </cell>
          <cell r="AM188" t="str">
            <v/>
          </cell>
          <cell r="AN188" t="str">
            <v/>
          </cell>
          <cell r="AO188" t="str">
            <v/>
          </cell>
          <cell r="AP188" t="str">
            <v/>
          </cell>
          <cell r="AQ188" t="str">
            <v/>
          </cell>
          <cell r="AR188" t="str">
            <v/>
          </cell>
          <cell r="AS188" t="str">
            <v/>
          </cell>
          <cell r="AT188" t="str">
            <v/>
          </cell>
        </row>
        <row r="189">
          <cell r="AI189" t="str">
            <v>MONTGOMERY, AL</v>
          </cell>
          <cell r="AJ189" t="str">
            <v>Montgomery, AL</v>
          </cell>
          <cell r="AK189" t="str">
            <v/>
          </cell>
          <cell r="AL189" t="str">
            <v/>
          </cell>
          <cell r="AM189" t="str">
            <v/>
          </cell>
          <cell r="AN189" t="str">
            <v/>
          </cell>
          <cell r="AO189" t="str">
            <v/>
          </cell>
          <cell r="AP189" t="str">
            <v/>
          </cell>
          <cell r="AQ189" t="str">
            <v/>
          </cell>
          <cell r="AR189" t="str">
            <v/>
          </cell>
          <cell r="AS189" t="str">
            <v/>
          </cell>
          <cell r="AT189" t="str">
            <v/>
          </cell>
        </row>
        <row r="190">
          <cell r="AI190" t="str">
            <v>MYRTLE BEACH, SC</v>
          </cell>
          <cell r="AJ190" t="str">
            <v>Myrtle Beach, SC</v>
          </cell>
          <cell r="AK190" t="str">
            <v/>
          </cell>
          <cell r="AL190" t="str">
            <v/>
          </cell>
          <cell r="AM190" t="str">
            <v/>
          </cell>
          <cell r="AN190" t="str">
            <v/>
          </cell>
          <cell r="AO190" t="str">
            <v/>
          </cell>
          <cell r="AP190" t="str">
            <v/>
          </cell>
          <cell r="AQ190" t="str">
            <v/>
          </cell>
          <cell r="AR190" t="str">
            <v/>
          </cell>
          <cell r="AS190" t="str">
            <v/>
          </cell>
          <cell r="AT190" t="str">
            <v/>
          </cell>
        </row>
        <row r="191">
          <cell r="AI191" t="str">
            <v>NAPLES, FL</v>
          </cell>
          <cell r="AJ191" t="str">
            <v>Naples, FL</v>
          </cell>
          <cell r="AK191" t="str">
            <v/>
          </cell>
          <cell r="AL191" t="str">
            <v/>
          </cell>
          <cell r="AM191" t="str">
            <v/>
          </cell>
          <cell r="AN191" t="str">
            <v/>
          </cell>
          <cell r="AO191" t="str">
            <v/>
          </cell>
          <cell r="AP191" t="str">
            <v/>
          </cell>
          <cell r="AQ191" t="str">
            <v/>
          </cell>
          <cell r="AR191" t="str">
            <v/>
          </cell>
          <cell r="AS191" t="str">
            <v/>
          </cell>
          <cell r="AT191" t="str">
            <v/>
          </cell>
        </row>
        <row r="192">
          <cell r="AI192" t="str">
            <v>NASHVILLE, TN</v>
          </cell>
          <cell r="AJ192" t="str">
            <v>Nashville, TN</v>
          </cell>
          <cell r="AK192" t="str">
            <v>Nashville, TN</v>
          </cell>
          <cell r="AL192" t="str">
            <v>Top 50</v>
          </cell>
          <cell r="AM192" t="str">
            <v>BS</v>
          </cell>
          <cell r="AN192" t="str">
            <v>Nashville, TN</v>
          </cell>
          <cell r="AO192" t="str">
            <v>Nashville, TN</v>
          </cell>
          <cell r="AP192" t="str">
            <v/>
          </cell>
          <cell r="AQ192" t="str">
            <v>Nashville, TN</v>
          </cell>
          <cell r="AR192" t="str">
            <v>Nashville, TN</v>
          </cell>
          <cell r="AS192" t="str">
            <v/>
          </cell>
          <cell r="AT192" t="str">
            <v/>
          </cell>
        </row>
        <row r="193">
          <cell r="AI193" t="str">
            <v>NASSAU-SUFFOLK, NY</v>
          </cell>
          <cell r="AJ193" t="str">
            <v>Nassau-Suffolk, NY</v>
          </cell>
          <cell r="AK193" t="str">
            <v>Nassau, NY</v>
          </cell>
          <cell r="AL193" t="str">
            <v>Top 25</v>
          </cell>
          <cell r="AM193" t="str">
            <v/>
          </cell>
          <cell r="AN193" t="str">
            <v/>
          </cell>
          <cell r="AO193" t="str">
            <v>New York Suburban</v>
          </cell>
          <cell r="AP193" t="str">
            <v/>
          </cell>
          <cell r="AQ193" t="str">
            <v/>
          </cell>
          <cell r="AR193" t="str">
            <v/>
          </cell>
          <cell r="AS193" t="str">
            <v/>
          </cell>
          <cell r="AT193" t="str">
            <v/>
          </cell>
        </row>
        <row r="194">
          <cell r="AI194" t="str">
            <v>NEW BEDFORD, MA</v>
          </cell>
          <cell r="AJ194" t="str">
            <v>New Bedford, MA</v>
          </cell>
          <cell r="AK194" t="str">
            <v/>
          </cell>
          <cell r="AL194" t="str">
            <v/>
          </cell>
          <cell r="AM194" t="str">
            <v/>
          </cell>
          <cell r="AN194" t="str">
            <v/>
          </cell>
          <cell r="AO194" t="str">
            <v/>
          </cell>
          <cell r="AP194" t="str">
            <v/>
          </cell>
          <cell r="AQ194" t="str">
            <v/>
          </cell>
          <cell r="AR194" t="str">
            <v/>
          </cell>
          <cell r="AS194" t="str">
            <v/>
          </cell>
          <cell r="AT194" t="str">
            <v/>
          </cell>
        </row>
        <row r="195">
          <cell r="AI195" t="str">
            <v>NEW HAVEN-BRIDGEPORT-STAMFORD-, CT</v>
          </cell>
          <cell r="AJ195" t="str">
            <v>New Haven-Bridgeport-Stamford, CT</v>
          </cell>
          <cell r="AK195" t="str">
            <v>New Haven, CT</v>
          </cell>
          <cell r="AL195" t="str">
            <v>Top 50</v>
          </cell>
          <cell r="AM195" t="str">
            <v/>
          </cell>
          <cell r="AN195" t="str">
            <v/>
          </cell>
          <cell r="AO195" t="str">
            <v>New York Suburban</v>
          </cell>
          <cell r="AP195" t="str">
            <v/>
          </cell>
          <cell r="AQ195" t="str">
            <v/>
          </cell>
          <cell r="AR195" t="str">
            <v/>
          </cell>
          <cell r="AS195" t="str">
            <v/>
          </cell>
          <cell r="AT195" t="str">
            <v/>
          </cell>
        </row>
        <row r="196">
          <cell r="AI196" t="str">
            <v>NEW LONDON-NORWICH, CT-RI</v>
          </cell>
          <cell r="AJ196" t="str">
            <v>New London-Norwich, CT</v>
          </cell>
          <cell r="AK196" t="str">
            <v/>
          </cell>
          <cell r="AL196" t="str">
            <v/>
          </cell>
          <cell r="AM196" t="str">
            <v/>
          </cell>
          <cell r="AN196" t="str">
            <v/>
          </cell>
          <cell r="AO196" t="str">
            <v/>
          </cell>
          <cell r="AP196" t="str">
            <v/>
          </cell>
          <cell r="AQ196" t="str">
            <v/>
          </cell>
          <cell r="AR196" t="str">
            <v/>
          </cell>
          <cell r="AS196" t="str">
            <v/>
          </cell>
          <cell r="AT196" t="str">
            <v/>
          </cell>
        </row>
        <row r="197">
          <cell r="AI197" t="str">
            <v>NEW ORLEANS, LA</v>
          </cell>
          <cell r="AJ197" t="str">
            <v>New Orleans, LA</v>
          </cell>
          <cell r="AK197" t="str">
            <v>New Orleans, LA</v>
          </cell>
          <cell r="AL197" t="str">
            <v>Top 50</v>
          </cell>
          <cell r="AM197" t="str">
            <v>BS</v>
          </cell>
          <cell r="AN197" t="str">
            <v>New Orleans, LA</v>
          </cell>
          <cell r="AO197" t="str">
            <v>New Orleans, LA</v>
          </cell>
          <cell r="AP197" t="str">
            <v>NEW ORLEANS, LA</v>
          </cell>
          <cell r="AQ197" t="str">
            <v>New Orleans, LA</v>
          </cell>
          <cell r="AR197" t="str">
            <v>New Orleans, LA</v>
          </cell>
          <cell r="AS197" t="str">
            <v/>
          </cell>
          <cell r="AT197" t="str">
            <v/>
          </cell>
        </row>
        <row r="198">
          <cell r="AI198" t="str">
            <v>NEW YORK, NY</v>
          </cell>
          <cell r="AJ198" t="str">
            <v>New York City, NY</v>
          </cell>
          <cell r="AK198" t="str">
            <v>New York, NY</v>
          </cell>
          <cell r="AL198" t="str">
            <v>Top 25</v>
          </cell>
          <cell r="AM198" t="str">
            <v>BS</v>
          </cell>
          <cell r="AN198" t="str">
            <v>New York, NY</v>
          </cell>
          <cell r="AO198" t="str">
            <v>New York Suburban</v>
          </cell>
          <cell r="AP198" t="str">
            <v>NEW YORK, NY</v>
          </cell>
          <cell r="AQ198" t="str">
            <v>New York, NY</v>
          </cell>
          <cell r="AR198" t="str">
            <v>New York, NY</v>
          </cell>
          <cell r="AS198" t="str">
            <v>New York, NY</v>
          </cell>
          <cell r="AT198" t="str">
            <v/>
          </cell>
        </row>
        <row r="199">
          <cell r="AI199" t="str">
            <v>NEWARK, NJ</v>
          </cell>
          <cell r="AJ199" t="str">
            <v>Newark, NJ</v>
          </cell>
          <cell r="AK199" t="str">
            <v>Newark, NJ</v>
          </cell>
          <cell r="AL199" t="str">
            <v>Top 25</v>
          </cell>
          <cell r="AM199" t="str">
            <v>BS</v>
          </cell>
          <cell r="AN199" t="str">
            <v/>
          </cell>
          <cell r="AO199" t="str">
            <v>New York Suburban</v>
          </cell>
          <cell r="AP199" t="str">
            <v>NEWARK, NJ</v>
          </cell>
          <cell r="AQ199" t="str">
            <v/>
          </cell>
          <cell r="AR199" t="str">
            <v/>
          </cell>
          <cell r="AS199" t="str">
            <v/>
          </cell>
          <cell r="AT199" t="str">
            <v/>
          </cell>
        </row>
        <row r="200">
          <cell r="AI200" t="str">
            <v>NORFOLK-VIRGINIA BEACH- NEWPORT NEWS, VA-NC</v>
          </cell>
          <cell r="AJ200" t="str">
            <v>Norfolk-Virginia Beach, VA</v>
          </cell>
          <cell r="AK200" t="str">
            <v>Norfolk, VA</v>
          </cell>
          <cell r="AL200" t="str">
            <v>Top 50</v>
          </cell>
          <cell r="AM200" t="str">
            <v>BS</v>
          </cell>
          <cell r="AN200" t="str">
            <v>Norfolk, VA</v>
          </cell>
          <cell r="AO200" t="str">
            <v>Norfolk, VA</v>
          </cell>
          <cell r="AP200" t="str">
            <v/>
          </cell>
          <cell r="AQ200" t="str">
            <v/>
          </cell>
          <cell r="AR200" t="str">
            <v>Norfolk, VA</v>
          </cell>
          <cell r="AS200" t="str">
            <v/>
          </cell>
          <cell r="AT200" t="str">
            <v/>
          </cell>
        </row>
        <row r="201">
          <cell r="AI201" t="str">
            <v>OAKLAND, CA</v>
          </cell>
          <cell r="AJ201" t="str">
            <v>Oakland, CA</v>
          </cell>
          <cell r="AK201" t="str">
            <v>Oakland, CA</v>
          </cell>
          <cell r="AL201" t="str">
            <v>Top 25</v>
          </cell>
          <cell r="AM201" t="str">
            <v>BS</v>
          </cell>
          <cell r="AN201" t="str">
            <v>Oakland, CA</v>
          </cell>
          <cell r="AO201" t="str">
            <v/>
          </cell>
          <cell r="AP201" t="str">
            <v/>
          </cell>
          <cell r="AQ201" t="str">
            <v>Oakland, CA</v>
          </cell>
          <cell r="AR201" t="str">
            <v/>
          </cell>
          <cell r="AS201" t="str">
            <v/>
          </cell>
          <cell r="AT201" t="str">
            <v/>
          </cell>
        </row>
        <row r="202">
          <cell r="AI202" t="str">
            <v>OCALA, FL</v>
          </cell>
          <cell r="AJ202" t="str">
            <v>Ocala, FL</v>
          </cell>
          <cell r="AK202" t="str">
            <v/>
          </cell>
          <cell r="AL202" t="str">
            <v/>
          </cell>
          <cell r="AM202" t="str">
            <v/>
          </cell>
          <cell r="AN202" t="str">
            <v/>
          </cell>
          <cell r="AO202" t="str">
            <v/>
          </cell>
          <cell r="AP202" t="str">
            <v/>
          </cell>
          <cell r="AQ202" t="str">
            <v/>
          </cell>
          <cell r="AR202" t="str">
            <v/>
          </cell>
          <cell r="AS202" t="str">
            <v/>
          </cell>
          <cell r="AT202" t="str">
            <v/>
          </cell>
        </row>
        <row r="203">
          <cell r="AI203" t="str">
            <v>OKLAHOMA CITY, OK</v>
          </cell>
          <cell r="AJ203" t="str">
            <v>Oklahoma City, OK</v>
          </cell>
          <cell r="AK203" t="str">
            <v>Oklahoma City, OK</v>
          </cell>
          <cell r="AL203" t="str">
            <v>Top 110</v>
          </cell>
          <cell r="AM203" t="str">
            <v>BS</v>
          </cell>
          <cell r="AN203" t="str">
            <v>Oklahoma City, OK</v>
          </cell>
          <cell r="AO203" t="str">
            <v/>
          </cell>
          <cell r="AP203" t="str">
            <v/>
          </cell>
          <cell r="AQ203" t="str">
            <v/>
          </cell>
          <cell r="AR203" t="str">
            <v/>
          </cell>
          <cell r="AS203" t="str">
            <v/>
          </cell>
          <cell r="AT203" t="str">
            <v/>
          </cell>
        </row>
        <row r="204">
          <cell r="AI204" t="str">
            <v>OLYMPIA, WA</v>
          </cell>
          <cell r="AJ204" t="str">
            <v>Olympia, WA</v>
          </cell>
          <cell r="AK204" t="str">
            <v/>
          </cell>
          <cell r="AL204" t="str">
            <v/>
          </cell>
          <cell r="AM204" t="str">
            <v/>
          </cell>
          <cell r="AN204" t="str">
            <v/>
          </cell>
          <cell r="AO204" t="str">
            <v/>
          </cell>
          <cell r="AP204" t="str">
            <v/>
          </cell>
          <cell r="AQ204" t="str">
            <v/>
          </cell>
          <cell r="AR204" t="str">
            <v/>
          </cell>
          <cell r="AS204" t="str">
            <v/>
          </cell>
          <cell r="AT204" t="str">
            <v/>
          </cell>
        </row>
        <row r="205">
          <cell r="AI205" t="str">
            <v>OMAHA, NE-IA</v>
          </cell>
          <cell r="AJ205" t="str">
            <v>Omaha, NE-IA</v>
          </cell>
          <cell r="AK205" t="str">
            <v>Omaha, NE</v>
          </cell>
          <cell r="AL205" t="str">
            <v>Top 110</v>
          </cell>
          <cell r="AM205" t="str">
            <v>BS</v>
          </cell>
          <cell r="AN205" t="str">
            <v/>
          </cell>
          <cell r="AO205" t="str">
            <v/>
          </cell>
          <cell r="AP205" t="str">
            <v/>
          </cell>
          <cell r="AQ205" t="str">
            <v/>
          </cell>
          <cell r="AR205" t="str">
            <v/>
          </cell>
          <cell r="AS205" t="str">
            <v/>
          </cell>
          <cell r="AT205" t="str">
            <v/>
          </cell>
        </row>
        <row r="206">
          <cell r="AI206" t="str">
            <v>ORANGE COUNTY, CA</v>
          </cell>
          <cell r="AJ206" t="str">
            <v>Orange County, CA</v>
          </cell>
          <cell r="AK206" t="str">
            <v>Orange County, CA</v>
          </cell>
          <cell r="AL206" t="str">
            <v>Top 25</v>
          </cell>
          <cell r="AM206" t="str">
            <v/>
          </cell>
          <cell r="AN206" t="str">
            <v>Anaheim, CA</v>
          </cell>
          <cell r="AO206" t="str">
            <v>Orange County, CA</v>
          </cell>
          <cell r="AP206" t="str">
            <v>ORANGE COUNTY, CA</v>
          </cell>
          <cell r="AQ206" t="str">
            <v/>
          </cell>
          <cell r="AR206" t="str">
            <v>Anaheim, CA</v>
          </cell>
          <cell r="AS206" t="str">
            <v/>
          </cell>
          <cell r="AT206" t="str">
            <v/>
          </cell>
        </row>
        <row r="207">
          <cell r="AI207" t="str">
            <v>ORLANDO, FL</v>
          </cell>
          <cell r="AJ207" t="str">
            <v>Orlando, FL</v>
          </cell>
          <cell r="AK207" t="str">
            <v>Orlando, FL</v>
          </cell>
          <cell r="AL207" t="str">
            <v>Top 50</v>
          </cell>
          <cell r="AM207" t="str">
            <v>BS</v>
          </cell>
          <cell r="AN207" t="str">
            <v>Orlando, FL</v>
          </cell>
          <cell r="AO207" t="str">
            <v>Orlando, FL</v>
          </cell>
          <cell r="AP207" t="str">
            <v>ORLANDO, FL</v>
          </cell>
          <cell r="AQ207" t="str">
            <v>Orlando, FL</v>
          </cell>
          <cell r="AR207" t="str">
            <v>Orlando, FL</v>
          </cell>
          <cell r="AS207" t="str">
            <v/>
          </cell>
          <cell r="AT207" t="str">
            <v/>
          </cell>
        </row>
        <row r="208">
          <cell r="AI208" t="str">
            <v>OWENSBORO, KY</v>
          </cell>
          <cell r="AJ208" t="str">
            <v>Owensboro, KY</v>
          </cell>
          <cell r="AK208" t="str">
            <v/>
          </cell>
          <cell r="AL208" t="str">
            <v/>
          </cell>
          <cell r="AM208" t="str">
            <v/>
          </cell>
          <cell r="AN208" t="str">
            <v/>
          </cell>
          <cell r="AO208" t="str">
            <v/>
          </cell>
          <cell r="AP208" t="str">
            <v/>
          </cell>
          <cell r="AQ208" t="str">
            <v/>
          </cell>
          <cell r="AR208" t="str">
            <v/>
          </cell>
          <cell r="AS208" t="str">
            <v/>
          </cell>
          <cell r="AT208" t="str">
            <v/>
          </cell>
        </row>
        <row r="209">
          <cell r="AI209" t="str">
            <v>PANAMA CITY, FL</v>
          </cell>
          <cell r="AJ209" t="str">
            <v>Panama City, FL</v>
          </cell>
          <cell r="AK209" t="str">
            <v/>
          </cell>
          <cell r="AL209" t="str">
            <v/>
          </cell>
          <cell r="AM209" t="str">
            <v/>
          </cell>
          <cell r="AN209" t="str">
            <v/>
          </cell>
          <cell r="AO209" t="str">
            <v/>
          </cell>
          <cell r="AP209" t="str">
            <v/>
          </cell>
          <cell r="AQ209" t="str">
            <v/>
          </cell>
          <cell r="AR209" t="str">
            <v/>
          </cell>
          <cell r="AS209" t="str">
            <v/>
          </cell>
          <cell r="AT209" t="str">
            <v/>
          </cell>
        </row>
        <row r="210">
          <cell r="AI210" t="str">
            <v>PARK CITY, UT</v>
          </cell>
          <cell r="AJ210" t="str">
            <v>Park City, UT</v>
          </cell>
          <cell r="AK210" t="str">
            <v/>
          </cell>
          <cell r="AL210" t="str">
            <v/>
          </cell>
          <cell r="AM210" t="str">
            <v/>
          </cell>
          <cell r="AN210" t="str">
            <v/>
          </cell>
          <cell r="AO210" t="str">
            <v/>
          </cell>
          <cell r="AP210" t="str">
            <v/>
          </cell>
          <cell r="AQ210" t="str">
            <v/>
          </cell>
          <cell r="AR210" t="str">
            <v/>
          </cell>
          <cell r="AS210" t="str">
            <v/>
          </cell>
          <cell r="AT210" t="str">
            <v/>
          </cell>
        </row>
        <row r="211">
          <cell r="AI211" t="str">
            <v>PARKERSBURG-MARIETTA, WV-OH</v>
          </cell>
          <cell r="AJ211" t="str">
            <v>Parkersburg-Marietta, WV-OH</v>
          </cell>
          <cell r="AK211" t="str">
            <v/>
          </cell>
          <cell r="AL211" t="str">
            <v/>
          </cell>
          <cell r="AM211" t="str">
            <v/>
          </cell>
          <cell r="AN211" t="str">
            <v/>
          </cell>
          <cell r="AO211" t="str">
            <v/>
          </cell>
          <cell r="AP211" t="str">
            <v/>
          </cell>
          <cell r="AQ211" t="str">
            <v/>
          </cell>
          <cell r="AR211" t="str">
            <v/>
          </cell>
          <cell r="AS211" t="str">
            <v/>
          </cell>
          <cell r="AT211" t="str">
            <v/>
          </cell>
        </row>
        <row r="212">
          <cell r="AI212" t="str">
            <v>PENSACOLA, FL</v>
          </cell>
          <cell r="AJ212" t="str">
            <v>Pensacola, FL</v>
          </cell>
          <cell r="AK212" t="str">
            <v/>
          </cell>
          <cell r="AL212" t="str">
            <v/>
          </cell>
          <cell r="AM212" t="str">
            <v/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 t="str">
            <v/>
          </cell>
          <cell r="AT212" t="str">
            <v/>
          </cell>
        </row>
        <row r="213">
          <cell r="AI213" t="str">
            <v>PEORIA-PEKIN, IL</v>
          </cell>
          <cell r="AJ213" t="str">
            <v>Peoria-Pekin, IL</v>
          </cell>
          <cell r="AK213" t="str">
            <v>Peoria, IL</v>
          </cell>
          <cell r="AL213" t="str">
            <v>Top 110</v>
          </cell>
          <cell r="AM213" t="str">
            <v/>
          </cell>
          <cell r="AN213" t="str">
            <v/>
          </cell>
          <cell r="AO213" t="str">
            <v/>
          </cell>
          <cell r="AP213" t="str">
            <v/>
          </cell>
          <cell r="AQ213" t="str">
            <v/>
          </cell>
          <cell r="AR213" t="str">
            <v/>
          </cell>
          <cell r="AS213" t="str">
            <v/>
          </cell>
          <cell r="AT213" t="str">
            <v/>
          </cell>
        </row>
        <row r="214">
          <cell r="AI214" t="str">
            <v>PHILADELPHIA, PA-NJ</v>
          </cell>
          <cell r="AJ214" t="str">
            <v>Philadelphia, PA-NJ</v>
          </cell>
          <cell r="AK214" t="str">
            <v>Philadelphia, PA</v>
          </cell>
          <cell r="AL214" t="str">
            <v>Top 25</v>
          </cell>
          <cell r="AM214" t="str">
            <v>BS</v>
          </cell>
          <cell r="AN214" t="str">
            <v>Philadelphia, PA</v>
          </cell>
          <cell r="AO214" t="str">
            <v>Philadelphia, PA</v>
          </cell>
          <cell r="AP214" t="str">
            <v>PHILADELPHIA, PA</v>
          </cell>
          <cell r="AQ214" t="str">
            <v>Philadelphia, PA</v>
          </cell>
          <cell r="AR214" t="str">
            <v>Philadelphia, PA</v>
          </cell>
          <cell r="AS214" t="str">
            <v>Philadelphia, PA</v>
          </cell>
          <cell r="AT214" t="str">
            <v/>
          </cell>
        </row>
        <row r="215">
          <cell r="AI215" t="str">
            <v>PHOENIX-MESA, AZ</v>
          </cell>
          <cell r="AJ215" t="str">
            <v>Phoenix, AZ</v>
          </cell>
          <cell r="AK215" t="str">
            <v>Phoenix, AZ</v>
          </cell>
          <cell r="AL215" t="str">
            <v>Top 25</v>
          </cell>
          <cell r="AM215" t="str">
            <v>BS</v>
          </cell>
          <cell r="AN215" t="str">
            <v>Phoenix, AZ</v>
          </cell>
          <cell r="AO215" t="str">
            <v>Phoenix, AZ</v>
          </cell>
          <cell r="AP215" t="str">
            <v/>
          </cell>
          <cell r="AQ215" t="str">
            <v>Phoenix, AZ</v>
          </cell>
          <cell r="AR215" t="str">
            <v>Phoenix, AZ</v>
          </cell>
          <cell r="AS215" t="str">
            <v>Phoenix, AZ</v>
          </cell>
          <cell r="AT215" t="str">
            <v>Phoenix, AZ</v>
          </cell>
        </row>
        <row r="216">
          <cell r="AI216" t="str">
            <v>PINE BLUFF, AR</v>
          </cell>
          <cell r="AJ216" t="str">
            <v>Pine Bluff, AR</v>
          </cell>
          <cell r="AK216" t="str">
            <v/>
          </cell>
          <cell r="AL216" t="str">
            <v/>
          </cell>
          <cell r="AM216" t="str">
            <v/>
          </cell>
          <cell r="AN216" t="str">
            <v/>
          </cell>
          <cell r="AO216" t="str">
            <v/>
          </cell>
          <cell r="AP216" t="str">
            <v/>
          </cell>
          <cell r="AQ216" t="str">
            <v/>
          </cell>
          <cell r="AR216" t="str">
            <v/>
          </cell>
          <cell r="AS216" t="str">
            <v/>
          </cell>
          <cell r="AT216" t="str">
            <v/>
          </cell>
        </row>
        <row r="217">
          <cell r="AI217" t="str">
            <v>PITTSBURGH, PA</v>
          </cell>
          <cell r="AJ217" t="str">
            <v>Pittsburgh, PA</v>
          </cell>
          <cell r="AK217" t="str">
            <v>Pittsburgh, PA</v>
          </cell>
          <cell r="AL217" t="str">
            <v>Top 25</v>
          </cell>
          <cell r="AM217" t="str">
            <v>BS</v>
          </cell>
          <cell r="AN217" t="str">
            <v/>
          </cell>
          <cell r="AO217" t="str">
            <v/>
          </cell>
          <cell r="AP217" t="str">
            <v/>
          </cell>
          <cell r="AQ217" t="str">
            <v/>
          </cell>
          <cell r="AR217" t="str">
            <v/>
          </cell>
          <cell r="AS217" t="str">
            <v/>
          </cell>
          <cell r="AT217" t="str">
            <v/>
          </cell>
        </row>
        <row r="218">
          <cell r="AI218" t="str">
            <v>PITTSFIELD, MA</v>
          </cell>
          <cell r="AJ218" t="str">
            <v>Pittsfield, MA</v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/>
          </cell>
          <cell r="AQ218" t="str">
            <v/>
          </cell>
          <cell r="AR218" t="str">
            <v/>
          </cell>
          <cell r="AS218" t="str">
            <v/>
          </cell>
          <cell r="AT218" t="str">
            <v/>
          </cell>
        </row>
        <row r="219">
          <cell r="AI219" t="str">
            <v>PORTLAND, ME</v>
          </cell>
          <cell r="AJ219" t="str">
            <v>Portland, ME</v>
          </cell>
          <cell r="AK219" t="str">
            <v>Portland, ME</v>
          </cell>
          <cell r="AL219" t="str">
            <v>Top 110</v>
          </cell>
          <cell r="AM219" t="str">
            <v/>
          </cell>
          <cell r="AN219" t="str">
            <v/>
          </cell>
          <cell r="AO219" t="str">
            <v/>
          </cell>
          <cell r="AP219" t="str">
            <v/>
          </cell>
          <cell r="AQ219" t="str">
            <v/>
          </cell>
          <cell r="AR219" t="str">
            <v/>
          </cell>
          <cell r="AS219" t="str">
            <v/>
          </cell>
          <cell r="AT219" t="str">
            <v/>
          </cell>
        </row>
        <row r="220">
          <cell r="AI220" t="str">
            <v>PORTLAND-VANCOUVER, OR-WA</v>
          </cell>
          <cell r="AJ220" t="str">
            <v>Portland, OR</v>
          </cell>
          <cell r="AK220" t="str">
            <v>Portland, OR</v>
          </cell>
          <cell r="AL220" t="str">
            <v>Top 50</v>
          </cell>
          <cell r="AM220" t="str">
            <v>BS</v>
          </cell>
          <cell r="AN220" t="str">
            <v>Portland, OR</v>
          </cell>
          <cell r="AO220" t="str">
            <v/>
          </cell>
          <cell r="AP220" t="str">
            <v/>
          </cell>
          <cell r="AQ220" t="str">
            <v>Portland, OR</v>
          </cell>
          <cell r="AR220" t="str">
            <v/>
          </cell>
          <cell r="AS220" t="str">
            <v/>
          </cell>
          <cell r="AT220" t="str">
            <v/>
          </cell>
        </row>
        <row r="221">
          <cell r="AI221" t="str">
            <v>PORTSMOUTH-ROCHESTER, NH-ME</v>
          </cell>
          <cell r="AJ221" t="str">
            <v>Portsmouth-Rochester, NH-ME</v>
          </cell>
          <cell r="AK221" t="str">
            <v/>
          </cell>
          <cell r="AL221" t="str">
            <v/>
          </cell>
          <cell r="AM221" t="str">
            <v/>
          </cell>
          <cell r="AN221" t="str">
            <v/>
          </cell>
          <cell r="AO221" t="str">
            <v/>
          </cell>
          <cell r="AP221" t="str">
            <v/>
          </cell>
          <cell r="AQ221" t="str">
            <v/>
          </cell>
          <cell r="AR221" t="str">
            <v/>
          </cell>
          <cell r="AS221" t="str">
            <v/>
          </cell>
          <cell r="AT221" t="str">
            <v/>
          </cell>
        </row>
        <row r="222">
          <cell r="AI222" t="str">
            <v>PROVIDENCE-FALL RIVER-WARWICK, RI-MA</v>
          </cell>
          <cell r="AJ222" t="str">
            <v>Providence-Warwick, RI</v>
          </cell>
          <cell r="AK222" t="str">
            <v>Providence, RI</v>
          </cell>
          <cell r="AL222" t="str">
            <v>Top 50</v>
          </cell>
          <cell r="AM222" t="str">
            <v/>
          </cell>
          <cell r="AN222" t="str">
            <v/>
          </cell>
          <cell r="AO222" t="str">
            <v/>
          </cell>
          <cell r="AP222" t="str">
            <v/>
          </cell>
          <cell r="AQ222" t="str">
            <v/>
          </cell>
          <cell r="AR222" t="str">
            <v/>
          </cell>
          <cell r="AS222" t="str">
            <v/>
          </cell>
          <cell r="AT222" t="str">
            <v/>
          </cell>
        </row>
        <row r="223">
          <cell r="AI223" t="str">
            <v>PROVO-OREM, UT</v>
          </cell>
          <cell r="AJ223" t="str">
            <v>Provo-Orem, UT</v>
          </cell>
          <cell r="AK223" t="str">
            <v/>
          </cell>
          <cell r="AL223" t="str">
            <v/>
          </cell>
          <cell r="AM223" t="str">
            <v/>
          </cell>
          <cell r="AN223" t="str">
            <v/>
          </cell>
          <cell r="AO223" t="str">
            <v/>
          </cell>
          <cell r="AP223" t="str">
            <v/>
          </cell>
          <cell r="AQ223" t="str">
            <v/>
          </cell>
          <cell r="AR223" t="str">
            <v/>
          </cell>
          <cell r="AS223" t="str">
            <v/>
          </cell>
          <cell r="AT223" t="str">
            <v/>
          </cell>
        </row>
        <row r="224">
          <cell r="AI224" t="str">
            <v>PUEBLO, CO</v>
          </cell>
          <cell r="AJ224" t="str">
            <v>Pueblo, CO</v>
          </cell>
          <cell r="AK224" t="str">
            <v/>
          </cell>
          <cell r="AL224" t="str">
            <v/>
          </cell>
          <cell r="AM224" t="str">
            <v/>
          </cell>
          <cell r="AN224" t="str">
            <v/>
          </cell>
          <cell r="AO224" t="str">
            <v/>
          </cell>
          <cell r="AP224" t="str">
            <v/>
          </cell>
          <cell r="AQ224" t="str">
            <v/>
          </cell>
          <cell r="AR224" t="str">
            <v/>
          </cell>
          <cell r="AS224" t="str">
            <v/>
          </cell>
          <cell r="AT224" t="str">
            <v/>
          </cell>
        </row>
        <row r="225">
          <cell r="AI225" t="str">
            <v>PUNTA GORDA, FL</v>
          </cell>
          <cell r="AJ225" t="str">
            <v>Punta Gorda, FL</v>
          </cell>
          <cell r="AK225" t="str">
            <v/>
          </cell>
          <cell r="AL225" t="str">
            <v/>
          </cell>
          <cell r="AM225" t="str">
            <v/>
          </cell>
          <cell r="AN225" t="str">
            <v/>
          </cell>
          <cell r="AO225" t="str">
            <v/>
          </cell>
          <cell r="AP225" t="str">
            <v/>
          </cell>
          <cell r="AQ225" t="str">
            <v/>
          </cell>
          <cell r="AR225" t="str">
            <v/>
          </cell>
          <cell r="AS225" t="str">
            <v/>
          </cell>
          <cell r="AT225" t="str">
            <v/>
          </cell>
        </row>
        <row r="226">
          <cell r="AI226" t="str">
            <v>RACINE, WI</v>
          </cell>
          <cell r="AJ226" t="str">
            <v>Racine, WI</v>
          </cell>
          <cell r="AK226" t="str">
            <v/>
          </cell>
          <cell r="AL226" t="str">
            <v/>
          </cell>
          <cell r="AM226" t="str">
            <v/>
          </cell>
          <cell r="AN226" t="str">
            <v/>
          </cell>
          <cell r="AO226" t="str">
            <v/>
          </cell>
          <cell r="AP226" t="str">
            <v/>
          </cell>
          <cell r="AQ226" t="str">
            <v/>
          </cell>
          <cell r="AR226" t="str">
            <v/>
          </cell>
          <cell r="AS226" t="str">
            <v/>
          </cell>
          <cell r="AT226" t="str">
            <v/>
          </cell>
        </row>
        <row r="227">
          <cell r="AI227" t="str">
            <v>RALEIGH-DURHAM-CHAPEL HILL, NC</v>
          </cell>
          <cell r="AJ227" t="str">
            <v>Raleigh-Durham-Chapel Hill, NC</v>
          </cell>
          <cell r="AK227" t="str">
            <v>Raleigh, NC</v>
          </cell>
          <cell r="AL227" t="str">
            <v>Top 110</v>
          </cell>
          <cell r="AM227" t="str">
            <v>BS</v>
          </cell>
          <cell r="AN227" t="str">
            <v>Raleigh, NC</v>
          </cell>
          <cell r="AO227" t="str">
            <v/>
          </cell>
          <cell r="AP227" t="str">
            <v/>
          </cell>
          <cell r="AQ227" t="str">
            <v>Raleigh, NC</v>
          </cell>
          <cell r="AR227" t="str">
            <v/>
          </cell>
          <cell r="AS227" t="str">
            <v/>
          </cell>
          <cell r="AT227" t="str">
            <v/>
          </cell>
        </row>
        <row r="228">
          <cell r="AI228" t="str">
            <v>RAPID CITY, SD</v>
          </cell>
          <cell r="AJ228" t="str">
            <v>Rapid City, SD</v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/>
          </cell>
          <cell r="AQ228" t="str">
            <v/>
          </cell>
          <cell r="AR228" t="str">
            <v/>
          </cell>
          <cell r="AS228" t="str">
            <v/>
          </cell>
          <cell r="AT228" t="str">
            <v/>
          </cell>
        </row>
        <row r="229">
          <cell r="AI229" t="str">
            <v>READING, PA</v>
          </cell>
          <cell r="AJ229" t="str">
            <v>Reading, PA</v>
          </cell>
          <cell r="AK229" t="str">
            <v/>
          </cell>
          <cell r="AL229" t="str">
            <v/>
          </cell>
          <cell r="AM229" t="str">
            <v/>
          </cell>
          <cell r="AN229" t="str">
            <v/>
          </cell>
          <cell r="AO229" t="str">
            <v/>
          </cell>
          <cell r="AP229" t="str">
            <v/>
          </cell>
          <cell r="AQ229" t="str">
            <v/>
          </cell>
          <cell r="AR229" t="str">
            <v/>
          </cell>
          <cell r="AS229" t="str">
            <v/>
          </cell>
          <cell r="AT229" t="str">
            <v/>
          </cell>
        </row>
        <row r="230">
          <cell r="AI230" t="str">
            <v>REDDING, CA</v>
          </cell>
          <cell r="AJ230" t="str">
            <v>Redding, CA</v>
          </cell>
          <cell r="AK230" t="str">
            <v/>
          </cell>
          <cell r="AL230" t="str">
            <v/>
          </cell>
          <cell r="AM230" t="str">
            <v/>
          </cell>
          <cell r="AN230" t="str">
            <v/>
          </cell>
          <cell r="AO230" t="str">
            <v/>
          </cell>
          <cell r="AP230" t="str">
            <v/>
          </cell>
          <cell r="AQ230" t="str">
            <v/>
          </cell>
          <cell r="AR230" t="str">
            <v/>
          </cell>
          <cell r="AS230" t="str">
            <v/>
          </cell>
          <cell r="AT230" t="str">
            <v/>
          </cell>
        </row>
        <row r="231">
          <cell r="AI231" t="str">
            <v>RENO, NV</v>
          </cell>
          <cell r="AJ231" t="str">
            <v>Reno, NV</v>
          </cell>
          <cell r="AK231" t="str">
            <v/>
          </cell>
          <cell r="AL231" t="str">
            <v/>
          </cell>
          <cell r="AM231" t="str">
            <v>BS</v>
          </cell>
          <cell r="AN231" t="str">
            <v>Reno, NV</v>
          </cell>
          <cell r="AO231" t="str">
            <v/>
          </cell>
          <cell r="AP231" t="str">
            <v/>
          </cell>
          <cell r="AQ231" t="str">
            <v/>
          </cell>
          <cell r="AR231" t="str">
            <v/>
          </cell>
          <cell r="AS231" t="str">
            <v/>
          </cell>
          <cell r="AT231" t="str">
            <v/>
          </cell>
        </row>
        <row r="232">
          <cell r="AI232" t="str">
            <v>RICHLAND-KENNEWICK-PASCO, WA</v>
          </cell>
          <cell r="AJ232" t="str">
            <v>Richland-Kennewick-Pasco, WA</v>
          </cell>
          <cell r="AK232" t="str">
            <v/>
          </cell>
          <cell r="AL232" t="str">
            <v/>
          </cell>
          <cell r="AM232" t="str">
            <v/>
          </cell>
          <cell r="AN232" t="str">
            <v/>
          </cell>
          <cell r="AO232" t="str">
            <v/>
          </cell>
          <cell r="AP232" t="str">
            <v/>
          </cell>
          <cell r="AQ232" t="str">
            <v/>
          </cell>
          <cell r="AR232" t="str">
            <v/>
          </cell>
          <cell r="AS232" t="str">
            <v/>
          </cell>
          <cell r="AT232" t="str">
            <v/>
          </cell>
        </row>
        <row r="233">
          <cell r="AI233" t="str">
            <v>RICHMOND-PETERSBURG, VA</v>
          </cell>
          <cell r="AJ233" t="str">
            <v>Richmond-Petersburg, VA</v>
          </cell>
          <cell r="AK233" t="str">
            <v>Richmond, VA</v>
          </cell>
          <cell r="AL233" t="str">
            <v>Top 110</v>
          </cell>
          <cell r="AM233" t="str">
            <v>BS</v>
          </cell>
          <cell r="AN233" t="str">
            <v/>
          </cell>
          <cell r="AO233" t="str">
            <v/>
          </cell>
          <cell r="AP233" t="str">
            <v/>
          </cell>
          <cell r="AQ233" t="str">
            <v/>
          </cell>
          <cell r="AR233" t="str">
            <v/>
          </cell>
          <cell r="AS233" t="str">
            <v/>
          </cell>
          <cell r="AT233" t="str">
            <v/>
          </cell>
        </row>
        <row r="234">
          <cell r="AI234" t="str">
            <v>RIVERSIDE-BERNARDINO, CA</v>
          </cell>
          <cell r="AJ234" t="str">
            <v>Riverside-San Bernadino, CA</v>
          </cell>
          <cell r="AK234" t="str">
            <v>Riverside, CA</v>
          </cell>
          <cell r="AL234" t="str">
            <v>Top 25</v>
          </cell>
          <cell r="AM234" t="str">
            <v>BS</v>
          </cell>
          <cell r="AN234" t="str">
            <v>Riverside, CA</v>
          </cell>
          <cell r="AO234" t="str">
            <v>Riverside, CA</v>
          </cell>
          <cell r="AP234" t="str">
            <v/>
          </cell>
          <cell r="AQ234" t="str">
            <v/>
          </cell>
          <cell r="AR234" t="str">
            <v/>
          </cell>
          <cell r="AS234" t="str">
            <v/>
          </cell>
          <cell r="AT234" t="str">
            <v/>
          </cell>
        </row>
        <row r="235">
          <cell r="AI235" t="str">
            <v>ROANOKE, VA</v>
          </cell>
          <cell r="AJ235" t="str">
            <v>Roanoke, VA</v>
          </cell>
          <cell r="AK235" t="str">
            <v/>
          </cell>
          <cell r="AL235" t="str">
            <v/>
          </cell>
          <cell r="AM235" t="str">
            <v/>
          </cell>
          <cell r="AN235" t="str">
            <v/>
          </cell>
          <cell r="AO235" t="str">
            <v/>
          </cell>
          <cell r="AP235" t="str">
            <v/>
          </cell>
          <cell r="AQ235" t="str">
            <v/>
          </cell>
          <cell r="AR235" t="str">
            <v/>
          </cell>
          <cell r="AS235" t="str">
            <v/>
          </cell>
          <cell r="AT235" t="str">
            <v/>
          </cell>
        </row>
        <row r="236">
          <cell r="AI236" t="str">
            <v>ROCHESTER, MN</v>
          </cell>
          <cell r="AJ236" t="str">
            <v>Rochester, MN</v>
          </cell>
          <cell r="AK236" t="str">
            <v/>
          </cell>
          <cell r="AL236" t="str">
            <v/>
          </cell>
          <cell r="AM236" t="str">
            <v/>
          </cell>
          <cell r="AN236" t="str">
            <v/>
          </cell>
          <cell r="AO236" t="str">
            <v/>
          </cell>
          <cell r="AP236" t="str">
            <v/>
          </cell>
          <cell r="AQ236" t="str">
            <v/>
          </cell>
          <cell r="AR236" t="str">
            <v/>
          </cell>
          <cell r="AS236" t="str">
            <v/>
          </cell>
          <cell r="AT236" t="str">
            <v/>
          </cell>
        </row>
        <row r="237">
          <cell r="AI237" t="str">
            <v>ROCHESTER, NY</v>
          </cell>
          <cell r="AJ237" t="str">
            <v>Rochester, NY</v>
          </cell>
          <cell r="AK237" t="str">
            <v>Rochester, NY</v>
          </cell>
          <cell r="AL237" t="str">
            <v>Top 110</v>
          </cell>
          <cell r="AM237" t="str">
            <v>BS</v>
          </cell>
          <cell r="AN237" t="str">
            <v/>
          </cell>
          <cell r="AO237" t="str">
            <v/>
          </cell>
          <cell r="AP237" t="str">
            <v/>
          </cell>
          <cell r="AQ237" t="str">
            <v/>
          </cell>
          <cell r="AR237" t="str">
            <v/>
          </cell>
          <cell r="AS237" t="str">
            <v/>
          </cell>
          <cell r="AT237" t="str">
            <v/>
          </cell>
        </row>
        <row r="238">
          <cell r="AI238" t="str">
            <v>ROCKFORD, IL</v>
          </cell>
          <cell r="AJ238" t="str">
            <v>Rockford, IL</v>
          </cell>
          <cell r="AK238" t="str">
            <v/>
          </cell>
          <cell r="AL238" t="str">
            <v/>
          </cell>
          <cell r="AM238" t="str">
            <v/>
          </cell>
          <cell r="AN238" t="str">
            <v/>
          </cell>
          <cell r="AO238" t="str">
            <v/>
          </cell>
          <cell r="AP238" t="str">
            <v/>
          </cell>
          <cell r="AQ238" t="str">
            <v/>
          </cell>
          <cell r="AR238" t="str">
            <v/>
          </cell>
          <cell r="AS238" t="str">
            <v/>
          </cell>
          <cell r="AT238" t="str">
            <v/>
          </cell>
        </row>
        <row r="239">
          <cell r="AI239" t="str">
            <v>ROCKY MOUNT, NC</v>
          </cell>
          <cell r="AJ239" t="str">
            <v>Rocky Mount, NC</v>
          </cell>
          <cell r="AK239" t="str">
            <v/>
          </cell>
          <cell r="AL239" t="str">
            <v/>
          </cell>
          <cell r="AM239" t="str">
            <v/>
          </cell>
          <cell r="AN239" t="str">
            <v/>
          </cell>
          <cell r="AO239" t="str">
            <v/>
          </cell>
          <cell r="AP239" t="str">
            <v/>
          </cell>
          <cell r="AQ239" t="str">
            <v/>
          </cell>
          <cell r="AR239" t="str">
            <v/>
          </cell>
          <cell r="AS239" t="str">
            <v/>
          </cell>
          <cell r="AT239" t="str">
            <v/>
          </cell>
        </row>
        <row r="240">
          <cell r="AI240" t="str">
            <v>SACRAMENTO, CA</v>
          </cell>
          <cell r="AJ240" t="str">
            <v>Sacramento, CA</v>
          </cell>
          <cell r="AK240" t="str">
            <v>Sacramento, CA</v>
          </cell>
          <cell r="AL240" t="str">
            <v>Top 50</v>
          </cell>
          <cell r="AM240" t="str">
            <v>BS</v>
          </cell>
          <cell r="AN240" t="str">
            <v>Sacramento, CA</v>
          </cell>
          <cell r="AO240" t="str">
            <v/>
          </cell>
          <cell r="AP240" t="str">
            <v/>
          </cell>
          <cell r="AQ240" t="str">
            <v/>
          </cell>
          <cell r="AR240" t="str">
            <v/>
          </cell>
          <cell r="AS240" t="str">
            <v/>
          </cell>
          <cell r="AT240" t="str">
            <v/>
          </cell>
        </row>
        <row r="241">
          <cell r="AI241" t="str">
            <v>SAGINAW-BAY CITY-MIDLAND, MI</v>
          </cell>
          <cell r="AJ241" t="str">
            <v>Saginaw-Bay City-Midland, MI</v>
          </cell>
          <cell r="AK241" t="str">
            <v/>
          </cell>
          <cell r="AL241" t="str">
            <v/>
          </cell>
          <cell r="AM241" t="str">
            <v/>
          </cell>
          <cell r="AN241" t="str">
            <v/>
          </cell>
          <cell r="AO241" t="str">
            <v/>
          </cell>
          <cell r="AP241" t="str">
            <v/>
          </cell>
          <cell r="AQ241" t="str">
            <v/>
          </cell>
          <cell r="AR241" t="str">
            <v/>
          </cell>
          <cell r="AS241" t="str">
            <v/>
          </cell>
          <cell r="AT241" t="str">
            <v/>
          </cell>
        </row>
        <row r="242">
          <cell r="AI242" t="str">
            <v>SAINT CLOUD, MN</v>
          </cell>
          <cell r="AJ242" t="str">
            <v>Saint Cloud, MN</v>
          </cell>
          <cell r="AK242" t="str">
            <v/>
          </cell>
          <cell r="AL242" t="str">
            <v/>
          </cell>
          <cell r="AM242" t="str">
            <v/>
          </cell>
          <cell r="AN242" t="str">
            <v/>
          </cell>
          <cell r="AO242" t="str">
            <v/>
          </cell>
          <cell r="AP242" t="str">
            <v/>
          </cell>
          <cell r="AQ242" t="str">
            <v/>
          </cell>
          <cell r="AR242" t="str">
            <v/>
          </cell>
          <cell r="AS242" t="str">
            <v/>
          </cell>
          <cell r="AT242" t="str">
            <v/>
          </cell>
        </row>
        <row r="243">
          <cell r="AI243" t="str">
            <v>SAINT JOSEPH, MO</v>
          </cell>
          <cell r="AJ243" t="str">
            <v>Saint Joseph, MO</v>
          </cell>
          <cell r="AK243" t="str">
            <v/>
          </cell>
          <cell r="AL243" t="str">
            <v/>
          </cell>
          <cell r="AM243" t="str">
            <v/>
          </cell>
          <cell r="AN243" t="str">
            <v/>
          </cell>
          <cell r="AO243" t="str">
            <v/>
          </cell>
          <cell r="AP243" t="str">
            <v/>
          </cell>
          <cell r="AQ243" t="str">
            <v/>
          </cell>
          <cell r="AR243" t="str">
            <v/>
          </cell>
          <cell r="AS243" t="str">
            <v/>
          </cell>
          <cell r="AT243" t="str">
            <v/>
          </cell>
        </row>
        <row r="244">
          <cell r="AI244" t="str">
            <v>SAINT LOUIS, MO-IL</v>
          </cell>
          <cell r="AJ244" t="str">
            <v>Saint Louis, MO-IL</v>
          </cell>
          <cell r="AK244" t="str">
            <v>Saint Louis, MO</v>
          </cell>
          <cell r="AL244" t="str">
            <v>Top 25</v>
          </cell>
          <cell r="AM244" t="str">
            <v>BS</v>
          </cell>
          <cell r="AN244" t="str">
            <v>Saint Louis, MO</v>
          </cell>
          <cell r="AO244" t="str">
            <v>Saint Louis, MO</v>
          </cell>
          <cell r="AP244" t="str">
            <v/>
          </cell>
          <cell r="AQ244" t="str">
            <v>Saint Louis, MO</v>
          </cell>
          <cell r="AR244" t="str">
            <v>Saint Louis, MO</v>
          </cell>
          <cell r="AS244" t="str">
            <v/>
          </cell>
          <cell r="AT244" t="str">
            <v/>
          </cell>
        </row>
        <row r="245">
          <cell r="AI245" t="str">
            <v>SALINAS, CA</v>
          </cell>
          <cell r="AJ245" t="str">
            <v>Salinas, CA</v>
          </cell>
          <cell r="AK245" t="str">
            <v/>
          </cell>
          <cell r="AL245" t="str">
            <v/>
          </cell>
          <cell r="AM245" t="str">
            <v>BS</v>
          </cell>
          <cell r="AN245" t="str">
            <v/>
          </cell>
          <cell r="AO245" t="str">
            <v/>
          </cell>
          <cell r="AP245" t="str">
            <v/>
          </cell>
          <cell r="AQ245" t="str">
            <v/>
          </cell>
          <cell r="AR245" t="str">
            <v/>
          </cell>
          <cell r="AS245" t="str">
            <v/>
          </cell>
          <cell r="AT245" t="str">
            <v/>
          </cell>
        </row>
        <row r="246">
          <cell r="AI246" t="str">
            <v>SALT LAKE CITY-OGDEN, UT</v>
          </cell>
          <cell r="AJ246" t="str">
            <v>Salt Lake City, UT</v>
          </cell>
          <cell r="AK246" t="str">
            <v>Salt Lake City, UT</v>
          </cell>
          <cell r="AL246" t="str">
            <v>Top 110</v>
          </cell>
          <cell r="AM246" t="str">
            <v>BS</v>
          </cell>
          <cell r="AN246" t="str">
            <v>Salt Lake City, UT</v>
          </cell>
          <cell r="AO246" t="str">
            <v/>
          </cell>
          <cell r="AP246" t="str">
            <v/>
          </cell>
          <cell r="AQ246" t="str">
            <v>Salt Lake City, UT</v>
          </cell>
          <cell r="AR246" t="str">
            <v/>
          </cell>
          <cell r="AS246" t="str">
            <v/>
          </cell>
          <cell r="AT246" t="str">
            <v/>
          </cell>
        </row>
        <row r="247">
          <cell r="AI247" t="str">
            <v>SAN ANGELO, TX</v>
          </cell>
          <cell r="AJ247" t="str">
            <v>San Angelo, TX</v>
          </cell>
          <cell r="AK247" t="str">
            <v/>
          </cell>
          <cell r="AL247" t="str">
            <v/>
          </cell>
          <cell r="AM247" t="str">
            <v/>
          </cell>
          <cell r="AN247" t="str">
            <v/>
          </cell>
          <cell r="AO247" t="str">
            <v/>
          </cell>
          <cell r="AP247" t="str">
            <v/>
          </cell>
          <cell r="AQ247" t="str">
            <v/>
          </cell>
          <cell r="AR247" t="str">
            <v/>
          </cell>
          <cell r="AS247" t="str">
            <v/>
          </cell>
          <cell r="AT247" t="str">
            <v/>
          </cell>
        </row>
        <row r="248">
          <cell r="AI248" t="str">
            <v>SAN ANTONIO, TX</v>
          </cell>
          <cell r="AJ248" t="str">
            <v>San Antonio, TX</v>
          </cell>
          <cell r="AK248" t="str">
            <v>San Antonio, TX</v>
          </cell>
          <cell r="AL248" t="str">
            <v>Top 50</v>
          </cell>
          <cell r="AM248" t="str">
            <v>BS</v>
          </cell>
          <cell r="AN248" t="str">
            <v>San Antonio, TX</v>
          </cell>
          <cell r="AO248" t="str">
            <v/>
          </cell>
          <cell r="AP248" t="str">
            <v>SAN ANTONIO, TX</v>
          </cell>
          <cell r="AQ248" t="str">
            <v/>
          </cell>
          <cell r="AR248" t="str">
            <v/>
          </cell>
          <cell r="AS248" t="str">
            <v/>
          </cell>
          <cell r="AT248" t="str">
            <v/>
          </cell>
        </row>
        <row r="249">
          <cell r="AI249" t="str">
            <v>SAN DIEGO, CA</v>
          </cell>
          <cell r="AJ249" t="str">
            <v>San Diego, CA</v>
          </cell>
          <cell r="AK249" t="str">
            <v>San Diego, CA</v>
          </cell>
          <cell r="AL249" t="str">
            <v>Top 25</v>
          </cell>
          <cell r="AM249" t="str">
            <v>BS</v>
          </cell>
          <cell r="AN249" t="str">
            <v>San Diego, CA</v>
          </cell>
          <cell r="AO249" t="str">
            <v>San Diego, CA</v>
          </cell>
          <cell r="AP249" t="str">
            <v>SAN DIEGO, CA</v>
          </cell>
          <cell r="AQ249" t="str">
            <v/>
          </cell>
          <cell r="AR249" t="str">
            <v>San Diego, CA</v>
          </cell>
          <cell r="AS249" t="str">
            <v>San Diego, CA</v>
          </cell>
          <cell r="AT249" t="str">
            <v>San Diego, CA</v>
          </cell>
        </row>
        <row r="250">
          <cell r="AI250" t="str">
            <v>SAN FRANCISCO, CA</v>
          </cell>
          <cell r="AJ250" t="str">
            <v>San Francisco, CA</v>
          </cell>
          <cell r="AK250" t="str">
            <v>San Francisco, CA</v>
          </cell>
          <cell r="AL250" t="str">
            <v>Top 50</v>
          </cell>
          <cell r="AM250" t="str">
            <v>BS</v>
          </cell>
          <cell r="AN250" t="str">
            <v>San Francisco, CA</v>
          </cell>
          <cell r="AO250" t="str">
            <v>San Francisco, CA</v>
          </cell>
          <cell r="AP250" t="str">
            <v>SAN FRANCISCO, CA</v>
          </cell>
          <cell r="AQ250" t="str">
            <v>San Francisco, CA</v>
          </cell>
          <cell r="AR250" t="str">
            <v>San Francisco, CA</v>
          </cell>
          <cell r="AS250" t="str">
            <v>San Francisco, CA</v>
          </cell>
          <cell r="AT250" t="str">
            <v>San Francisco, CA</v>
          </cell>
        </row>
        <row r="251">
          <cell r="AI251" t="str">
            <v>SAN JOSE, CA</v>
          </cell>
          <cell r="AJ251" t="str">
            <v>San Jose-Santa Cruz, CA</v>
          </cell>
          <cell r="AK251" t="str">
            <v>San Jose, CA</v>
          </cell>
          <cell r="AL251" t="str">
            <v>Top 50</v>
          </cell>
          <cell r="AM251" t="str">
            <v>BS</v>
          </cell>
          <cell r="AN251" t="str">
            <v>San Jose, CA</v>
          </cell>
          <cell r="AO251" t="str">
            <v/>
          </cell>
          <cell r="AP251" t="str">
            <v>SAN JOSE, CA</v>
          </cell>
          <cell r="AQ251" t="str">
            <v/>
          </cell>
          <cell r="AR251" t="str">
            <v/>
          </cell>
          <cell r="AS251" t="str">
            <v/>
          </cell>
          <cell r="AT251" t="str">
            <v/>
          </cell>
        </row>
        <row r="252">
          <cell r="AI252" t="str">
            <v>SAN LUIS OBISPO-ATASCADERO- PASO ROBLES  CA</v>
          </cell>
          <cell r="AJ252" t="str">
            <v>San Luis Obispo-Atascadero, CA</v>
          </cell>
          <cell r="AK252" t="str">
            <v/>
          </cell>
          <cell r="AL252" t="str">
            <v/>
          </cell>
          <cell r="AM252" t="str">
            <v/>
          </cell>
          <cell r="AN252" t="str">
            <v/>
          </cell>
          <cell r="AO252" t="str">
            <v/>
          </cell>
          <cell r="AP252" t="str">
            <v/>
          </cell>
          <cell r="AQ252" t="str">
            <v/>
          </cell>
          <cell r="AR252" t="str">
            <v/>
          </cell>
          <cell r="AS252" t="str">
            <v/>
          </cell>
          <cell r="AT252" t="str">
            <v/>
          </cell>
        </row>
        <row r="253">
          <cell r="AI253" t="str">
            <v>SANTA BARBARA-SANTA MARIA-LOMPOC, CA</v>
          </cell>
          <cell r="AJ253" t="str">
            <v>Santa Barbara-Santa Maria-Lompoc, CA</v>
          </cell>
          <cell r="AK253" t="str">
            <v/>
          </cell>
          <cell r="AL253" t="str">
            <v/>
          </cell>
          <cell r="AM253" t="str">
            <v/>
          </cell>
          <cell r="AN253" t="str">
            <v/>
          </cell>
          <cell r="AO253" t="str">
            <v/>
          </cell>
          <cell r="AP253" t="str">
            <v/>
          </cell>
          <cell r="AQ253" t="str">
            <v/>
          </cell>
          <cell r="AR253" t="str">
            <v/>
          </cell>
          <cell r="AS253" t="str">
            <v/>
          </cell>
          <cell r="AT253" t="str">
            <v/>
          </cell>
        </row>
        <row r="254">
          <cell r="AI254" t="str">
            <v>SANTA CRUZ-WATSONVILLE, CA</v>
          </cell>
          <cell r="AJ254" t="str">
            <v>Santa Cruz-Watsonville, CA</v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 t="str">
            <v/>
          </cell>
        </row>
        <row r="255">
          <cell r="AI255" t="str">
            <v>SANTA FE, NM</v>
          </cell>
          <cell r="AJ255" t="str">
            <v>Santa Fe, NM</v>
          </cell>
          <cell r="AK255" t="str">
            <v/>
          </cell>
          <cell r="AL255" t="str">
            <v/>
          </cell>
          <cell r="AM255" t="str">
            <v/>
          </cell>
          <cell r="AN255" t="str">
            <v/>
          </cell>
          <cell r="AO255" t="str">
            <v/>
          </cell>
          <cell r="AP255" t="str">
            <v/>
          </cell>
          <cell r="AQ255" t="str">
            <v/>
          </cell>
          <cell r="AR255" t="str">
            <v/>
          </cell>
          <cell r="AS255" t="str">
            <v/>
          </cell>
          <cell r="AT255" t="str">
            <v/>
          </cell>
        </row>
        <row r="256">
          <cell r="AI256" t="str">
            <v>SARASOTA-BRADENTON, FL</v>
          </cell>
          <cell r="AJ256" t="str">
            <v>Sarasota-Bradenton, FL</v>
          </cell>
          <cell r="AK256" t="str">
            <v>Sarasota, FL</v>
          </cell>
          <cell r="AL256" t="str">
            <v>Top 110</v>
          </cell>
          <cell r="AM256" t="str">
            <v/>
          </cell>
          <cell r="AN256" t="str">
            <v/>
          </cell>
          <cell r="AO256" t="str">
            <v/>
          </cell>
          <cell r="AP256" t="str">
            <v/>
          </cell>
          <cell r="AQ256" t="str">
            <v/>
          </cell>
          <cell r="AR256" t="str">
            <v/>
          </cell>
          <cell r="AS256" t="str">
            <v/>
          </cell>
          <cell r="AT256" t="str">
            <v/>
          </cell>
        </row>
        <row r="257">
          <cell r="AI257" t="str">
            <v>SAVANNAH, GA</v>
          </cell>
          <cell r="AJ257" t="str">
            <v>Savannah, GA</v>
          </cell>
          <cell r="AK257" t="str">
            <v/>
          </cell>
          <cell r="AL257" t="str">
            <v/>
          </cell>
          <cell r="AM257" t="str">
            <v/>
          </cell>
          <cell r="AN257" t="str">
            <v/>
          </cell>
          <cell r="AO257" t="str">
            <v/>
          </cell>
          <cell r="AP257" t="str">
            <v/>
          </cell>
          <cell r="AQ257" t="str">
            <v/>
          </cell>
          <cell r="AR257" t="str">
            <v/>
          </cell>
          <cell r="AS257" t="str">
            <v/>
          </cell>
          <cell r="AT257" t="str">
            <v/>
          </cell>
        </row>
        <row r="258">
          <cell r="AI258" t="str">
            <v>SCRANTON-WILKES BARRE-HAZLETON, PA</v>
          </cell>
          <cell r="AJ258" t="str">
            <v>Scranton-Wilkes-Barre, PA</v>
          </cell>
          <cell r="AK258" t="str">
            <v>Scranton, PA</v>
          </cell>
          <cell r="AL258" t="str">
            <v>Top 110</v>
          </cell>
          <cell r="AM258" t="str">
            <v>BS</v>
          </cell>
          <cell r="AN258" t="str">
            <v/>
          </cell>
          <cell r="AO258" t="str">
            <v/>
          </cell>
          <cell r="AP258" t="str">
            <v/>
          </cell>
          <cell r="AQ258" t="str">
            <v/>
          </cell>
          <cell r="AR258" t="str">
            <v/>
          </cell>
          <cell r="AS258" t="str">
            <v/>
          </cell>
          <cell r="AT258" t="str">
            <v/>
          </cell>
        </row>
        <row r="259">
          <cell r="AI259" t="str">
            <v>SEATTLE-BELLEVUE-EVERETT, WA</v>
          </cell>
          <cell r="AJ259" t="str">
            <v>Seattle-Everett, WA</v>
          </cell>
          <cell r="AK259" t="str">
            <v>Seattle, WA</v>
          </cell>
          <cell r="AL259" t="str">
            <v>Top 25</v>
          </cell>
          <cell r="AM259" t="str">
            <v>BS</v>
          </cell>
          <cell r="AN259" t="str">
            <v>Seattle, WA</v>
          </cell>
          <cell r="AO259" t="str">
            <v>Seattle, WA</v>
          </cell>
          <cell r="AP259" t="str">
            <v>SEATTLE, WA</v>
          </cell>
          <cell r="AQ259" t="str">
            <v>Seattle, WA</v>
          </cell>
          <cell r="AR259" t="str">
            <v>Seattle, WA</v>
          </cell>
          <cell r="AS259" t="str">
            <v/>
          </cell>
          <cell r="AT259" t="str">
            <v/>
          </cell>
        </row>
        <row r="260">
          <cell r="AI260" t="str">
            <v>SHARON, PA</v>
          </cell>
          <cell r="AJ260" t="str">
            <v>Sharon, PA</v>
          </cell>
          <cell r="AK260" t="str">
            <v/>
          </cell>
          <cell r="AL260" t="str">
            <v/>
          </cell>
          <cell r="AM260" t="str">
            <v/>
          </cell>
          <cell r="AN260" t="str">
            <v/>
          </cell>
          <cell r="AO260" t="str">
            <v/>
          </cell>
          <cell r="AP260" t="str">
            <v/>
          </cell>
          <cell r="AQ260" t="str">
            <v/>
          </cell>
          <cell r="AR260" t="str">
            <v/>
          </cell>
          <cell r="AS260" t="str">
            <v/>
          </cell>
          <cell r="AT260" t="str">
            <v/>
          </cell>
        </row>
        <row r="261">
          <cell r="AI261" t="str">
            <v>SHERMAN-DENISON, TX</v>
          </cell>
          <cell r="AJ261" t="str">
            <v>Sherman-Denison, TX</v>
          </cell>
          <cell r="AK261" t="str">
            <v/>
          </cell>
          <cell r="AL261" t="str">
            <v/>
          </cell>
          <cell r="AM261" t="str">
            <v/>
          </cell>
          <cell r="AN261" t="str">
            <v/>
          </cell>
          <cell r="AO261" t="str">
            <v/>
          </cell>
          <cell r="AP261" t="str">
            <v/>
          </cell>
          <cell r="AQ261" t="str">
            <v/>
          </cell>
          <cell r="AR261" t="str">
            <v/>
          </cell>
          <cell r="AS261" t="str">
            <v/>
          </cell>
          <cell r="AT261" t="str">
            <v/>
          </cell>
        </row>
        <row r="262">
          <cell r="AI262" t="str">
            <v>SHREVEPORT-BOSSIER CITY, LA</v>
          </cell>
          <cell r="AJ262" t="str">
            <v>Shreveport-Bossier City, LA</v>
          </cell>
          <cell r="AK262" t="str">
            <v/>
          </cell>
          <cell r="AL262" t="str">
            <v/>
          </cell>
          <cell r="AM262" t="str">
            <v/>
          </cell>
          <cell r="AN262" t="str">
            <v/>
          </cell>
          <cell r="AO262" t="str">
            <v/>
          </cell>
          <cell r="AP262" t="str">
            <v/>
          </cell>
          <cell r="AQ262" t="str">
            <v/>
          </cell>
          <cell r="AR262" t="str">
            <v/>
          </cell>
          <cell r="AS262" t="str">
            <v/>
          </cell>
          <cell r="AT262" t="str">
            <v/>
          </cell>
        </row>
        <row r="263">
          <cell r="AI263" t="str">
            <v>SIOUX CITY, IA-NE</v>
          </cell>
          <cell r="AJ263" t="str">
            <v>Sioux City, IA-NE</v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 t="str">
            <v/>
          </cell>
        </row>
        <row r="264">
          <cell r="AI264" t="str">
            <v>SIOUX FALLS, SD</v>
          </cell>
          <cell r="AJ264" t="str">
            <v>Sioux Falls, SD</v>
          </cell>
          <cell r="AK264" t="str">
            <v/>
          </cell>
          <cell r="AL264" t="str">
            <v/>
          </cell>
          <cell r="AM264" t="str">
            <v/>
          </cell>
          <cell r="AN264" t="str">
            <v/>
          </cell>
          <cell r="AO264" t="str">
            <v/>
          </cell>
          <cell r="AP264" t="str">
            <v/>
          </cell>
          <cell r="AQ264" t="str">
            <v/>
          </cell>
          <cell r="AR264" t="str">
            <v/>
          </cell>
          <cell r="AS264" t="str">
            <v/>
          </cell>
          <cell r="AT264" t="str">
            <v/>
          </cell>
        </row>
        <row r="265">
          <cell r="AI265" t="str">
            <v>SOUTH BEND, IN</v>
          </cell>
          <cell r="AJ265" t="str">
            <v>South Bend, IN</v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/>
          </cell>
          <cell r="AQ265" t="str">
            <v/>
          </cell>
          <cell r="AR265" t="str">
            <v/>
          </cell>
          <cell r="AS265" t="str">
            <v/>
          </cell>
          <cell r="AT265" t="str">
            <v/>
          </cell>
        </row>
        <row r="266">
          <cell r="AI266" t="str">
            <v>SPOKANE, WA</v>
          </cell>
          <cell r="AJ266" t="str">
            <v>Spokane, WA</v>
          </cell>
          <cell r="AK266" t="str">
            <v/>
          </cell>
          <cell r="AL266" t="str">
            <v/>
          </cell>
          <cell r="AM266" t="str">
            <v/>
          </cell>
          <cell r="AN266" t="str">
            <v/>
          </cell>
          <cell r="AO266" t="str">
            <v/>
          </cell>
          <cell r="AP266" t="str">
            <v/>
          </cell>
          <cell r="AQ266" t="str">
            <v/>
          </cell>
          <cell r="AR266" t="str">
            <v/>
          </cell>
          <cell r="AS266" t="str">
            <v/>
          </cell>
          <cell r="AT266" t="str">
            <v/>
          </cell>
        </row>
        <row r="267">
          <cell r="AI267" t="str">
            <v>SPRINGFIELD, IL</v>
          </cell>
          <cell r="AJ267" t="str">
            <v>Springfield, IL</v>
          </cell>
          <cell r="AK267" t="str">
            <v/>
          </cell>
          <cell r="AL267" t="str">
            <v/>
          </cell>
          <cell r="AM267" t="str">
            <v/>
          </cell>
          <cell r="AN267" t="str">
            <v/>
          </cell>
          <cell r="AO267" t="str">
            <v/>
          </cell>
          <cell r="AP267" t="str">
            <v/>
          </cell>
          <cell r="AQ267" t="str">
            <v/>
          </cell>
          <cell r="AR267" t="str">
            <v/>
          </cell>
          <cell r="AS267" t="str">
            <v/>
          </cell>
          <cell r="AT267" t="str">
            <v>Springfield, IL</v>
          </cell>
        </row>
        <row r="268">
          <cell r="AI268" t="str">
            <v>SPRINGFIELD, MA</v>
          </cell>
          <cell r="AJ268" t="str">
            <v>Springfield, MA</v>
          </cell>
          <cell r="AK268" t="str">
            <v>Springfield, MA</v>
          </cell>
          <cell r="AL268" t="str">
            <v>Top 110</v>
          </cell>
          <cell r="AM268" t="str">
            <v/>
          </cell>
          <cell r="AN268" t="str">
            <v/>
          </cell>
          <cell r="AO268" t="str">
            <v/>
          </cell>
          <cell r="AP268" t="str">
            <v/>
          </cell>
          <cell r="AQ268" t="str">
            <v/>
          </cell>
          <cell r="AR268" t="str">
            <v/>
          </cell>
          <cell r="AS268" t="str">
            <v/>
          </cell>
          <cell r="AT268" t="str">
            <v/>
          </cell>
        </row>
        <row r="269">
          <cell r="AI269" t="str">
            <v>SPRINGFIELD, MO</v>
          </cell>
          <cell r="AJ269" t="str">
            <v>Springfield, MO</v>
          </cell>
          <cell r="AK269" t="str">
            <v/>
          </cell>
          <cell r="AL269" t="str">
            <v/>
          </cell>
          <cell r="AM269" t="str">
            <v/>
          </cell>
          <cell r="AN269" t="str">
            <v/>
          </cell>
          <cell r="AO269" t="str">
            <v/>
          </cell>
          <cell r="AP269" t="str">
            <v/>
          </cell>
          <cell r="AQ269" t="str">
            <v/>
          </cell>
          <cell r="AR269" t="str">
            <v/>
          </cell>
          <cell r="AS269" t="str">
            <v/>
          </cell>
          <cell r="AT269" t="str">
            <v/>
          </cell>
        </row>
        <row r="270">
          <cell r="AI270" t="str">
            <v>STATE COLLEGE, PA</v>
          </cell>
          <cell r="AJ270" t="str">
            <v>State College, PA</v>
          </cell>
          <cell r="AK270" t="str">
            <v/>
          </cell>
          <cell r="AL270" t="str">
            <v/>
          </cell>
          <cell r="AM270" t="str">
            <v/>
          </cell>
          <cell r="AN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str">
            <v/>
          </cell>
          <cell r="AS270" t="str">
            <v/>
          </cell>
          <cell r="AT270" t="str">
            <v/>
          </cell>
        </row>
        <row r="271">
          <cell r="AI271" t="str">
            <v>STEUBENVILLE-WEIRTON, OH-WV</v>
          </cell>
          <cell r="AJ271" t="str">
            <v>Steubenville-Weirton, OH-WV</v>
          </cell>
          <cell r="AK271" t="str">
            <v/>
          </cell>
          <cell r="AL271" t="str">
            <v/>
          </cell>
          <cell r="AM271" t="str">
            <v/>
          </cell>
          <cell r="AN271" t="str">
            <v/>
          </cell>
          <cell r="AO271" t="str">
            <v/>
          </cell>
          <cell r="AP271" t="str">
            <v/>
          </cell>
          <cell r="AQ271" t="str">
            <v/>
          </cell>
          <cell r="AR271" t="str">
            <v/>
          </cell>
          <cell r="AS271" t="str">
            <v/>
          </cell>
          <cell r="AT271" t="str">
            <v/>
          </cell>
        </row>
        <row r="272">
          <cell r="AI272" t="str">
            <v>STOCKTON-LODI, CA</v>
          </cell>
          <cell r="AJ272" t="str">
            <v>Stockton-Lodi, CA</v>
          </cell>
          <cell r="AK272" t="str">
            <v>Stockton, CA</v>
          </cell>
          <cell r="AL272" t="str">
            <v>Top 110</v>
          </cell>
          <cell r="AM272" t="str">
            <v/>
          </cell>
          <cell r="AN272" t="str">
            <v/>
          </cell>
          <cell r="AO272" t="str">
            <v/>
          </cell>
          <cell r="AP272" t="str">
            <v/>
          </cell>
          <cell r="AQ272" t="str">
            <v/>
          </cell>
          <cell r="AR272" t="str">
            <v/>
          </cell>
          <cell r="AS272" t="str">
            <v/>
          </cell>
          <cell r="AT272" t="str">
            <v/>
          </cell>
        </row>
        <row r="273">
          <cell r="AI273" t="str">
            <v>SUMTER, SC</v>
          </cell>
          <cell r="AJ273" t="str">
            <v>Sumter, SC</v>
          </cell>
          <cell r="AK273" t="str">
            <v/>
          </cell>
          <cell r="AL273" t="str">
            <v/>
          </cell>
          <cell r="AM273" t="str">
            <v/>
          </cell>
          <cell r="AN273" t="str">
            <v/>
          </cell>
          <cell r="AO273" t="str">
            <v/>
          </cell>
          <cell r="AP273" t="str">
            <v/>
          </cell>
          <cell r="AQ273" t="str">
            <v/>
          </cell>
          <cell r="AR273" t="str">
            <v/>
          </cell>
          <cell r="AS273" t="str">
            <v/>
          </cell>
          <cell r="AT273" t="str">
            <v/>
          </cell>
        </row>
        <row r="274">
          <cell r="AI274" t="str">
            <v>SYRACUSE, NY</v>
          </cell>
          <cell r="AJ274" t="str">
            <v>Syracuse, NY</v>
          </cell>
          <cell r="AK274" t="str">
            <v>Syracuse, NY</v>
          </cell>
          <cell r="AL274" t="str">
            <v>Top 110</v>
          </cell>
          <cell r="AM274" t="str">
            <v>BS</v>
          </cell>
          <cell r="AN274" t="str">
            <v/>
          </cell>
          <cell r="AO274" t="str">
            <v/>
          </cell>
          <cell r="AP274" t="str">
            <v/>
          </cell>
          <cell r="AQ274" t="str">
            <v/>
          </cell>
          <cell r="AR274" t="str">
            <v/>
          </cell>
          <cell r="AS274" t="str">
            <v/>
          </cell>
          <cell r="AT274" t="str">
            <v/>
          </cell>
        </row>
        <row r="275">
          <cell r="AI275" t="str">
            <v>TACOMA, WA</v>
          </cell>
          <cell r="AJ275" t="str">
            <v>Tacoma, WA</v>
          </cell>
          <cell r="AK275" t="str">
            <v>Tacoma, WA</v>
          </cell>
          <cell r="AL275" t="str">
            <v>Top 110</v>
          </cell>
          <cell r="AM275" t="str">
            <v/>
          </cell>
          <cell r="AN275" t="str">
            <v/>
          </cell>
          <cell r="AO275" t="str">
            <v/>
          </cell>
          <cell r="AP275" t="str">
            <v/>
          </cell>
          <cell r="AQ275" t="str">
            <v/>
          </cell>
          <cell r="AR275" t="str">
            <v/>
          </cell>
          <cell r="AS275" t="str">
            <v/>
          </cell>
          <cell r="AT275" t="str">
            <v/>
          </cell>
        </row>
        <row r="276">
          <cell r="AI276" t="str">
            <v>TALLAHASSEE, FL</v>
          </cell>
          <cell r="AJ276" t="str">
            <v>Tallahassee, FL</v>
          </cell>
          <cell r="AK276" t="str">
            <v/>
          </cell>
          <cell r="AL276" t="str">
            <v/>
          </cell>
          <cell r="AM276" t="str">
            <v/>
          </cell>
          <cell r="AN276" t="str">
            <v/>
          </cell>
          <cell r="AO276" t="str">
            <v/>
          </cell>
          <cell r="AP276" t="str">
            <v/>
          </cell>
          <cell r="AQ276" t="str">
            <v/>
          </cell>
          <cell r="AR276" t="str">
            <v/>
          </cell>
          <cell r="AS276" t="str">
            <v/>
          </cell>
          <cell r="AT276" t="str">
            <v/>
          </cell>
        </row>
        <row r="277">
          <cell r="AI277" t="str">
            <v>TAMPA-SAINT PETERSBURG-CLEARWATER, FL</v>
          </cell>
          <cell r="AJ277" t="str">
            <v>Tampa-St. Petersburg, FL</v>
          </cell>
          <cell r="AK277" t="str">
            <v>Tampa, FL</v>
          </cell>
          <cell r="AL277" t="str">
            <v>Top 25</v>
          </cell>
          <cell r="AM277" t="str">
            <v>BS</v>
          </cell>
          <cell r="AN277" t="str">
            <v>Tampa, FL</v>
          </cell>
          <cell r="AO277" t="str">
            <v>Tampa, FL</v>
          </cell>
          <cell r="AP277" t="str">
            <v/>
          </cell>
          <cell r="AQ277" t="str">
            <v/>
          </cell>
          <cell r="AR277" t="str">
            <v>Tampa, FL</v>
          </cell>
          <cell r="AS277" t="str">
            <v/>
          </cell>
          <cell r="AT277" t="str">
            <v/>
          </cell>
        </row>
        <row r="278">
          <cell r="AI278" t="str">
            <v>TEXARKANA, TX-TEXARKANA, AR</v>
          </cell>
          <cell r="AJ278" t="str">
            <v>Texarkana, TX-Texarkana, AR</v>
          </cell>
          <cell r="AK278" t="str">
            <v/>
          </cell>
          <cell r="AL278" t="str">
            <v/>
          </cell>
          <cell r="AM278" t="str">
            <v/>
          </cell>
          <cell r="AN278" t="str">
            <v/>
          </cell>
          <cell r="AO278" t="str">
            <v/>
          </cell>
          <cell r="AP278" t="str">
            <v/>
          </cell>
          <cell r="AQ278" t="str">
            <v/>
          </cell>
          <cell r="AR278" t="str">
            <v/>
          </cell>
          <cell r="AS278" t="str">
            <v/>
          </cell>
          <cell r="AT278" t="str">
            <v/>
          </cell>
        </row>
        <row r="279">
          <cell r="AI279" t="str">
            <v>TOLEDO, OH</v>
          </cell>
          <cell r="AJ279" t="str">
            <v>Toledo, OH</v>
          </cell>
          <cell r="AK279" t="str">
            <v>Toledo, OH</v>
          </cell>
          <cell r="AL279" t="str">
            <v>Top 110</v>
          </cell>
          <cell r="AM279" t="str">
            <v/>
          </cell>
          <cell r="AN279" t="str">
            <v/>
          </cell>
          <cell r="AO279" t="str">
            <v/>
          </cell>
          <cell r="AP279" t="str">
            <v/>
          </cell>
          <cell r="AQ279" t="str">
            <v/>
          </cell>
          <cell r="AR279" t="str">
            <v/>
          </cell>
          <cell r="AS279" t="str">
            <v/>
          </cell>
          <cell r="AT279" t="str">
            <v/>
          </cell>
        </row>
        <row r="280">
          <cell r="AI280" t="str">
            <v>TOPEKA, KS</v>
          </cell>
          <cell r="AJ280" t="str">
            <v>Topeka, KS</v>
          </cell>
          <cell r="AK280" t="str">
            <v/>
          </cell>
          <cell r="AL280" t="str">
            <v/>
          </cell>
          <cell r="AM280" t="str">
            <v/>
          </cell>
          <cell r="AN280" t="str">
            <v/>
          </cell>
          <cell r="AO280" t="str">
            <v/>
          </cell>
          <cell r="AP280" t="str">
            <v/>
          </cell>
          <cell r="AQ280" t="str">
            <v/>
          </cell>
          <cell r="AR280" t="str">
            <v/>
          </cell>
          <cell r="AS280" t="str">
            <v/>
          </cell>
          <cell r="AT280" t="str">
            <v/>
          </cell>
        </row>
        <row r="281">
          <cell r="AI281" t="str">
            <v>TRENTON, NJ</v>
          </cell>
          <cell r="AJ281" t="str">
            <v>Trenton, NJ</v>
          </cell>
          <cell r="AK281" t="str">
            <v/>
          </cell>
          <cell r="AL281" t="str">
            <v/>
          </cell>
          <cell r="AM281" t="str">
            <v/>
          </cell>
          <cell r="AN281" t="str">
            <v/>
          </cell>
          <cell r="AO281" t="str">
            <v>New York Suburban</v>
          </cell>
          <cell r="AP281" t="str">
            <v/>
          </cell>
          <cell r="AQ281" t="str">
            <v/>
          </cell>
          <cell r="AR281" t="str">
            <v/>
          </cell>
          <cell r="AS281" t="str">
            <v/>
          </cell>
          <cell r="AT281" t="str">
            <v/>
          </cell>
        </row>
        <row r="282">
          <cell r="AI282" t="str">
            <v>TUCSON, AZ</v>
          </cell>
          <cell r="AJ282" t="str">
            <v>Tucson, AZ</v>
          </cell>
          <cell r="AK282" t="str">
            <v>Tucson, AZ</v>
          </cell>
          <cell r="AL282" t="str">
            <v>Top 110</v>
          </cell>
          <cell r="AM282" t="str">
            <v>BS</v>
          </cell>
          <cell r="AN282" t="str">
            <v/>
          </cell>
          <cell r="AO282" t="str">
            <v/>
          </cell>
          <cell r="AP282" t="str">
            <v/>
          </cell>
          <cell r="AQ282" t="str">
            <v/>
          </cell>
          <cell r="AR282" t="str">
            <v/>
          </cell>
          <cell r="AS282" t="str">
            <v/>
          </cell>
          <cell r="AT282" t="str">
            <v/>
          </cell>
        </row>
        <row r="283">
          <cell r="AI283" t="str">
            <v>TULSA, OK</v>
          </cell>
          <cell r="AJ283" t="str">
            <v>Tulsa, OK</v>
          </cell>
          <cell r="AK283" t="str">
            <v>Tulsa, OK</v>
          </cell>
          <cell r="AL283" t="str">
            <v>Top 110</v>
          </cell>
          <cell r="AM283" t="str">
            <v>BS</v>
          </cell>
          <cell r="AN283" t="str">
            <v/>
          </cell>
          <cell r="AO283" t="str">
            <v/>
          </cell>
          <cell r="AP283" t="str">
            <v/>
          </cell>
          <cell r="AQ283" t="str">
            <v/>
          </cell>
          <cell r="AR283" t="str">
            <v/>
          </cell>
          <cell r="AS283" t="str">
            <v/>
          </cell>
          <cell r="AT283" t="str">
            <v/>
          </cell>
        </row>
        <row r="284">
          <cell r="AI284" t="str">
            <v>TUSCALOOSA, AL</v>
          </cell>
          <cell r="AJ284" t="str">
            <v>Tuscaloosa, AL</v>
          </cell>
          <cell r="AK284" t="str">
            <v/>
          </cell>
          <cell r="AL284" t="str">
            <v/>
          </cell>
          <cell r="AM284" t="str">
            <v/>
          </cell>
          <cell r="AN284" t="str">
            <v/>
          </cell>
          <cell r="AO284" t="str">
            <v/>
          </cell>
          <cell r="AP284" t="str">
            <v/>
          </cell>
          <cell r="AQ284" t="str">
            <v/>
          </cell>
          <cell r="AR284" t="str">
            <v/>
          </cell>
          <cell r="AS284" t="str">
            <v/>
          </cell>
          <cell r="AT284" t="str">
            <v/>
          </cell>
        </row>
        <row r="285">
          <cell r="AI285" t="str">
            <v>TYLER, TX</v>
          </cell>
          <cell r="AJ285" t="str">
            <v>Tyler, TX</v>
          </cell>
          <cell r="AK285" t="str">
            <v/>
          </cell>
          <cell r="AL285" t="str">
            <v/>
          </cell>
          <cell r="AM285" t="str">
            <v/>
          </cell>
          <cell r="AN285" t="str">
            <v/>
          </cell>
          <cell r="AO285" t="str">
            <v/>
          </cell>
          <cell r="AP285" t="str">
            <v/>
          </cell>
          <cell r="AQ285" t="str">
            <v/>
          </cell>
          <cell r="AR285" t="str">
            <v/>
          </cell>
          <cell r="AS285" t="str">
            <v/>
          </cell>
          <cell r="AT285" t="str">
            <v/>
          </cell>
        </row>
        <row r="286">
          <cell r="AI286" t="str">
            <v>VALLEJO-FAIRFIELD-NAPA, CA</v>
          </cell>
          <cell r="AJ286" t="str">
            <v>Vallejo-Fairfield-Napa, CA</v>
          </cell>
          <cell r="AK286" t="str">
            <v>Vallejo, CA</v>
          </cell>
          <cell r="AL286" t="str">
            <v>Top 110</v>
          </cell>
          <cell r="AM286" t="str">
            <v/>
          </cell>
          <cell r="AN286" t="str">
            <v/>
          </cell>
          <cell r="AO286" t="str">
            <v/>
          </cell>
          <cell r="AP286" t="str">
            <v/>
          </cell>
          <cell r="AQ286" t="str">
            <v/>
          </cell>
          <cell r="AR286" t="str">
            <v/>
          </cell>
          <cell r="AS286" t="str">
            <v/>
          </cell>
          <cell r="AT286" t="str">
            <v/>
          </cell>
        </row>
        <row r="287">
          <cell r="AI287" t="str">
            <v>VENTURA, CA</v>
          </cell>
          <cell r="AJ287" t="str">
            <v>Ventura, CA</v>
          </cell>
          <cell r="AK287" t="str">
            <v>Ventura, CA</v>
          </cell>
          <cell r="AL287" t="str">
            <v>Top 110</v>
          </cell>
          <cell r="AM287" t="str">
            <v/>
          </cell>
          <cell r="AN287" t="str">
            <v/>
          </cell>
          <cell r="AO287" t="str">
            <v/>
          </cell>
          <cell r="AP287" t="str">
            <v/>
          </cell>
          <cell r="AQ287" t="str">
            <v/>
          </cell>
          <cell r="AR287" t="str">
            <v/>
          </cell>
          <cell r="AS287" t="str">
            <v/>
          </cell>
          <cell r="AT287" t="str">
            <v/>
          </cell>
        </row>
        <row r="288">
          <cell r="AI288" t="str">
            <v>VICTORIA, TX</v>
          </cell>
          <cell r="AJ288" t="str">
            <v>Victoria, TX</v>
          </cell>
          <cell r="AK288" t="str">
            <v/>
          </cell>
          <cell r="AL288" t="str">
            <v/>
          </cell>
          <cell r="AM288" t="str">
            <v/>
          </cell>
          <cell r="AN288" t="str">
            <v/>
          </cell>
          <cell r="AO288" t="str">
            <v/>
          </cell>
          <cell r="AP288" t="str">
            <v/>
          </cell>
          <cell r="AQ288" t="str">
            <v/>
          </cell>
          <cell r="AR288" t="str">
            <v/>
          </cell>
          <cell r="AS288" t="str">
            <v/>
          </cell>
          <cell r="AT288" t="str">
            <v/>
          </cell>
        </row>
        <row r="289">
          <cell r="AI289" t="str">
            <v>VINELAND-MILLVILLE-BRIDGETON, NJ</v>
          </cell>
          <cell r="AJ289" t="str">
            <v>Vineland-Milville-Bridgeton, NJ</v>
          </cell>
          <cell r="AK289" t="str">
            <v/>
          </cell>
          <cell r="AL289" t="str">
            <v/>
          </cell>
          <cell r="AM289" t="str">
            <v/>
          </cell>
          <cell r="AN289" t="str">
            <v/>
          </cell>
          <cell r="AO289" t="str">
            <v/>
          </cell>
          <cell r="AP289" t="str">
            <v/>
          </cell>
          <cell r="AQ289" t="str">
            <v/>
          </cell>
          <cell r="AR289" t="str">
            <v/>
          </cell>
          <cell r="AS289" t="str">
            <v/>
          </cell>
          <cell r="AT289" t="str">
            <v/>
          </cell>
        </row>
        <row r="290">
          <cell r="AI290" t="str">
            <v>VISALIA-TULARE-PORTERVILLE, CA</v>
          </cell>
          <cell r="AJ290" t="str">
            <v>Visalia-Tulare-Porterville, CA</v>
          </cell>
          <cell r="AK290" t="str">
            <v/>
          </cell>
          <cell r="AL290" t="str">
            <v/>
          </cell>
          <cell r="AM290" t="str">
            <v/>
          </cell>
          <cell r="AN290" t="str">
            <v/>
          </cell>
          <cell r="AO290" t="str">
            <v/>
          </cell>
          <cell r="AP290" t="str">
            <v/>
          </cell>
          <cell r="AQ290" t="str">
            <v/>
          </cell>
          <cell r="AR290" t="str">
            <v/>
          </cell>
          <cell r="AS290" t="str">
            <v/>
          </cell>
          <cell r="AT290" t="str">
            <v/>
          </cell>
        </row>
        <row r="291">
          <cell r="AI291" t="str">
            <v>WACO, TX</v>
          </cell>
          <cell r="AJ291" t="str">
            <v>Waco, TX</v>
          </cell>
          <cell r="AK291" t="str">
            <v/>
          </cell>
          <cell r="AL291" t="str">
            <v/>
          </cell>
          <cell r="AM291" t="str">
            <v/>
          </cell>
          <cell r="AN291" t="str">
            <v/>
          </cell>
          <cell r="AO291" t="str">
            <v/>
          </cell>
          <cell r="AP291" t="str">
            <v/>
          </cell>
          <cell r="AQ291" t="str">
            <v/>
          </cell>
          <cell r="AR291" t="str">
            <v/>
          </cell>
          <cell r="AS291" t="str">
            <v/>
          </cell>
          <cell r="AT291" t="str">
            <v/>
          </cell>
        </row>
        <row r="292">
          <cell r="AI292" t="str">
            <v>WASHINGTON, DC-MD-VA-WV</v>
          </cell>
          <cell r="AJ292" t="str">
            <v>Washington, DC-MD-VA</v>
          </cell>
          <cell r="AK292" t="str">
            <v>Washington, DC</v>
          </cell>
          <cell r="AL292" t="str">
            <v>Top 25</v>
          </cell>
          <cell r="AM292" t="str">
            <v>BS</v>
          </cell>
          <cell r="AN292" t="str">
            <v>Washington, DC</v>
          </cell>
          <cell r="AO292" t="str">
            <v>Washington, DC</v>
          </cell>
          <cell r="AP292" t="str">
            <v>WASHINGTON, DC</v>
          </cell>
          <cell r="AQ292" t="str">
            <v>Washington, DC</v>
          </cell>
          <cell r="AR292" t="str">
            <v>Washington, DC</v>
          </cell>
          <cell r="AS292" t="str">
            <v>Washington, DC</v>
          </cell>
          <cell r="AT292" t="str">
            <v>Washington, DC</v>
          </cell>
        </row>
        <row r="293">
          <cell r="AI293" t="str">
            <v>WATERLOO-CEDAR FALLS, IA</v>
          </cell>
          <cell r="AJ293" t="str">
            <v>Waterloo-Cedar Falls, IA</v>
          </cell>
          <cell r="AK293" t="str">
            <v/>
          </cell>
          <cell r="AL293" t="str">
            <v/>
          </cell>
          <cell r="AM293" t="str">
            <v/>
          </cell>
          <cell r="AN293" t="str">
            <v/>
          </cell>
          <cell r="AO293" t="str">
            <v/>
          </cell>
          <cell r="AP293" t="str">
            <v/>
          </cell>
          <cell r="AQ293" t="str">
            <v/>
          </cell>
          <cell r="AR293" t="str">
            <v/>
          </cell>
          <cell r="AS293" t="str">
            <v/>
          </cell>
          <cell r="AT293" t="str">
            <v/>
          </cell>
        </row>
        <row r="294">
          <cell r="AI294" t="str">
            <v>WEST PALM BEACH-BOCA RATON, FL</v>
          </cell>
          <cell r="AJ294" t="str">
            <v>West Palm Beach-Boca Raton, FL</v>
          </cell>
          <cell r="AK294" t="str">
            <v>West Palm Beach, FL</v>
          </cell>
          <cell r="AL294" t="str">
            <v>Top 110</v>
          </cell>
          <cell r="AM294" t="str">
            <v>BS</v>
          </cell>
          <cell r="AN294" t="str">
            <v/>
          </cell>
          <cell r="AO294" t="str">
            <v/>
          </cell>
          <cell r="AP294" t="str">
            <v/>
          </cell>
          <cell r="AQ294" t="str">
            <v/>
          </cell>
          <cell r="AR294" t="str">
            <v/>
          </cell>
          <cell r="AS294" t="str">
            <v/>
          </cell>
          <cell r="AT294" t="str">
            <v/>
          </cell>
        </row>
        <row r="295">
          <cell r="AI295" t="str">
            <v>WHEELING, WV-OH</v>
          </cell>
          <cell r="AJ295" t="str">
            <v>Wheeling, WV-OH</v>
          </cell>
          <cell r="AK295" t="str">
            <v/>
          </cell>
          <cell r="AL295" t="str">
            <v/>
          </cell>
          <cell r="AM295" t="str">
            <v/>
          </cell>
          <cell r="AN295" t="str">
            <v/>
          </cell>
          <cell r="AO295" t="str">
            <v/>
          </cell>
          <cell r="AP295" t="str">
            <v/>
          </cell>
          <cell r="AQ295" t="str">
            <v/>
          </cell>
          <cell r="AR295" t="str">
            <v/>
          </cell>
          <cell r="AS295" t="str">
            <v/>
          </cell>
          <cell r="AT295" t="str">
            <v/>
          </cell>
        </row>
        <row r="296">
          <cell r="AI296" t="str">
            <v>WICHITA FALLS, TX</v>
          </cell>
          <cell r="AJ296" t="str">
            <v>Wichita Falls, TX</v>
          </cell>
          <cell r="AK296" t="str">
            <v/>
          </cell>
          <cell r="AL296" t="str">
            <v/>
          </cell>
          <cell r="AM296" t="str">
            <v/>
          </cell>
          <cell r="AN296" t="str">
            <v/>
          </cell>
          <cell r="AO296" t="str">
            <v/>
          </cell>
          <cell r="AP296" t="str">
            <v/>
          </cell>
          <cell r="AQ296" t="str">
            <v/>
          </cell>
          <cell r="AR296" t="str">
            <v/>
          </cell>
          <cell r="AS296" t="str">
            <v/>
          </cell>
          <cell r="AT296" t="str">
            <v/>
          </cell>
        </row>
        <row r="297">
          <cell r="AI297" t="str">
            <v>WICHITA, KS</v>
          </cell>
          <cell r="AJ297" t="str">
            <v>Wichita, KS</v>
          </cell>
          <cell r="AK297" t="str">
            <v>Wichita, KS</v>
          </cell>
          <cell r="AL297" t="str">
            <v>Top 110</v>
          </cell>
          <cell r="AM297" t="str">
            <v/>
          </cell>
          <cell r="AN297" t="str">
            <v/>
          </cell>
          <cell r="AO297" t="str">
            <v/>
          </cell>
          <cell r="AP297" t="str">
            <v/>
          </cell>
          <cell r="AQ297" t="str">
            <v/>
          </cell>
          <cell r="AR297" t="str">
            <v/>
          </cell>
          <cell r="AS297" t="str">
            <v/>
          </cell>
          <cell r="AT297" t="str">
            <v/>
          </cell>
        </row>
        <row r="298">
          <cell r="AI298" t="str">
            <v>WILMINGTON, NC</v>
          </cell>
          <cell r="AJ298" t="str">
            <v>Wilmington, NC</v>
          </cell>
          <cell r="AK298" t="str">
            <v/>
          </cell>
          <cell r="AL298" t="str">
            <v/>
          </cell>
          <cell r="AM298" t="str">
            <v/>
          </cell>
          <cell r="AN298" t="str">
            <v/>
          </cell>
          <cell r="AO298" t="str">
            <v/>
          </cell>
          <cell r="AP298" t="str">
            <v/>
          </cell>
          <cell r="AQ298" t="str">
            <v/>
          </cell>
          <cell r="AR298" t="str">
            <v/>
          </cell>
          <cell r="AS298" t="str">
            <v/>
          </cell>
          <cell r="AT298" t="str">
            <v/>
          </cell>
        </row>
        <row r="299">
          <cell r="AI299" t="str">
            <v>WILMINGTON-NEWARK, DE-MD</v>
          </cell>
          <cell r="AJ299" t="str">
            <v>Wilmington-Newark, DE-MD</v>
          </cell>
          <cell r="AK299" t="str">
            <v>Wilmington, DE</v>
          </cell>
          <cell r="AL299" t="str">
            <v>Top 110</v>
          </cell>
          <cell r="AM299" t="str">
            <v/>
          </cell>
          <cell r="AN299" t="str">
            <v/>
          </cell>
          <cell r="AO299" t="str">
            <v/>
          </cell>
          <cell r="AP299" t="str">
            <v/>
          </cell>
          <cell r="AQ299" t="str">
            <v/>
          </cell>
          <cell r="AR299" t="str">
            <v/>
          </cell>
          <cell r="AS299" t="str">
            <v/>
          </cell>
          <cell r="AT299" t="str">
            <v/>
          </cell>
        </row>
        <row r="300">
          <cell r="AI300" t="str">
            <v>WORCESTER, MA-CT</v>
          </cell>
          <cell r="AJ300" t="str">
            <v>Worcester, MA-CT</v>
          </cell>
          <cell r="AK300" t="str">
            <v/>
          </cell>
          <cell r="AL300" t="str">
            <v/>
          </cell>
          <cell r="AM300" t="str">
            <v/>
          </cell>
          <cell r="AN300" t="str">
            <v/>
          </cell>
          <cell r="AO300" t="str">
            <v/>
          </cell>
          <cell r="AP300" t="str">
            <v/>
          </cell>
          <cell r="AQ300" t="str">
            <v/>
          </cell>
          <cell r="AR300" t="str">
            <v/>
          </cell>
          <cell r="AS300" t="str">
            <v/>
          </cell>
          <cell r="AT300" t="str">
            <v/>
          </cell>
        </row>
        <row r="301">
          <cell r="AI301" t="str">
            <v>YAKIMA, WA</v>
          </cell>
          <cell r="AJ301" t="str">
            <v>Yakima, WA</v>
          </cell>
          <cell r="AK301" t="str">
            <v/>
          </cell>
          <cell r="AL301" t="str">
            <v/>
          </cell>
          <cell r="AM301" t="str">
            <v/>
          </cell>
          <cell r="AN301" t="str">
            <v/>
          </cell>
          <cell r="AO301" t="str">
            <v/>
          </cell>
          <cell r="AP301" t="str">
            <v/>
          </cell>
          <cell r="AQ301" t="str">
            <v/>
          </cell>
          <cell r="AR301" t="str">
            <v/>
          </cell>
          <cell r="AS301" t="str">
            <v/>
          </cell>
          <cell r="AT301" t="str">
            <v/>
          </cell>
        </row>
        <row r="302">
          <cell r="AI302" t="str">
            <v>YOLO, CA</v>
          </cell>
          <cell r="AJ302" t="str">
            <v>Yolo, CA</v>
          </cell>
          <cell r="AK302" t="str">
            <v/>
          </cell>
          <cell r="AL302" t="str">
            <v/>
          </cell>
          <cell r="AM302" t="str">
            <v/>
          </cell>
          <cell r="AN302" t="str">
            <v/>
          </cell>
          <cell r="AO302" t="str">
            <v/>
          </cell>
          <cell r="AP302" t="str">
            <v/>
          </cell>
          <cell r="AQ302" t="str">
            <v/>
          </cell>
          <cell r="AR302" t="str">
            <v/>
          </cell>
          <cell r="AS302" t="str">
            <v/>
          </cell>
          <cell r="AT302" t="str">
            <v/>
          </cell>
        </row>
        <row r="303">
          <cell r="AI303" t="str">
            <v>YORK, PA</v>
          </cell>
          <cell r="AJ303" t="str">
            <v>York, PA</v>
          </cell>
          <cell r="AK303" t="str">
            <v/>
          </cell>
          <cell r="AL303" t="str">
            <v/>
          </cell>
          <cell r="AM303" t="str">
            <v/>
          </cell>
          <cell r="AN303" t="str">
            <v/>
          </cell>
          <cell r="AO303" t="str">
            <v/>
          </cell>
          <cell r="AP303" t="str">
            <v/>
          </cell>
          <cell r="AQ303" t="str">
            <v/>
          </cell>
          <cell r="AR303" t="str">
            <v/>
          </cell>
          <cell r="AS303" t="str">
            <v/>
          </cell>
          <cell r="AT303" t="str">
            <v/>
          </cell>
        </row>
        <row r="304">
          <cell r="AI304" t="str">
            <v>YOUNGSTOWN-WARREN, OH</v>
          </cell>
          <cell r="AJ304" t="str">
            <v>Youngstown-Warren, OH</v>
          </cell>
          <cell r="AK304" t="str">
            <v>Youngstown, OH</v>
          </cell>
          <cell r="AL304" t="str">
            <v>Top 110</v>
          </cell>
          <cell r="AM304" t="str">
            <v/>
          </cell>
          <cell r="AN304" t="str">
            <v/>
          </cell>
          <cell r="AO304" t="str">
            <v/>
          </cell>
          <cell r="AP304" t="str">
            <v/>
          </cell>
          <cell r="AQ304" t="str">
            <v/>
          </cell>
          <cell r="AR304" t="str">
            <v/>
          </cell>
          <cell r="AS304" t="str">
            <v/>
          </cell>
          <cell r="AT304" t="str">
            <v/>
          </cell>
        </row>
        <row r="305">
          <cell r="AI305" t="str">
            <v>YUBA CITY, CA</v>
          </cell>
          <cell r="AJ305" t="str">
            <v>Yuba City, CA</v>
          </cell>
          <cell r="AK305" t="str">
            <v/>
          </cell>
          <cell r="AL305" t="str">
            <v/>
          </cell>
          <cell r="AM305" t="str">
            <v/>
          </cell>
          <cell r="AN305" t="str">
            <v/>
          </cell>
          <cell r="AO305" t="str">
            <v/>
          </cell>
          <cell r="AP305" t="str">
            <v/>
          </cell>
          <cell r="AQ305" t="str">
            <v/>
          </cell>
          <cell r="AR305" t="str">
            <v/>
          </cell>
          <cell r="AS305" t="str">
            <v/>
          </cell>
          <cell r="AT305" t="str">
            <v/>
          </cell>
        </row>
      </sheetData>
      <sheetData sheetId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census"/>
      <sheetName val="pivots"/>
      <sheetName val="lookups"/>
      <sheetName val="Top Cos w|opens"/>
    </sheetNames>
    <sheetDataSet>
      <sheetData sheetId="0" refreshError="1"/>
      <sheetData sheetId="1" refreshError="1"/>
      <sheetData sheetId="2" refreshError="1">
        <row r="14">
          <cell r="AX14">
            <v>516</v>
          </cell>
          <cell r="AY14">
            <v>57388</v>
          </cell>
          <cell r="AZ14">
            <v>589</v>
          </cell>
          <cell r="BA14">
            <v>59658</v>
          </cell>
          <cell r="BB14">
            <v>1046</v>
          </cell>
          <cell r="BC14">
            <v>124269</v>
          </cell>
          <cell r="BD14">
            <v>1070</v>
          </cell>
          <cell r="BE14">
            <v>167743</v>
          </cell>
          <cell r="BG14">
            <v>4439419</v>
          </cell>
        </row>
      </sheetData>
      <sheetData sheetId="3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10 cos."/>
      <sheetName val="brand lookup"/>
      <sheetName val="census lookups"/>
      <sheetName val="lookups"/>
      <sheetName val="4q pivots"/>
      <sheetName val="top cos ExIV"/>
      <sheetName val="2A Mkt OpStats Rank"/>
      <sheetName val="2A Mkt Op Stats Compare"/>
      <sheetName val="2B census %"/>
      <sheetName val="2B pipeline %"/>
      <sheetName val="Brand Census ConI"/>
      <sheetName val="Anaheim Mkt Share ExII"/>
      <sheetName val="Atlanta Mkt Share ExII"/>
      <sheetName val="Boston Mkt Share ExII"/>
      <sheetName val="Chicago Mkt Share ExII"/>
      <sheetName val="Dallas Mkt Share ExII"/>
      <sheetName val="Denver Mkt Share ExII"/>
      <sheetName val="Detroit Mkt Share ExII"/>
      <sheetName val="Houston Mkt Share ExII"/>
      <sheetName val="Las Vegas Mkt Share ExII"/>
      <sheetName val="Los Angeles Mkt Share ExII"/>
      <sheetName val="Miami Mkt Share ExII"/>
      <sheetName val="Minneapolis Mkt Share ExII"/>
      <sheetName val="Nashville Mkt Share ExII"/>
      <sheetName val="New Orleans Mkt Share ExII"/>
      <sheetName val="New York Mkt Share ExII"/>
      <sheetName val="Oahu Mkt Share ExII"/>
      <sheetName val="Orlando Mkt Share ExII"/>
      <sheetName val="Philadelphia Mkt Share ExII"/>
      <sheetName val="Phoenix Mkt Share ExII"/>
      <sheetName val="Saint Louis Mkt Share ExII"/>
      <sheetName val="San Diego Mkt Share ExII"/>
      <sheetName val="San Francisco Mkt Share ExII"/>
      <sheetName val="Seattle Mkt Share ExII"/>
      <sheetName val="Tampa Mkt Share ExII"/>
      <sheetName val="Washington Mkt Share ExII"/>
      <sheetName val="Mkt Ranks ExV"/>
      <sheetName val="Mkt OpStats Rank ExVII"/>
      <sheetName val="Mkt Op Stats ExVII"/>
      <sheetName val="cens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8">
          <cell r="DW48">
            <v>1252</v>
          </cell>
          <cell r="DX48" t="str">
            <v>Ramada Inn</v>
          </cell>
          <cell r="DY48">
            <v>6</v>
          </cell>
          <cell r="DZ48">
            <v>5</v>
          </cell>
        </row>
        <row r="49">
          <cell r="DW49">
            <v>127578</v>
          </cell>
          <cell r="DX49" t="str">
            <v>Ramada Limited</v>
          </cell>
          <cell r="DY49">
            <v>6</v>
          </cell>
          <cell r="DZ49">
            <v>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ts 2B (2)"/>
      <sheetName val="brand census"/>
      <sheetName val="CENSUS pivots"/>
      <sheetName val="Mkt Lookups"/>
      <sheetName val="Pipeline pivots"/>
      <sheetName val="old open pivots"/>
      <sheetName val="lookups"/>
      <sheetName val="2A lookups"/>
      <sheetName val="Mkts 2A"/>
      <sheetName val="Mkts 2B"/>
      <sheetName val="Mkts2C1"/>
      <sheetName val="Mkts 2C2"/>
      <sheetName val=" Mkt OpStats Rank 2D"/>
      <sheetName val="Mkt Op Stats Compare 2E"/>
      <sheetName val="STR 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>
            <v>40067</v>
          </cell>
        </row>
        <row r="3">
          <cell r="B3">
            <v>4110640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riott Ex III"/>
      <sheetName val="Courtyard Ex III (2)"/>
      <sheetName val="Fairfield Ex III (2)"/>
      <sheetName val="Marriott HRS Ex III (2)"/>
      <sheetName val="Renaissance Ex III (2)"/>
      <sheetName val="Residence Ex III (2)"/>
      <sheetName val="Ritz Ex III (2)"/>
      <sheetName val="Springhill Ex III (2)"/>
      <sheetName val="townplace Ex III (2)"/>
      <sheetName val="BY MSA ExIII (2)"/>
      <sheetName val="Courtyard Ex III"/>
      <sheetName val="Fairfield Ex III"/>
      <sheetName val="Marriott HRS Ex III"/>
      <sheetName val="Renaissance Ex III"/>
      <sheetName val="Residence Ex III"/>
      <sheetName val="Ritz Ex III"/>
      <sheetName val="Springhill Ex III"/>
      <sheetName val="townplace Ex III"/>
      <sheetName val="BY MSA ExIII"/>
      <sheetName val="lookups"/>
      <sheetName val="pivots"/>
      <sheetName val="census"/>
      <sheetName val="brand cens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24">
          <cell r="AC24">
            <v>1734</v>
          </cell>
        </row>
        <row r="25">
          <cell r="AC25">
            <v>298610</v>
          </cell>
        </row>
        <row r="51">
          <cell r="AC51">
            <v>158</v>
          </cell>
          <cell r="AD51">
            <v>184</v>
          </cell>
          <cell r="AE51">
            <v>342</v>
          </cell>
        </row>
        <row r="52">
          <cell r="AC52">
            <v>27327</v>
          </cell>
          <cell r="AD52">
            <v>29133</v>
          </cell>
          <cell r="AE52">
            <v>56460</v>
          </cell>
        </row>
        <row r="61">
          <cell r="AD61">
            <v>222871</v>
          </cell>
        </row>
      </sheetData>
      <sheetData sheetId="21"/>
      <sheetData sheetId="2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lookup"/>
      <sheetName val="Sheet2"/>
      <sheetName val="PIVOTS"/>
      <sheetName val="CENSUS LOOKUP"/>
      <sheetName val="TRACT LOOKUP"/>
      <sheetName val="CHAIN LOOKUP"/>
      <sheetName val="rawdata"/>
      <sheetName val="Sheet3"/>
    </sheetNames>
    <sheetDataSet>
      <sheetData sheetId="0" refreshError="1"/>
      <sheetData sheetId="1" refreshError="1"/>
      <sheetData sheetId="2" refreshError="1">
        <row r="36">
          <cell r="EP36">
            <v>129283</v>
          </cell>
          <cell r="EQ36">
            <v>124286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brand census"/>
      <sheetName val="chain census"/>
      <sheetName val="brand lookup"/>
      <sheetName val="msa lookup"/>
      <sheetName val="mkt-state-company lookups"/>
      <sheetName val="str ind-le affil undeter"/>
      <sheetName val="brand pivots"/>
      <sheetName val="category pivots"/>
      <sheetName val="company pivots"/>
      <sheetName val="conversion pivots"/>
      <sheetName val="attrition "/>
      <sheetName val="Est Open pivots"/>
      <sheetName val="Mar Lookups"/>
      <sheetName val="Marriott pivots"/>
      <sheetName val="MKT pivots"/>
      <sheetName val="mkt census pivot"/>
      <sheetName val="MSA pivots"/>
      <sheetName val="old open pivots"/>
      <sheetName val="qtr pivots"/>
      <sheetName val="region pivots"/>
      <sheetName val="State Pivots"/>
      <sheetName val="summary pivots"/>
      <sheetName val="Chain Lookups"/>
    </sheetNames>
    <sheetDataSet>
      <sheetData sheetId="0" refreshError="1"/>
      <sheetData sheetId="1" refreshError="1"/>
      <sheetData sheetId="2" refreshError="1">
        <row r="15">
          <cell r="C15">
            <v>41114</v>
          </cell>
          <cell r="D15">
            <v>4169199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Chart1"/>
      <sheetName val="Report"/>
      <sheetName val="Variables"/>
      <sheetName val="Module1"/>
      <sheetName val="Module2"/>
      <sheetName val="Module3"/>
      <sheetName val="inputs"/>
      <sheetName val="NewCo"/>
      <sheetName val="LBO"/>
      <sheetName val="Share Price History"/>
      <sheetName val="Income Statement"/>
      <sheetName val="Balance Sheet"/>
      <sheetName val="COH_KORS Share Prices"/>
      <sheetName val="Cash Flow"/>
      <sheetName val="feb99"/>
      <sheetName val="Worksheet"/>
      <sheetName val="ISP peers"/>
      <sheetName val="Plans"/>
      <sheetName val="Income Statement Summary"/>
    </sheetNames>
    <sheetDataSet>
      <sheetData sheetId="0" refreshError="1"/>
      <sheetData sheetId="1" refreshError="1"/>
      <sheetData sheetId="2" refreshError="1"/>
      <sheetData sheetId="3" refreshError="1">
        <row r="5">
          <cell r="B5">
            <v>0.1</v>
          </cell>
        </row>
        <row r="7">
          <cell r="B7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MKT pipe pivots"/>
      <sheetName val="national pivots"/>
      <sheetName val="old open pivots"/>
      <sheetName val="brand lookup"/>
      <sheetName val="census pivots"/>
      <sheetName val="census"/>
      <sheetName val="brand cens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ADAM'S MARK</v>
          </cell>
          <cell r="B5">
            <v>22</v>
          </cell>
          <cell r="C5">
            <v>12003</v>
          </cell>
        </row>
        <row r="6">
          <cell r="A6" t="str">
            <v>ADMIRAL BENBOW</v>
          </cell>
          <cell r="B6">
            <v>7</v>
          </cell>
          <cell r="C6">
            <v>751</v>
          </cell>
        </row>
        <row r="7">
          <cell r="A7" t="str">
            <v>AMERICINN</v>
          </cell>
          <cell r="B7">
            <v>161</v>
          </cell>
          <cell r="C7">
            <v>8243</v>
          </cell>
        </row>
        <row r="8">
          <cell r="A8" t="str">
            <v>AMERIHOST INN</v>
          </cell>
          <cell r="B8">
            <v>84</v>
          </cell>
          <cell r="C8">
            <v>5703</v>
          </cell>
          <cell r="D8" t="str">
            <v>CENDANT</v>
          </cell>
        </row>
        <row r="9">
          <cell r="A9" t="str">
            <v>AMERISUITES</v>
          </cell>
          <cell r="B9">
            <v>135</v>
          </cell>
          <cell r="C9">
            <v>17181</v>
          </cell>
          <cell r="D9" t="str">
            <v>PRIME</v>
          </cell>
        </row>
        <row r="10">
          <cell r="A10" t="str">
            <v>AMFAC</v>
          </cell>
          <cell r="B10">
            <v>27</v>
          </cell>
          <cell r="C10">
            <v>3728</v>
          </cell>
        </row>
        <row r="11">
          <cell r="A11" t="str">
            <v>ASTON</v>
          </cell>
          <cell r="B11">
            <v>38</v>
          </cell>
          <cell r="C11">
            <v>5730</v>
          </cell>
        </row>
        <row r="12">
          <cell r="A12" t="str">
            <v>BAYMONT INNS &amp; SUITES</v>
          </cell>
          <cell r="B12">
            <v>178</v>
          </cell>
          <cell r="C12">
            <v>17240</v>
          </cell>
        </row>
        <row r="13">
          <cell r="A13" t="str">
            <v>BEST HOTELS</v>
          </cell>
          <cell r="B13">
            <v>3</v>
          </cell>
          <cell r="C13">
            <v>311</v>
          </cell>
        </row>
        <row r="14">
          <cell r="A14" t="str">
            <v>BEST INN</v>
          </cell>
          <cell r="B14">
            <v>150</v>
          </cell>
          <cell r="C14">
            <v>11911</v>
          </cell>
          <cell r="D14" t="str">
            <v>USFS</v>
          </cell>
        </row>
        <row r="15">
          <cell r="A15" t="str">
            <v>BEST WESTERN</v>
          </cell>
          <cell r="B15">
            <v>2113</v>
          </cell>
          <cell r="C15">
            <v>187845</v>
          </cell>
        </row>
        <row r="16">
          <cell r="A16" t="str">
            <v>BRADFORD HOMESUITES</v>
          </cell>
          <cell r="B16">
            <v>9</v>
          </cell>
          <cell r="C16">
            <v>1223</v>
          </cell>
        </row>
        <row r="17">
          <cell r="A17" t="str">
            <v>BUDGET HOST INN</v>
          </cell>
          <cell r="B17">
            <v>173</v>
          </cell>
          <cell r="C17">
            <v>6821</v>
          </cell>
        </row>
        <row r="18">
          <cell r="A18" t="str">
            <v>CABOT LODGE</v>
          </cell>
          <cell r="B18">
            <v>6</v>
          </cell>
          <cell r="C18">
            <v>1076</v>
          </cell>
        </row>
        <row r="19">
          <cell r="A19" t="str">
            <v>CAESARS</v>
          </cell>
          <cell r="B19">
            <v>6</v>
          </cell>
          <cell r="C19">
            <v>1839</v>
          </cell>
        </row>
        <row r="20">
          <cell r="A20" t="str">
            <v>CAMINO REAL</v>
          </cell>
          <cell r="B20">
            <v>1</v>
          </cell>
          <cell r="C20">
            <v>375</v>
          </cell>
        </row>
        <row r="21">
          <cell r="A21" t="str">
            <v>CANDLEWOOD HOTEL</v>
          </cell>
          <cell r="B21">
            <v>94</v>
          </cell>
          <cell r="C21">
            <v>10996</v>
          </cell>
        </row>
        <row r="22">
          <cell r="A22" t="str">
            <v>CLARION</v>
          </cell>
          <cell r="B22">
            <v>116</v>
          </cell>
          <cell r="C22">
            <v>17868</v>
          </cell>
          <cell r="D22" t="str">
            <v>CHOICE</v>
          </cell>
        </row>
        <row r="23">
          <cell r="A23" t="str">
            <v>CLUB HOTEL BY DOUBLETREE</v>
          </cell>
          <cell r="B23">
            <v>24</v>
          </cell>
          <cell r="C23">
            <v>4837</v>
          </cell>
          <cell r="D23" t="str">
            <v>HILTON</v>
          </cell>
        </row>
        <row r="24">
          <cell r="A24" t="str">
            <v>CLUB MED</v>
          </cell>
          <cell r="B24">
            <v>2</v>
          </cell>
          <cell r="C24">
            <v>972</v>
          </cell>
        </row>
        <row r="25">
          <cell r="A25" t="str">
            <v>CLUBHOUSE INNS OF AMERIC</v>
          </cell>
          <cell r="B25">
            <v>9</v>
          </cell>
          <cell r="C25">
            <v>1364</v>
          </cell>
        </row>
        <row r="26">
          <cell r="A26" t="str">
            <v>COLONY</v>
          </cell>
          <cell r="B26">
            <v>13</v>
          </cell>
          <cell r="C26">
            <v>1245</v>
          </cell>
        </row>
        <row r="27">
          <cell r="A27" t="str">
            <v>COMFORT INN</v>
          </cell>
          <cell r="B27">
            <v>1317</v>
          </cell>
          <cell r="C27">
            <v>103409</v>
          </cell>
          <cell r="D27" t="str">
            <v>CHOICE</v>
          </cell>
        </row>
        <row r="28">
          <cell r="A28" t="str">
            <v>COMFORT SUITES</v>
          </cell>
          <cell r="B28">
            <v>301</v>
          </cell>
          <cell r="C28">
            <v>23873</v>
          </cell>
          <cell r="D28" t="str">
            <v>CHOICE</v>
          </cell>
        </row>
        <row r="29">
          <cell r="A29" t="str">
            <v>CONLEY INN</v>
          </cell>
          <cell r="B29">
            <v>5</v>
          </cell>
          <cell r="C29">
            <v>291</v>
          </cell>
        </row>
        <row r="30">
          <cell r="A30" t="str">
            <v>COUNTRY HEARTH INN</v>
          </cell>
          <cell r="B30">
            <v>58</v>
          </cell>
          <cell r="C30">
            <v>3562</v>
          </cell>
        </row>
        <row r="31">
          <cell r="A31" t="str">
            <v>COUNTRY INN &amp; SUITES</v>
          </cell>
          <cell r="B31">
            <v>240</v>
          </cell>
          <cell r="C31">
            <v>18377</v>
          </cell>
        </row>
        <row r="32">
          <cell r="A32" t="str">
            <v>COURTYARD BY MARRIOTT</v>
          </cell>
          <cell r="B32">
            <v>503</v>
          </cell>
          <cell r="C32">
            <v>69979</v>
          </cell>
          <cell r="D32" t="str">
            <v>MARRIOTT</v>
          </cell>
        </row>
        <row r="33">
          <cell r="A33" t="str">
            <v>CRICKET INN</v>
          </cell>
          <cell r="B33">
            <v>1</v>
          </cell>
          <cell r="C33">
            <v>126</v>
          </cell>
        </row>
        <row r="34">
          <cell r="A34" t="str">
            <v>CROSS COUNTRY INN</v>
          </cell>
          <cell r="B34">
            <v>25</v>
          </cell>
          <cell r="C34">
            <v>3009</v>
          </cell>
        </row>
        <row r="35">
          <cell r="A35" t="str">
            <v>CROSSLAND ECONOMY STUDIOS</v>
          </cell>
          <cell r="B35">
            <v>39</v>
          </cell>
          <cell r="C35">
            <v>5068</v>
          </cell>
          <cell r="D35" t="str">
            <v>ESA</v>
          </cell>
        </row>
        <row r="36">
          <cell r="A36" t="str">
            <v>CROWNE PLAZA</v>
          </cell>
          <cell r="B36">
            <v>77</v>
          </cell>
          <cell r="C36">
            <v>23725</v>
          </cell>
          <cell r="D36" t="str">
            <v>SIX CONTINENTS</v>
          </cell>
        </row>
        <row r="37">
          <cell r="A37" t="str">
            <v>DAYS INN</v>
          </cell>
          <cell r="B37">
            <v>1815</v>
          </cell>
          <cell r="C37">
            <v>154069</v>
          </cell>
          <cell r="D37" t="str">
            <v>CENDANT</v>
          </cell>
        </row>
        <row r="38">
          <cell r="A38" t="str">
            <v>DELTA HOTELS</v>
          </cell>
          <cell r="B38">
            <v>1</v>
          </cell>
          <cell r="C38">
            <v>760</v>
          </cell>
        </row>
        <row r="39">
          <cell r="A39" t="str">
            <v>DORAL</v>
          </cell>
          <cell r="B39">
            <v>6</v>
          </cell>
          <cell r="C39">
            <v>1778</v>
          </cell>
        </row>
        <row r="40">
          <cell r="A40" t="str">
            <v>DOUBLETREE GUEST SUITES</v>
          </cell>
          <cell r="B40">
            <v>35</v>
          </cell>
          <cell r="C40">
            <v>7588</v>
          </cell>
          <cell r="D40" t="str">
            <v>HILTON</v>
          </cell>
        </row>
        <row r="41">
          <cell r="A41" t="str">
            <v>DOUBLETREE HOTEL</v>
          </cell>
          <cell r="B41">
            <v>95</v>
          </cell>
          <cell r="C41">
            <v>28879</v>
          </cell>
          <cell r="D41" t="str">
            <v>HILTON</v>
          </cell>
        </row>
        <row r="42">
          <cell r="A42" t="str">
            <v>DOWNTOWNER MOTOR INN</v>
          </cell>
          <cell r="B42">
            <v>3</v>
          </cell>
          <cell r="C42">
            <v>236</v>
          </cell>
        </row>
        <row r="43">
          <cell r="A43" t="str">
            <v>DRURY INN</v>
          </cell>
          <cell r="B43">
            <v>73</v>
          </cell>
          <cell r="C43">
            <v>9428</v>
          </cell>
        </row>
        <row r="44">
          <cell r="A44" t="str">
            <v>E-Z 8</v>
          </cell>
          <cell r="B44">
            <v>26</v>
          </cell>
          <cell r="C44">
            <v>2653</v>
          </cell>
        </row>
        <row r="45">
          <cell r="A45" t="str">
            <v>ECONO LODGE</v>
          </cell>
          <cell r="B45">
            <v>706</v>
          </cell>
          <cell r="C45">
            <v>44299</v>
          </cell>
          <cell r="D45" t="str">
            <v>CHOICE</v>
          </cell>
        </row>
        <row r="46">
          <cell r="A46" t="str">
            <v>EMBASSY SUITES</v>
          </cell>
          <cell r="B46">
            <v>166</v>
          </cell>
          <cell r="C46">
            <v>40480</v>
          </cell>
          <cell r="D46" t="str">
            <v>HILTON</v>
          </cell>
        </row>
        <row r="47">
          <cell r="A47" t="str">
            <v>EMBASSY VACATION RESORTS</v>
          </cell>
          <cell r="B47">
            <v>4</v>
          </cell>
          <cell r="C47">
            <v>1124</v>
          </cell>
        </row>
        <row r="48">
          <cell r="A48" t="str">
            <v>ENVOY INN</v>
          </cell>
          <cell r="B48">
            <v>1</v>
          </cell>
          <cell r="C48">
            <v>82</v>
          </cell>
        </row>
        <row r="49">
          <cell r="A49" t="str">
            <v>EXEL INN</v>
          </cell>
          <cell r="B49">
            <v>26</v>
          </cell>
          <cell r="C49">
            <v>2917</v>
          </cell>
        </row>
        <row r="50">
          <cell r="A50" t="str">
            <v>EXTENDED STAY AMERICA</v>
          </cell>
          <cell r="B50">
            <v>277</v>
          </cell>
          <cell r="C50">
            <v>30947</v>
          </cell>
          <cell r="D50" t="str">
            <v>ESA</v>
          </cell>
        </row>
        <row r="51">
          <cell r="A51" t="str">
            <v>FAIRFIELD INN</v>
          </cell>
          <cell r="B51">
            <v>473</v>
          </cell>
          <cell r="C51">
            <v>45337</v>
          </cell>
          <cell r="D51" t="str">
            <v>MARRIOTT</v>
          </cell>
        </row>
        <row r="52">
          <cell r="A52" t="str">
            <v>FAIRMONT HOTEL</v>
          </cell>
          <cell r="B52">
            <v>10</v>
          </cell>
          <cell r="C52">
            <v>5576</v>
          </cell>
        </row>
        <row r="53">
          <cell r="A53" t="str">
            <v>FAMILY INNS OF AMERICA</v>
          </cell>
          <cell r="B53">
            <v>24</v>
          </cell>
          <cell r="C53">
            <v>2102</v>
          </cell>
        </row>
        <row r="54">
          <cell r="A54" t="str">
            <v>FOUR POINTS HOTEL</v>
          </cell>
          <cell r="B54">
            <v>108</v>
          </cell>
          <cell r="C54">
            <v>21093</v>
          </cell>
          <cell r="D54" t="str">
            <v>STARWOOD</v>
          </cell>
        </row>
        <row r="55">
          <cell r="A55" t="str">
            <v>FOUR SEASONS</v>
          </cell>
          <cell r="B55">
            <v>23</v>
          </cell>
          <cell r="C55">
            <v>7208</v>
          </cell>
          <cell r="D55" t="str">
            <v>FOUR SEASONS</v>
          </cell>
        </row>
        <row r="56">
          <cell r="A56" t="str">
            <v>FRIENDSHIP INN</v>
          </cell>
          <cell r="B56">
            <v>7</v>
          </cell>
          <cell r="C56">
            <v>210</v>
          </cell>
          <cell r="D56" t="str">
            <v>CHOICE</v>
          </cell>
        </row>
        <row r="57">
          <cell r="A57" t="str">
            <v>GARDEN PLAZA</v>
          </cell>
          <cell r="B57">
            <v>4</v>
          </cell>
          <cell r="C57">
            <v>691</v>
          </cell>
        </row>
        <row r="58">
          <cell r="A58" t="str">
            <v>GOLDEN TULIP</v>
          </cell>
          <cell r="B58">
            <v>3</v>
          </cell>
          <cell r="C58">
            <v>270</v>
          </cell>
        </row>
        <row r="59">
          <cell r="A59" t="str">
            <v>GOOD NITE INN</v>
          </cell>
          <cell r="B59">
            <v>13</v>
          </cell>
          <cell r="C59">
            <v>1614</v>
          </cell>
        </row>
        <row r="60">
          <cell r="A60" t="str">
            <v>GREAT WESTERN</v>
          </cell>
          <cell r="B60">
            <v>6</v>
          </cell>
          <cell r="C60">
            <v>267</v>
          </cell>
        </row>
        <row r="61">
          <cell r="A61" t="str">
            <v>GUESTHOUSE INNS</v>
          </cell>
          <cell r="B61">
            <v>58</v>
          </cell>
          <cell r="C61">
            <v>4293</v>
          </cell>
        </row>
        <row r="62">
          <cell r="A62" t="str">
            <v>HA' PENNY</v>
          </cell>
          <cell r="B62">
            <v>5</v>
          </cell>
          <cell r="C62">
            <v>454</v>
          </cell>
        </row>
        <row r="63">
          <cell r="A63" t="str">
            <v>HAMPTON INN</v>
          </cell>
          <cell r="B63">
            <v>1020</v>
          </cell>
          <cell r="C63">
            <v>102635</v>
          </cell>
          <cell r="D63" t="str">
            <v>HILTON</v>
          </cell>
        </row>
        <row r="64">
          <cell r="A64" t="str">
            <v>HAMPTON INN &amp; SUITES</v>
          </cell>
          <cell r="B64">
            <v>103</v>
          </cell>
          <cell r="C64">
            <v>12213</v>
          </cell>
          <cell r="D64" t="str">
            <v>HILTON</v>
          </cell>
        </row>
        <row r="65">
          <cell r="A65" t="str">
            <v>HARLEY HOTEL</v>
          </cell>
          <cell r="B65">
            <v>2</v>
          </cell>
          <cell r="C65">
            <v>300</v>
          </cell>
        </row>
        <row r="66">
          <cell r="A66" t="str">
            <v>HARRAH'S</v>
          </cell>
          <cell r="B66">
            <v>9</v>
          </cell>
          <cell r="C66">
            <v>6032</v>
          </cell>
        </row>
        <row r="67">
          <cell r="A67" t="str">
            <v>HARVEY HOTEL</v>
          </cell>
          <cell r="B67">
            <v>6</v>
          </cell>
          <cell r="C67">
            <v>2253</v>
          </cell>
        </row>
        <row r="68">
          <cell r="A68" t="str">
            <v>HAWTHORN SUITES</v>
          </cell>
          <cell r="B68">
            <v>115</v>
          </cell>
          <cell r="C68">
            <v>11793</v>
          </cell>
          <cell r="D68" t="str">
            <v>USFS</v>
          </cell>
        </row>
        <row r="69">
          <cell r="A69" t="str">
            <v>HAWTHORN SUITES LTD.</v>
          </cell>
          <cell r="B69">
            <v>41</v>
          </cell>
          <cell r="C69">
            <v>2995</v>
          </cell>
          <cell r="D69" t="str">
            <v>USFS</v>
          </cell>
        </row>
        <row r="70">
          <cell r="A70" t="str">
            <v>HEARTLAND</v>
          </cell>
          <cell r="B70">
            <v>19</v>
          </cell>
          <cell r="C70">
            <v>1624</v>
          </cell>
        </row>
        <row r="71">
          <cell r="A71" t="str">
            <v>HELMSLEY HOTEL</v>
          </cell>
          <cell r="B71">
            <v>6</v>
          </cell>
          <cell r="C71">
            <v>2203</v>
          </cell>
        </row>
        <row r="72">
          <cell r="A72" t="str">
            <v>HILTON GAMING</v>
          </cell>
          <cell r="B72">
            <v>9</v>
          </cell>
          <cell r="C72">
            <v>15803</v>
          </cell>
        </row>
        <row r="73">
          <cell r="A73" t="str">
            <v>HILTON GARDEN INN</v>
          </cell>
          <cell r="B73">
            <v>111</v>
          </cell>
          <cell r="C73">
            <v>15468</v>
          </cell>
          <cell r="D73" t="str">
            <v>HILTON</v>
          </cell>
        </row>
        <row r="74">
          <cell r="A74" t="str">
            <v>HILTON HOTEL</v>
          </cell>
          <cell r="B74">
            <v>227</v>
          </cell>
          <cell r="C74">
            <v>94640</v>
          </cell>
          <cell r="D74" t="str">
            <v>HILTON</v>
          </cell>
        </row>
        <row r="75">
          <cell r="A75" t="str">
            <v>HILTON INN</v>
          </cell>
          <cell r="B75">
            <v>161</v>
          </cell>
          <cell r="C75">
            <v>42495</v>
          </cell>
        </row>
        <row r="76">
          <cell r="A76" t="str">
            <v>HOLIDAY INN</v>
          </cell>
          <cell r="B76">
            <v>968</v>
          </cell>
          <cell r="C76">
            <v>182601</v>
          </cell>
          <cell r="D76" t="str">
            <v>SIX CONTINENTS</v>
          </cell>
        </row>
        <row r="77">
          <cell r="A77" t="str">
            <v>HOLIDAY INN EXPRESS</v>
          </cell>
          <cell r="B77">
            <v>1113</v>
          </cell>
          <cell r="C77">
            <v>87196</v>
          </cell>
          <cell r="D77" t="str">
            <v>SIX CONTINENTS</v>
          </cell>
        </row>
        <row r="78">
          <cell r="A78" t="str">
            <v>HOLIDAY INN SELECT</v>
          </cell>
          <cell r="B78">
            <v>75</v>
          </cell>
          <cell r="C78">
            <v>19547</v>
          </cell>
          <cell r="D78" t="str">
            <v>SIX CONTINENTS</v>
          </cell>
        </row>
        <row r="79">
          <cell r="A79" t="str">
            <v>HOMEGATE</v>
          </cell>
          <cell r="B79">
            <v>8</v>
          </cell>
          <cell r="C79">
            <v>1044</v>
          </cell>
        </row>
        <row r="80">
          <cell r="A80" t="str">
            <v>HOMESTEAD</v>
          </cell>
          <cell r="B80">
            <v>135</v>
          </cell>
          <cell r="C80">
            <v>17988</v>
          </cell>
        </row>
        <row r="81">
          <cell r="A81" t="str">
            <v>HOMETOWN INN</v>
          </cell>
          <cell r="B81">
            <v>5</v>
          </cell>
          <cell r="C81">
            <v>393</v>
          </cell>
        </row>
        <row r="82">
          <cell r="A82" t="str">
            <v>HOMEWOOD SUITES BY HILTON</v>
          </cell>
          <cell r="B82">
            <v>104</v>
          </cell>
          <cell r="C82">
            <v>11673</v>
          </cell>
          <cell r="D82" t="str">
            <v>HILTON</v>
          </cell>
        </row>
        <row r="83">
          <cell r="A83" t="str">
            <v>HOTEL NOVOTEL</v>
          </cell>
          <cell r="B83">
            <v>3</v>
          </cell>
          <cell r="C83">
            <v>873</v>
          </cell>
        </row>
        <row r="84">
          <cell r="A84" t="str">
            <v>HOTEL SOFITEL</v>
          </cell>
          <cell r="B84">
            <v>9</v>
          </cell>
          <cell r="C84">
            <v>2777</v>
          </cell>
        </row>
        <row r="85">
          <cell r="A85" t="str">
            <v>HOWARD JOHNSON EXPRESS INN</v>
          </cell>
          <cell r="B85">
            <v>182</v>
          </cell>
          <cell r="C85">
            <v>12343</v>
          </cell>
          <cell r="D85" t="str">
            <v>CENDANT</v>
          </cell>
        </row>
        <row r="86">
          <cell r="A86" t="str">
            <v>HOWARD JOHNSON HOTEL</v>
          </cell>
          <cell r="B86">
            <v>244</v>
          </cell>
          <cell r="C86">
            <v>29374</v>
          </cell>
          <cell r="D86" t="str">
            <v>CENDANT</v>
          </cell>
        </row>
        <row r="87">
          <cell r="A87" t="str">
            <v>HYATT</v>
          </cell>
          <cell r="B87">
            <v>116</v>
          </cell>
          <cell r="C87">
            <v>56290</v>
          </cell>
        </row>
        <row r="88">
          <cell r="A88" t="str">
            <v>IMPERIAL INNS</v>
          </cell>
          <cell r="B88">
            <v>4</v>
          </cell>
          <cell r="C88">
            <v>124</v>
          </cell>
        </row>
        <row r="89">
          <cell r="A89" t="str">
            <v>INN TOWN SUITES</v>
          </cell>
          <cell r="B89">
            <v>21</v>
          </cell>
          <cell r="C89">
            <v>2780</v>
          </cell>
        </row>
        <row r="90">
          <cell r="A90" t="str">
            <v>INNCAL</v>
          </cell>
          <cell r="B90">
            <v>2</v>
          </cell>
          <cell r="C90">
            <v>195</v>
          </cell>
        </row>
        <row r="91">
          <cell r="A91" t="str">
            <v>INNKEEPER</v>
          </cell>
          <cell r="B91">
            <v>20</v>
          </cell>
          <cell r="C91">
            <v>1692</v>
          </cell>
        </row>
        <row r="92">
          <cell r="A92" t="str">
            <v>INNS OF AMERICA</v>
          </cell>
          <cell r="B92">
            <v>9</v>
          </cell>
          <cell r="C92">
            <v>1083</v>
          </cell>
        </row>
        <row r="93">
          <cell r="A93" t="str">
            <v>INNSUITES HOTELS</v>
          </cell>
          <cell r="B93">
            <v>12</v>
          </cell>
          <cell r="C93">
            <v>1949</v>
          </cell>
        </row>
        <row r="94">
          <cell r="A94" t="str">
            <v>INTER-CONTINENTAL</v>
          </cell>
          <cell r="B94">
            <v>12</v>
          </cell>
          <cell r="C94">
            <v>4811</v>
          </cell>
          <cell r="D94" t="str">
            <v>SIX CONTINENTS</v>
          </cell>
        </row>
        <row r="95">
          <cell r="A95" t="str">
            <v>INTERSTATE INN</v>
          </cell>
          <cell r="B95">
            <v>11</v>
          </cell>
          <cell r="C95">
            <v>554</v>
          </cell>
        </row>
        <row r="96">
          <cell r="A96" t="str">
            <v>JAMESON INN</v>
          </cell>
          <cell r="B96">
            <v>108</v>
          </cell>
          <cell r="C96">
            <v>5382</v>
          </cell>
        </row>
        <row r="97">
          <cell r="A97" t="str">
            <v>JOLLY HOTELS</v>
          </cell>
          <cell r="B97">
            <v>1</v>
          </cell>
          <cell r="C97">
            <v>216</v>
          </cell>
        </row>
        <row r="98">
          <cell r="A98" t="str">
            <v>KEY WEST INN</v>
          </cell>
          <cell r="B98">
            <v>17</v>
          </cell>
          <cell r="C98">
            <v>845</v>
          </cell>
        </row>
        <row r="99">
          <cell r="A99" t="str">
            <v>KEY WEST INNS &amp; SUITES</v>
          </cell>
          <cell r="B99">
            <v>2</v>
          </cell>
          <cell r="C99">
            <v>171</v>
          </cell>
        </row>
        <row r="100">
          <cell r="A100" t="str">
            <v>KINGS INN</v>
          </cell>
          <cell r="B100">
            <v>3</v>
          </cell>
          <cell r="C100">
            <v>248</v>
          </cell>
        </row>
        <row r="101">
          <cell r="A101" t="str">
            <v>KNIGHTS INN</v>
          </cell>
          <cell r="B101">
            <v>234</v>
          </cell>
          <cell r="C101">
            <v>18800</v>
          </cell>
          <cell r="D101" t="str">
            <v>CENDANT</v>
          </cell>
        </row>
        <row r="102">
          <cell r="A102" t="str">
            <v>LA QUINTA</v>
          </cell>
          <cell r="B102">
            <v>300</v>
          </cell>
          <cell r="C102">
            <v>38839</v>
          </cell>
        </row>
        <row r="103">
          <cell r="A103" t="str">
            <v>LE MERIDIEN</v>
          </cell>
          <cell r="B103">
            <v>5</v>
          </cell>
          <cell r="C103">
            <v>2217</v>
          </cell>
        </row>
        <row r="104">
          <cell r="A104" t="str">
            <v>LEE'S INN OF AMERICA</v>
          </cell>
          <cell r="B104">
            <v>19</v>
          </cell>
          <cell r="C104">
            <v>1495</v>
          </cell>
        </row>
        <row r="105">
          <cell r="A105" t="str">
            <v>LEXINGTON HOTEL SUITES</v>
          </cell>
          <cell r="B105">
            <v>7</v>
          </cell>
          <cell r="C105">
            <v>1073</v>
          </cell>
        </row>
        <row r="106">
          <cell r="A106" t="str">
            <v>LITTLE AMERICA</v>
          </cell>
          <cell r="B106">
            <v>5</v>
          </cell>
          <cell r="C106">
            <v>2053</v>
          </cell>
        </row>
        <row r="107">
          <cell r="A107" t="str">
            <v>LOEWS</v>
          </cell>
          <cell r="B107">
            <v>14</v>
          </cell>
          <cell r="C107">
            <v>5971</v>
          </cell>
        </row>
        <row r="108">
          <cell r="A108" t="str">
            <v>LUXURY COLLECTION</v>
          </cell>
          <cell r="B108">
            <v>14</v>
          </cell>
          <cell r="C108">
            <v>4731</v>
          </cell>
        </row>
        <row r="109">
          <cell r="A109" t="str">
            <v>MAINSTAY SUITES</v>
          </cell>
          <cell r="B109">
            <v>39</v>
          </cell>
          <cell r="C109">
            <v>3411</v>
          </cell>
          <cell r="D109" t="str">
            <v>CHOICE</v>
          </cell>
        </row>
        <row r="110">
          <cell r="A110" t="str">
            <v>MARC</v>
          </cell>
          <cell r="B110">
            <v>17</v>
          </cell>
          <cell r="C110">
            <v>2430</v>
          </cell>
        </row>
        <row r="111">
          <cell r="A111" t="str">
            <v>MARRIOTT HOTEL</v>
          </cell>
          <cell r="B111">
            <v>281</v>
          </cell>
          <cell r="C111">
            <v>115140</v>
          </cell>
          <cell r="D111" t="str">
            <v>MARRIOTT</v>
          </cell>
        </row>
        <row r="112">
          <cell r="A112" t="str">
            <v>MARRIOTT CONFERENCE CENT</v>
          </cell>
          <cell r="B112">
            <v>14</v>
          </cell>
          <cell r="C112">
            <v>3339</v>
          </cell>
        </row>
        <row r="113">
          <cell r="A113" t="str">
            <v>MARRIOTT INTERNATIONAL</v>
          </cell>
          <cell r="B113">
            <v>3</v>
          </cell>
          <cell r="C113">
            <v>1461</v>
          </cell>
        </row>
        <row r="114">
          <cell r="A114" t="str">
            <v>MASTER HOSTS INN</v>
          </cell>
          <cell r="B114">
            <v>2</v>
          </cell>
          <cell r="C114">
            <v>468</v>
          </cell>
        </row>
        <row r="115">
          <cell r="A115" t="str">
            <v>MASTERS INN</v>
          </cell>
          <cell r="B115">
            <v>30</v>
          </cell>
          <cell r="C115">
            <v>3588</v>
          </cell>
        </row>
        <row r="116">
          <cell r="A116" t="str">
            <v>MCINTOSH MOTOR INN</v>
          </cell>
          <cell r="B116">
            <v>14</v>
          </cell>
          <cell r="C116">
            <v>1572</v>
          </cell>
        </row>
        <row r="117">
          <cell r="A117" t="str">
            <v>MICROTEL INN</v>
          </cell>
          <cell r="B117">
            <v>240</v>
          </cell>
          <cell r="C117">
            <v>17407</v>
          </cell>
          <cell r="D117" t="str">
            <v>USFS</v>
          </cell>
        </row>
        <row r="118">
          <cell r="A118" t="str">
            <v>MILLENNIUM HOTELS</v>
          </cell>
          <cell r="B118">
            <v>1</v>
          </cell>
          <cell r="C118">
            <v>752</v>
          </cell>
        </row>
        <row r="119">
          <cell r="A119" t="str">
            <v>MOTEL 6</v>
          </cell>
          <cell r="B119">
            <v>803</v>
          </cell>
          <cell r="C119">
            <v>85048</v>
          </cell>
        </row>
        <row r="120">
          <cell r="A120" t="str">
            <v>MOTEL ORLEANS</v>
          </cell>
          <cell r="B120">
            <v>5</v>
          </cell>
          <cell r="C120">
            <v>354</v>
          </cell>
        </row>
        <row r="121">
          <cell r="A121" t="str">
            <v>NATIONAL 9</v>
          </cell>
          <cell r="B121">
            <v>52</v>
          </cell>
          <cell r="C121">
            <v>1964</v>
          </cell>
        </row>
        <row r="122">
          <cell r="A122" t="str">
            <v>NENDELS</v>
          </cell>
          <cell r="B122">
            <v>11</v>
          </cell>
          <cell r="C122">
            <v>706</v>
          </cell>
        </row>
        <row r="123">
          <cell r="A123" t="str">
            <v>NEW OTANI HOTELS, THE</v>
          </cell>
          <cell r="B123">
            <v>2</v>
          </cell>
          <cell r="C123">
            <v>559</v>
          </cell>
        </row>
        <row r="124">
          <cell r="A124" t="str">
            <v>NIKKO</v>
          </cell>
          <cell r="B124">
            <v>1</v>
          </cell>
          <cell r="C124">
            <v>532</v>
          </cell>
        </row>
        <row r="125">
          <cell r="A125" t="str">
            <v>OHANA HOTELS</v>
          </cell>
          <cell r="B125">
            <v>13</v>
          </cell>
          <cell r="C125">
            <v>4194</v>
          </cell>
        </row>
        <row r="126">
          <cell r="A126" t="str">
            <v>OMNI</v>
          </cell>
          <cell r="B126">
            <v>34</v>
          </cell>
          <cell r="C126">
            <v>11826</v>
          </cell>
        </row>
        <row r="127">
          <cell r="A127" t="str">
            <v>OUTRIGGER</v>
          </cell>
          <cell r="B127">
            <v>11</v>
          </cell>
          <cell r="C127">
            <v>3791</v>
          </cell>
        </row>
        <row r="128">
          <cell r="A128" t="str">
            <v>PAN PACIFIC HOTELS AND R</v>
          </cell>
          <cell r="B128">
            <v>2</v>
          </cell>
          <cell r="C128">
            <v>680</v>
          </cell>
        </row>
        <row r="129">
          <cell r="A129" t="str">
            <v>PARK INN</v>
          </cell>
          <cell r="B129">
            <v>24</v>
          </cell>
          <cell r="C129">
            <v>2284</v>
          </cell>
        </row>
        <row r="130">
          <cell r="A130" t="str">
            <v>PARK INN SUITE HOTEL</v>
          </cell>
          <cell r="B130">
            <v>1</v>
          </cell>
          <cell r="C130">
            <v>163</v>
          </cell>
        </row>
        <row r="131">
          <cell r="A131" t="str">
            <v>PARK PLAZA</v>
          </cell>
          <cell r="B131">
            <v>4</v>
          </cell>
          <cell r="C131">
            <v>896</v>
          </cell>
        </row>
        <row r="132">
          <cell r="A132" t="str">
            <v>PASSPORT INN</v>
          </cell>
          <cell r="B132">
            <v>9</v>
          </cell>
          <cell r="C132">
            <v>394</v>
          </cell>
        </row>
        <row r="133">
          <cell r="A133" t="str">
            <v>PEAR TREE INN</v>
          </cell>
          <cell r="B133">
            <v>10</v>
          </cell>
          <cell r="C133">
            <v>980</v>
          </cell>
        </row>
        <row r="134">
          <cell r="A134" t="str">
            <v>PREFERRED</v>
          </cell>
          <cell r="B134">
            <v>67</v>
          </cell>
          <cell r="C134">
            <v>14063</v>
          </cell>
        </row>
        <row r="135">
          <cell r="A135" t="str">
            <v>QUALITY INN</v>
          </cell>
          <cell r="B135">
            <v>411</v>
          </cell>
          <cell r="C135">
            <v>46768</v>
          </cell>
          <cell r="D135" t="str">
            <v>CHOICE</v>
          </cell>
        </row>
        <row r="136">
          <cell r="A136" t="str">
            <v>QUALITY SUITES</v>
          </cell>
          <cell r="B136">
            <v>41</v>
          </cell>
          <cell r="C136">
            <v>4492</v>
          </cell>
          <cell r="D136" t="str">
            <v>CHOICE</v>
          </cell>
        </row>
        <row r="137">
          <cell r="A137" t="str">
            <v>RADISSON</v>
          </cell>
          <cell r="B137">
            <v>242</v>
          </cell>
          <cell r="C137">
            <v>58705</v>
          </cell>
        </row>
        <row r="138">
          <cell r="A138" t="str">
            <v>RAMADA INN</v>
          </cell>
          <cell r="B138">
            <v>632</v>
          </cell>
          <cell r="C138">
            <v>95809</v>
          </cell>
          <cell r="D138" t="str">
            <v>CENDANT</v>
          </cell>
        </row>
        <row r="139">
          <cell r="A139" t="str">
            <v>RAMADA LIMITED</v>
          </cell>
          <cell r="B139">
            <v>378</v>
          </cell>
          <cell r="C139">
            <v>27863</v>
          </cell>
          <cell r="D139" t="str">
            <v>CENDANT</v>
          </cell>
        </row>
        <row r="140">
          <cell r="A140" t="str">
            <v>RAPHAEL HOTEL</v>
          </cell>
          <cell r="B140">
            <v>2</v>
          </cell>
          <cell r="C140">
            <v>295</v>
          </cell>
        </row>
        <row r="141">
          <cell r="A141" t="str">
            <v>RED CARPET INN</v>
          </cell>
          <cell r="B141">
            <v>94</v>
          </cell>
          <cell r="C141">
            <v>6289</v>
          </cell>
        </row>
        <row r="142">
          <cell r="A142" t="str">
            <v>RED LION</v>
          </cell>
          <cell r="B142">
            <v>41</v>
          </cell>
          <cell r="C142">
            <v>6334</v>
          </cell>
          <cell r="D142" t="str">
            <v>HILTON</v>
          </cell>
        </row>
        <row r="143">
          <cell r="A143" t="str">
            <v>RED ROOF INN</v>
          </cell>
          <cell r="B143">
            <v>357</v>
          </cell>
          <cell r="C143">
            <v>39677</v>
          </cell>
        </row>
        <row r="144">
          <cell r="A144" t="str">
            <v>REGAL</v>
          </cell>
          <cell r="B144">
            <v>12</v>
          </cell>
          <cell r="C144">
            <v>4852</v>
          </cell>
        </row>
        <row r="145">
          <cell r="A145" t="str">
            <v>RELAX INN</v>
          </cell>
          <cell r="B145">
            <v>2</v>
          </cell>
          <cell r="C145">
            <v>129</v>
          </cell>
        </row>
        <row r="146">
          <cell r="A146" t="str">
            <v>RENAISSANCE HOTEL</v>
          </cell>
          <cell r="B146">
            <v>53</v>
          </cell>
          <cell r="C146">
            <v>20933</v>
          </cell>
          <cell r="D146" t="str">
            <v>MARRIOTT</v>
          </cell>
        </row>
        <row r="147">
          <cell r="A147" t="str">
            <v>RESIDENCE INN</v>
          </cell>
          <cell r="B147">
            <v>372</v>
          </cell>
          <cell r="C147">
            <v>43118</v>
          </cell>
          <cell r="D147" t="str">
            <v>MARRIOTT</v>
          </cell>
        </row>
        <row r="148">
          <cell r="A148" t="str">
            <v>RITZ-CARLTON</v>
          </cell>
          <cell r="B148">
            <v>24</v>
          </cell>
          <cell r="C148">
            <v>8542</v>
          </cell>
          <cell r="D148" t="str">
            <v>MARRIOTT</v>
          </cell>
        </row>
        <row r="149">
          <cell r="A149" t="str">
            <v>ROADSTAR INN</v>
          </cell>
          <cell r="B149">
            <v>7</v>
          </cell>
          <cell r="C149">
            <v>576</v>
          </cell>
        </row>
        <row r="150">
          <cell r="A150" t="str">
            <v>RODEWAY INN</v>
          </cell>
          <cell r="B150">
            <v>150</v>
          </cell>
          <cell r="C150">
            <v>9892</v>
          </cell>
          <cell r="D150" t="str">
            <v>CHOICE</v>
          </cell>
        </row>
        <row r="151">
          <cell r="A151" t="str">
            <v>ROMANTIK HOTEL</v>
          </cell>
          <cell r="B151">
            <v>3</v>
          </cell>
          <cell r="C151">
            <v>77</v>
          </cell>
        </row>
        <row r="152">
          <cell r="A152" t="str">
            <v>SCOTTISH INN</v>
          </cell>
          <cell r="B152">
            <v>122</v>
          </cell>
          <cell r="C152">
            <v>5924</v>
          </cell>
        </row>
        <row r="153">
          <cell r="A153" t="str">
            <v>SELECT INN</v>
          </cell>
          <cell r="B153">
            <v>18</v>
          </cell>
          <cell r="C153">
            <v>1627</v>
          </cell>
        </row>
        <row r="154">
          <cell r="A154" t="str">
            <v>SELECT SUITES</v>
          </cell>
          <cell r="B154">
            <v>5</v>
          </cell>
          <cell r="C154">
            <v>746</v>
          </cell>
        </row>
        <row r="155">
          <cell r="A155" t="str">
            <v>SHERATON HOTEL</v>
          </cell>
          <cell r="B155">
            <v>187</v>
          </cell>
          <cell r="C155">
            <v>67786</v>
          </cell>
          <cell r="D155" t="str">
            <v>STARWOOD</v>
          </cell>
        </row>
        <row r="156">
          <cell r="A156" t="str">
            <v>SHERATON INN</v>
          </cell>
          <cell r="B156">
            <v>7</v>
          </cell>
          <cell r="C156">
            <v>1417</v>
          </cell>
          <cell r="D156" t="str">
            <v>STARWOOD</v>
          </cell>
        </row>
        <row r="157">
          <cell r="A157" t="str">
            <v>SHILO INN</v>
          </cell>
          <cell r="B157">
            <v>46</v>
          </cell>
          <cell r="C157">
            <v>5129</v>
          </cell>
        </row>
        <row r="158">
          <cell r="A158" t="str">
            <v>SHONEY'S INN</v>
          </cell>
          <cell r="B158">
            <v>74</v>
          </cell>
          <cell r="C158">
            <v>6958</v>
          </cell>
        </row>
        <row r="159">
          <cell r="A159" t="str">
            <v>SIERRA SUITES</v>
          </cell>
          <cell r="B159">
            <v>17</v>
          </cell>
          <cell r="C159">
            <v>1864</v>
          </cell>
        </row>
        <row r="160">
          <cell r="A160" t="str">
            <v>SIGNATURE INN</v>
          </cell>
          <cell r="B160">
            <v>26</v>
          </cell>
          <cell r="C160">
            <v>3051</v>
          </cell>
        </row>
        <row r="161">
          <cell r="A161" t="str">
            <v>SLEEP INN</v>
          </cell>
          <cell r="B161">
            <v>280</v>
          </cell>
          <cell r="C161">
            <v>21607</v>
          </cell>
          <cell r="D161" t="str">
            <v>CHOICE</v>
          </cell>
        </row>
        <row r="162">
          <cell r="A162" t="str">
            <v>SONESTA HOTEL</v>
          </cell>
          <cell r="B162">
            <v>4</v>
          </cell>
          <cell r="C162">
            <v>1452</v>
          </cell>
        </row>
        <row r="163">
          <cell r="A163" t="str">
            <v>SPRINGHILL SUITES</v>
          </cell>
          <cell r="B163">
            <v>81</v>
          </cell>
          <cell r="C163">
            <v>9065</v>
          </cell>
          <cell r="D163" t="str">
            <v>MARRIOTT</v>
          </cell>
        </row>
        <row r="164">
          <cell r="A164" t="str">
            <v>ST. REGIS</v>
          </cell>
          <cell r="B164">
            <v>15</v>
          </cell>
          <cell r="C164">
            <v>5137</v>
          </cell>
          <cell r="D164" t="str">
            <v>STARWOOD</v>
          </cell>
        </row>
        <row r="165">
          <cell r="A165" t="str">
            <v>STARHOTELS</v>
          </cell>
          <cell r="B165">
            <v>1</v>
          </cell>
          <cell r="C165">
            <v>178</v>
          </cell>
        </row>
        <row r="166">
          <cell r="A166" t="str">
            <v>STAYBRIDGE SUITES</v>
          </cell>
          <cell r="B166">
            <v>36</v>
          </cell>
          <cell r="C166">
            <v>4116</v>
          </cell>
          <cell r="D166" t="str">
            <v>SIX CONTINENTS</v>
          </cell>
        </row>
        <row r="167">
          <cell r="A167" t="str">
            <v>STUDIO 6</v>
          </cell>
          <cell r="B167">
            <v>11</v>
          </cell>
          <cell r="C167">
            <v>1253</v>
          </cell>
        </row>
        <row r="168">
          <cell r="A168" t="str">
            <v>STUDIOPLUS HOTEL</v>
          </cell>
          <cell r="B168">
            <v>95</v>
          </cell>
          <cell r="C168">
            <v>7624</v>
          </cell>
          <cell r="D168" t="str">
            <v>ESA</v>
          </cell>
        </row>
        <row r="169">
          <cell r="A169" t="str">
            <v>SUBURBAN LODGE</v>
          </cell>
          <cell r="B169">
            <v>122</v>
          </cell>
          <cell r="C169">
            <v>16340</v>
          </cell>
        </row>
        <row r="170">
          <cell r="A170" t="str">
            <v>SUMMERFIELD SUITES BY WYNDHAM</v>
          </cell>
          <cell r="B170">
            <v>38</v>
          </cell>
          <cell r="C170">
            <v>5101</v>
          </cell>
          <cell r="D170" t="str">
            <v>WYNDHAM</v>
          </cell>
        </row>
        <row r="171">
          <cell r="A171" t="str">
            <v>SUMNER/AMERISUITE</v>
          </cell>
          <cell r="B171">
            <v>27</v>
          </cell>
          <cell r="C171">
            <v>3297</v>
          </cell>
        </row>
        <row r="172">
          <cell r="A172" t="str">
            <v>SUNSPREE RESORTS</v>
          </cell>
          <cell r="B172">
            <v>19</v>
          </cell>
          <cell r="C172">
            <v>4242</v>
          </cell>
          <cell r="D172" t="str">
            <v>SIX CONTINENTS</v>
          </cell>
        </row>
        <row r="173">
          <cell r="A173" t="str">
            <v>SUPER 8</v>
          </cell>
          <cell r="B173">
            <v>1944</v>
          </cell>
          <cell r="C173">
            <v>117792</v>
          </cell>
          <cell r="D173" t="str">
            <v>CENDANT</v>
          </cell>
        </row>
        <row r="174">
          <cell r="A174" t="str">
            <v>SUSSE CHALET</v>
          </cell>
          <cell r="B174">
            <v>30</v>
          </cell>
          <cell r="C174">
            <v>3425</v>
          </cell>
        </row>
        <row r="175">
          <cell r="A175" t="str">
            <v>SWISSOTEL</v>
          </cell>
          <cell r="B175">
            <v>5</v>
          </cell>
          <cell r="C175">
            <v>2238</v>
          </cell>
        </row>
        <row r="176">
          <cell r="A176" t="str">
            <v>THRIFTLODGE</v>
          </cell>
          <cell r="B176">
            <v>15</v>
          </cell>
          <cell r="C176">
            <v>753</v>
          </cell>
          <cell r="D176" t="str">
            <v>CENDANT</v>
          </cell>
        </row>
        <row r="177">
          <cell r="A177" t="str">
            <v>THRIFTY INN</v>
          </cell>
          <cell r="B177">
            <v>2</v>
          </cell>
          <cell r="C177">
            <v>134</v>
          </cell>
        </row>
        <row r="178">
          <cell r="A178" t="str">
            <v>TOWNEPLACE SUITES</v>
          </cell>
          <cell r="B178">
            <v>95</v>
          </cell>
          <cell r="C178">
            <v>9707</v>
          </cell>
          <cell r="D178" t="str">
            <v>MARRIOTT</v>
          </cell>
        </row>
        <row r="179">
          <cell r="A179" t="str">
            <v>TRAVEL INN</v>
          </cell>
          <cell r="B179">
            <v>1</v>
          </cell>
          <cell r="C179">
            <v>28</v>
          </cell>
        </row>
        <row r="180">
          <cell r="A180" t="str">
            <v>TRAVELERS INN</v>
          </cell>
          <cell r="B180">
            <v>14</v>
          </cell>
          <cell r="C180">
            <v>1295</v>
          </cell>
        </row>
        <row r="181">
          <cell r="A181" t="str">
            <v>TRAVELODGE</v>
          </cell>
          <cell r="B181">
            <v>481</v>
          </cell>
          <cell r="C181">
            <v>37691</v>
          </cell>
          <cell r="D181" t="str">
            <v>CENDANT</v>
          </cell>
        </row>
        <row r="182">
          <cell r="A182" t="str">
            <v>USA INN</v>
          </cell>
          <cell r="B182">
            <v>1</v>
          </cell>
          <cell r="C182">
            <v>63</v>
          </cell>
        </row>
        <row r="183">
          <cell r="A183" t="str">
            <v>VAGABOND INN</v>
          </cell>
          <cell r="B183">
            <v>36</v>
          </cell>
          <cell r="C183">
            <v>3055</v>
          </cell>
        </row>
        <row r="184">
          <cell r="A184" t="str">
            <v>VILLAGER LODGE</v>
          </cell>
          <cell r="B184">
            <v>127</v>
          </cell>
          <cell r="C184">
            <v>11633</v>
          </cell>
          <cell r="D184" t="str">
            <v>CENDANT</v>
          </cell>
        </row>
        <row r="185">
          <cell r="A185" t="str">
            <v>W HOTEL</v>
          </cell>
          <cell r="B185">
            <v>13</v>
          </cell>
          <cell r="C185">
            <v>3817</v>
          </cell>
          <cell r="D185" t="str">
            <v>STARWOOD</v>
          </cell>
        </row>
        <row r="186">
          <cell r="A186" t="str">
            <v>WANDLYN INN</v>
          </cell>
          <cell r="B186">
            <v>2</v>
          </cell>
          <cell r="C186">
            <v>167</v>
          </cell>
        </row>
        <row r="187">
          <cell r="A187" t="str">
            <v>WELLESLEY INN</v>
          </cell>
          <cell r="B187">
            <v>81</v>
          </cell>
          <cell r="C187">
            <v>9306</v>
          </cell>
          <cell r="D187" t="str">
            <v>PRIME</v>
          </cell>
        </row>
        <row r="188">
          <cell r="A188" t="str">
            <v>WELLESLEY INN &amp; SUITES</v>
          </cell>
          <cell r="B188">
            <v>39</v>
          </cell>
          <cell r="C188">
            <v>4776</v>
          </cell>
        </row>
        <row r="189">
          <cell r="A189" t="str">
            <v>WESTCOAST</v>
          </cell>
          <cell r="B189">
            <v>24</v>
          </cell>
          <cell r="C189">
            <v>5256</v>
          </cell>
        </row>
        <row r="190">
          <cell r="A190" t="str">
            <v>Westin  Hotel</v>
          </cell>
          <cell r="B190">
            <v>57</v>
          </cell>
          <cell r="C190">
            <v>27930</v>
          </cell>
          <cell r="D190" t="str">
            <v>STARWOOD</v>
          </cell>
        </row>
        <row r="191">
          <cell r="A191" t="str">
            <v>WESTMARK</v>
          </cell>
          <cell r="B191">
            <v>10</v>
          </cell>
          <cell r="C191">
            <v>1450</v>
          </cell>
        </row>
        <row r="192">
          <cell r="A192" t="str">
            <v>WILSON</v>
          </cell>
          <cell r="B192">
            <v>8</v>
          </cell>
          <cell r="C192">
            <v>1255</v>
          </cell>
        </row>
        <row r="193">
          <cell r="A193" t="str">
            <v>WINGATE INN</v>
          </cell>
          <cell r="B193">
            <v>107</v>
          </cell>
          <cell r="C193">
            <v>10010</v>
          </cell>
          <cell r="D193" t="str">
            <v>CENDANT</v>
          </cell>
        </row>
        <row r="194">
          <cell r="A194" t="str">
            <v>WOODFIELD SUITES</v>
          </cell>
          <cell r="B194">
            <v>7</v>
          </cell>
          <cell r="C194">
            <v>889</v>
          </cell>
        </row>
        <row r="195">
          <cell r="A195" t="str">
            <v>WOODFIN SUITES</v>
          </cell>
          <cell r="B195">
            <v>8</v>
          </cell>
          <cell r="C195">
            <v>1096</v>
          </cell>
        </row>
        <row r="196">
          <cell r="A196" t="str">
            <v>WYNDHAM GARDEN</v>
          </cell>
          <cell r="B196">
            <v>31</v>
          </cell>
          <cell r="C196">
            <v>5184</v>
          </cell>
          <cell r="D196" t="str">
            <v>WYNDHAM</v>
          </cell>
        </row>
        <row r="197">
          <cell r="A197" t="str">
            <v>WYNDHAM HISTORIC HOTEL</v>
          </cell>
          <cell r="B197">
            <v>11</v>
          </cell>
          <cell r="C197">
            <v>5121</v>
          </cell>
          <cell r="D197" t="str">
            <v>WYNDHAM</v>
          </cell>
        </row>
        <row r="198">
          <cell r="A198" t="str">
            <v>WYNDHAM HOTEL</v>
          </cell>
          <cell r="B198">
            <v>78</v>
          </cell>
          <cell r="C198">
            <v>24275</v>
          </cell>
          <cell r="D198" t="str">
            <v>WYNDHAM</v>
          </cell>
        </row>
        <row r="199">
          <cell r="A199" t="str">
            <v>WYNDHAM LUXURY</v>
          </cell>
          <cell r="B199">
            <v>3</v>
          </cell>
          <cell r="C199">
            <v>354</v>
          </cell>
          <cell r="D199" t="str">
            <v>WYNDHAM</v>
          </cell>
        </row>
        <row r="200">
          <cell r="A200" t="str">
            <v>WYNFIELD INN</v>
          </cell>
          <cell r="B200">
            <v>3</v>
          </cell>
          <cell r="C200">
            <v>578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S-Q (old) (2)"/>
      <sheetName val="CVS Q"/>
      <sheetName val="Publish"/>
      <sheetName val="Seventh Continent Backpage"/>
      <sheetName val="Income Statement"/>
      <sheetName val="p5t1"/>
      <sheetName val="p8t1"/>
      <sheetName val="p9t1"/>
      <sheetName val="p9t2"/>
      <sheetName val="Val"/>
      <sheetName val="iQ_US_CoreIndustrials"/>
      <sheetName val="Class5-7 Build"/>
      <sheetName val="Cap and Bond tables"/>
      <sheetName val="Annual (Euro)"/>
      <sheetName val="Controls"/>
      <sheetName val="Input"/>
      <sheetName val="IS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tnotes"/>
      <sheetName val="q201 v q101%"/>
      <sheetName val="Chain Summ"/>
      <sheetName val="By Brand"/>
      <sheetName val="By Region"/>
      <sheetName val="Region|Chain"/>
      <sheetName val="By MSA"/>
      <sheetName val="By MSA sort"/>
      <sheetName val="Est Opens"/>
      <sheetName val="Bar Charts"/>
      <sheetName val="Bar Charts3Q98+"/>
    </sheetNames>
    <sheetDataSet>
      <sheetData sheetId="0" refreshError="1">
        <row r="29">
          <cell r="A29" t="str">
            <v>2Q 2001</v>
          </cell>
          <cell r="B29" t="str">
            <v>1Q 2001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Valuation"/>
      <sheetName val="Capitalization"/>
      <sheetName val="NAV"/>
      <sheetName val="Income Statement"/>
      <sheetName val="Owned and Leased Hotels"/>
      <sheetName val="Managed and Franchised Hotels"/>
      <sheetName val="Debt Projections"/>
      <sheetName val="Cash Flows"/>
      <sheetName val="hy sheet"/>
      <sheetName val="Balance Sheet"/>
      <sheetName val="Stats"/>
      <sheetName val="Comments"/>
      <sheetName val="Income Statement-old "/>
      <sheetName val="Property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isclaimer"/>
      <sheetName val="Table "/>
      <sheetName val="Results"/>
      <sheetName val="Stats"/>
      <sheetName val="MHRS Q3"/>
      <sheetName val="RITZ Q3"/>
      <sheetName val="REN Q3"/>
      <sheetName val="Int'l MHRS Q3"/>
      <sheetName val="Int'l CY &amp; Ren Q3"/>
      <sheetName val="CY Q3"/>
      <sheetName val="FFI Q3"/>
      <sheetName val="SHS Q3"/>
      <sheetName val="RI Q3"/>
      <sheetName val="TPS Q3"/>
      <sheetName val="CL &amp; Other Q3"/>
      <sheetName val="MVCI Q3"/>
      <sheetName val="SLS Q3"/>
      <sheetName val="MDS Q3"/>
      <sheetName val="Int Exp &amp; Inc"/>
      <sheetName val="CorpExp Q3"/>
      <sheetName val="YTD Results"/>
      <sheetName val="YTD Stats"/>
      <sheetName val="MHRS YTD"/>
      <sheetName val="RITZ YTD"/>
      <sheetName val="REN YTD"/>
      <sheetName val="Int'l MHRS YTD"/>
      <sheetName val="Int'l CY &amp; Ren YTD"/>
      <sheetName val="CY YTD"/>
      <sheetName val="FFI YTD"/>
      <sheetName val="SHS YTD"/>
      <sheetName val="RI YTD"/>
      <sheetName val="TPS YTD"/>
      <sheetName val="CL &amp; Other Q3 YTD"/>
      <sheetName val="MVCI YTD"/>
      <sheetName val="SLS YTD"/>
      <sheetName val="MDS YTD"/>
      <sheetName val="Int Exp YTD"/>
      <sheetName val="CorpExp YTD"/>
      <sheetName val="Industry"/>
      <sheetName val="Industry (2)"/>
      <sheetName val="Model"/>
    </sheetNames>
    <sheetDataSet>
      <sheetData sheetId="0" refreshError="1">
        <row r="1">
          <cell r="J1" t="str">
            <v>THIRD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2Q00"/>
      <sheetName val="Lookup"/>
      <sheetName val="Pivot"/>
      <sheetName val="Brands"/>
      <sheetName val="BT Brand p6"/>
      <sheetName val="Sheet1"/>
      <sheetName val="Top 10 cos."/>
      <sheetName val="Census Chain"/>
      <sheetName val="Cos"/>
    </sheetNames>
    <sheetDataSet>
      <sheetData sheetId="0"/>
      <sheetData sheetId="1" refreshError="1">
        <row r="1">
          <cell r="A1" t="str">
            <v>Brand</v>
          </cell>
          <cell r="B1" t="str">
            <v>Chain Scale</v>
          </cell>
        </row>
        <row r="2">
          <cell r="A2" t="str">
            <v>Adam's Mark</v>
          </cell>
          <cell r="B2" t="str">
            <v>Upscale</v>
          </cell>
        </row>
        <row r="3">
          <cell r="A3" t="str">
            <v>AmericInn</v>
          </cell>
          <cell r="B3" t="str">
            <v>Economy</v>
          </cell>
        </row>
        <row r="4">
          <cell r="A4" t="str">
            <v>AmeriHost Inn</v>
          </cell>
          <cell r="B4" t="str">
            <v>Midscale w/o F&amp;B</v>
          </cell>
        </row>
        <row r="5">
          <cell r="A5" t="str">
            <v>AmeriSuites</v>
          </cell>
          <cell r="B5" t="str">
            <v>Upscale</v>
          </cell>
        </row>
        <row r="6">
          <cell r="A6" t="str">
            <v>AmeriTel Inn</v>
          </cell>
          <cell r="B6" t="str">
            <v>Independent</v>
          </cell>
        </row>
        <row r="7">
          <cell r="A7" t="str">
            <v>Arbogate Inn</v>
          </cell>
        </row>
        <row r="8">
          <cell r="A8" t="str">
            <v>Arte Business Suites</v>
          </cell>
          <cell r="B8" t="str">
            <v>Independent</v>
          </cell>
        </row>
        <row r="9">
          <cell r="A9" t="str">
            <v>Arte Palatial Suites</v>
          </cell>
          <cell r="B9" t="str">
            <v>Independent</v>
          </cell>
        </row>
        <row r="10">
          <cell r="A10" t="str">
            <v>Baymont Inn</v>
          </cell>
          <cell r="B10" t="str">
            <v>Economy</v>
          </cell>
        </row>
        <row r="11">
          <cell r="A11" t="str">
            <v>Baymont Inn &amp; Suites</v>
          </cell>
          <cell r="B11" t="str">
            <v>Economy</v>
          </cell>
        </row>
        <row r="12">
          <cell r="A12" t="str">
            <v xml:space="preserve">Best Inn </v>
          </cell>
          <cell r="B12" t="str">
            <v>Economy</v>
          </cell>
        </row>
        <row r="13">
          <cell r="A13" t="str">
            <v>Best Inn &amp; Suites</v>
          </cell>
          <cell r="B13" t="str">
            <v>Economy</v>
          </cell>
        </row>
        <row r="14">
          <cell r="A14" t="str">
            <v>Best Suites</v>
          </cell>
          <cell r="B14" t="str">
            <v>Economy</v>
          </cell>
        </row>
        <row r="15">
          <cell r="A15" t="str">
            <v>Best Western</v>
          </cell>
          <cell r="B15" t="str">
            <v>Midscale w/F&amp;B</v>
          </cell>
        </row>
        <row r="16">
          <cell r="A16" t="str">
            <v>Best Western Executel</v>
          </cell>
          <cell r="B16" t="str">
            <v>Midscale w/F&amp;B</v>
          </cell>
        </row>
        <row r="17">
          <cell r="A17" t="str">
            <v>Bradford Homesuites</v>
          </cell>
          <cell r="B17" t="str">
            <v>Midscale w/o F&amp;B</v>
          </cell>
        </row>
        <row r="18">
          <cell r="A18" t="str">
            <v>Budget Host</v>
          </cell>
          <cell r="B18" t="str">
            <v>Economy</v>
          </cell>
        </row>
        <row r="19">
          <cell r="A19" t="str">
            <v>Budget Suites of America</v>
          </cell>
          <cell r="B19" t="str">
            <v>Independent</v>
          </cell>
        </row>
        <row r="20">
          <cell r="A20" t="str">
            <v>Budgetel Inn</v>
          </cell>
          <cell r="B20" t="str">
            <v>Economy</v>
          </cell>
        </row>
        <row r="21">
          <cell r="A21" t="str">
            <v>Candlewood Suites</v>
          </cell>
          <cell r="B21" t="str">
            <v>Midscale w/o F&amp;B</v>
          </cell>
        </row>
        <row r="22">
          <cell r="A22" t="str">
            <v>Clarion</v>
          </cell>
          <cell r="B22" t="str">
            <v>Midscale w/F&amp;B</v>
          </cell>
        </row>
        <row r="23">
          <cell r="A23" t="str">
            <v>Club Hotel by Doubletree</v>
          </cell>
          <cell r="B23" t="str">
            <v>Midscale w/F&amp;B</v>
          </cell>
        </row>
        <row r="24">
          <cell r="A24" t="str">
            <v>ClubHouse Inn</v>
          </cell>
          <cell r="B24" t="str">
            <v>Midscale w/o F&amp;B</v>
          </cell>
        </row>
        <row r="25">
          <cell r="A25" t="str">
            <v>Comfort Inn</v>
          </cell>
          <cell r="B25" t="str">
            <v>Midscale w/o F&amp;B</v>
          </cell>
        </row>
        <row r="26">
          <cell r="A26" t="str">
            <v>Comfort Inn &amp; Suites</v>
          </cell>
          <cell r="B26" t="str">
            <v>Midscale w/o F&amp;B</v>
          </cell>
        </row>
        <row r="27">
          <cell r="A27" t="str">
            <v>Comfort Suites</v>
          </cell>
          <cell r="B27" t="str">
            <v>Midscale w/o F&amp;B</v>
          </cell>
        </row>
        <row r="28">
          <cell r="A28" t="str">
            <v>Country Hearth Inn</v>
          </cell>
          <cell r="B28" t="str">
            <v>Economy</v>
          </cell>
        </row>
        <row r="29">
          <cell r="A29" t="str">
            <v>Country Inn &amp; Suites</v>
          </cell>
          <cell r="B29" t="str">
            <v>Midscale w/o F&amp;B</v>
          </cell>
        </row>
        <row r="30">
          <cell r="A30" t="str">
            <v>Country Lodging</v>
          </cell>
        </row>
        <row r="31">
          <cell r="A31" t="str">
            <v>Courtyard by Marriott</v>
          </cell>
          <cell r="B31" t="str">
            <v>Upscale</v>
          </cell>
        </row>
        <row r="32">
          <cell r="A32" t="str">
            <v>Crossland Economy Studios</v>
          </cell>
          <cell r="B32" t="str">
            <v>Economy</v>
          </cell>
        </row>
        <row r="33">
          <cell r="A33" t="str">
            <v>Crown Sterling Suites</v>
          </cell>
        </row>
        <row r="34">
          <cell r="A34" t="str">
            <v>Crowne Plaza</v>
          </cell>
          <cell r="B34" t="str">
            <v>Upscale</v>
          </cell>
        </row>
        <row r="35">
          <cell r="A35" t="str">
            <v>Cypress Inn</v>
          </cell>
          <cell r="B35" t="str">
            <v>Midscale w/o F&amp;B</v>
          </cell>
        </row>
        <row r="36">
          <cell r="A36" t="str">
            <v>Days Inn</v>
          </cell>
          <cell r="B36" t="str">
            <v>Economy</v>
          </cell>
        </row>
        <row r="37">
          <cell r="A37" t="str">
            <v>Doubletree Guest Suites</v>
          </cell>
          <cell r="B37" t="str">
            <v>Upper Upscale</v>
          </cell>
        </row>
        <row r="38">
          <cell r="A38" t="str">
            <v>Doubletree Hotel</v>
          </cell>
          <cell r="B38" t="str">
            <v>Upscale</v>
          </cell>
        </row>
        <row r="39">
          <cell r="A39" t="str">
            <v>Drury Inn</v>
          </cell>
          <cell r="B39" t="str">
            <v>Midscale w/o F&amp;B</v>
          </cell>
        </row>
        <row r="40">
          <cell r="A40" t="str">
            <v>Econo Lodge</v>
          </cell>
          <cell r="B40" t="str">
            <v>Economy</v>
          </cell>
        </row>
        <row r="41">
          <cell r="A41" t="str">
            <v>Embassy Suites</v>
          </cell>
          <cell r="B41" t="str">
            <v>Upper Upscale</v>
          </cell>
        </row>
        <row r="42">
          <cell r="A42" t="str">
            <v>Extended Stay America</v>
          </cell>
          <cell r="B42" t="str">
            <v>Economy</v>
          </cell>
        </row>
        <row r="43">
          <cell r="A43" t="str">
            <v>Fairfield Inn</v>
          </cell>
          <cell r="B43" t="str">
            <v>Midscale w/o F&amp;B</v>
          </cell>
        </row>
        <row r="44">
          <cell r="A44" t="str">
            <v>Fairfield Inn &amp; Suites</v>
          </cell>
          <cell r="B44" t="str">
            <v>Midscale w/o F&amp;B</v>
          </cell>
        </row>
        <row r="45">
          <cell r="A45" t="str">
            <v>Family Inn</v>
          </cell>
          <cell r="B45" t="str">
            <v>Economy</v>
          </cell>
        </row>
        <row r="46">
          <cell r="A46" t="str">
            <v>Famous Host Inn</v>
          </cell>
        </row>
        <row r="47">
          <cell r="A47" t="str">
            <v>Four Points Hotel</v>
          </cell>
          <cell r="B47" t="str">
            <v>Midscale w/F&amp;B</v>
          </cell>
        </row>
        <row r="48">
          <cell r="A48" t="str">
            <v>Four Seasons</v>
          </cell>
          <cell r="B48" t="str">
            <v>Upper Upscale</v>
          </cell>
        </row>
        <row r="49">
          <cell r="A49" t="str">
            <v>French Quarter Suites</v>
          </cell>
        </row>
        <row r="50">
          <cell r="A50" t="str">
            <v>Friendship Inn</v>
          </cell>
          <cell r="B50" t="str">
            <v>Economy</v>
          </cell>
        </row>
        <row r="51">
          <cell r="A51" t="str">
            <v>Fullerton Suites</v>
          </cell>
        </row>
        <row r="52">
          <cell r="A52" t="str">
            <v>Good Night Inn</v>
          </cell>
          <cell r="B52" t="str">
            <v>Economy</v>
          </cell>
        </row>
        <row r="53">
          <cell r="A53" t="str">
            <v>Grand Bay Hotel</v>
          </cell>
          <cell r="B53" t="str">
            <v>Upper Upscale</v>
          </cell>
        </row>
        <row r="54">
          <cell r="A54" t="str">
            <v>Grand Chalet</v>
          </cell>
          <cell r="B54" t="str">
            <v>Economy</v>
          </cell>
        </row>
        <row r="55">
          <cell r="A55" t="str">
            <v>Guest Quarters</v>
          </cell>
        </row>
        <row r="56">
          <cell r="A56" t="str">
            <v>GuestHouse Hotel</v>
          </cell>
          <cell r="B56" t="str">
            <v>Economy</v>
          </cell>
        </row>
        <row r="57">
          <cell r="A57" t="str">
            <v>GuestHouse Inn</v>
          </cell>
          <cell r="B57" t="str">
            <v>Economy</v>
          </cell>
        </row>
        <row r="58">
          <cell r="A58" t="str">
            <v>GuestHouse Inn &amp; Suites</v>
          </cell>
          <cell r="B58" t="str">
            <v>Economy</v>
          </cell>
        </row>
        <row r="59">
          <cell r="A59" t="str">
            <v>GuestHouse Suites</v>
          </cell>
          <cell r="B59" t="str">
            <v>Economy</v>
          </cell>
        </row>
        <row r="60">
          <cell r="A60" t="str">
            <v>Hampton Inn</v>
          </cell>
          <cell r="B60" t="str">
            <v>Midscale w/o F&amp;B</v>
          </cell>
        </row>
        <row r="61">
          <cell r="A61" t="str">
            <v>Hampton Inn &amp; Suites</v>
          </cell>
          <cell r="B61" t="str">
            <v>Midscale w/o F&amp;B</v>
          </cell>
        </row>
        <row r="62">
          <cell r="A62" t="str">
            <v>Hawthorn Suites</v>
          </cell>
          <cell r="B62" t="str">
            <v>Upscale</v>
          </cell>
        </row>
        <row r="63">
          <cell r="A63" t="str">
            <v>Hawthorn Suites LTD.</v>
          </cell>
          <cell r="B63" t="str">
            <v>Upscale</v>
          </cell>
        </row>
        <row r="64">
          <cell r="A64" t="str">
            <v>Hearthside Inn</v>
          </cell>
          <cell r="B64" t="str">
            <v>Independent</v>
          </cell>
        </row>
        <row r="65">
          <cell r="A65" t="str">
            <v>Hilton Garden Inn</v>
          </cell>
          <cell r="B65" t="str">
            <v>Upscale</v>
          </cell>
        </row>
        <row r="66">
          <cell r="A66" t="str">
            <v>Hilton Hotel</v>
          </cell>
          <cell r="B66" t="str">
            <v>Upper Upscale</v>
          </cell>
        </row>
        <row r="67">
          <cell r="A67" t="str">
            <v>Hilton Inn</v>
          </cell>
          <cell r="B67" t="str">
            <v>Upscale</v>
          </cell>
        </row>
        <row r="68">
          <cell r="A68" t="str">
            <v>HoJo Inn</v>
          </cell>
          <cell r="B68" t="str">
            <v>Economy</v>
          </cell>
        </row>
        <row r="69">
          <cell r="A69" t="str">
            <v>Holiday Inn</v>
          </cell>
          <cell r="B69" t="str">
            <v>Midscale w/F&amp;B</v>
          </cell>
        </row>
        <row r="70">
          <cell r="A70" t="str">
            <v>Holiday Inn Express</v>
          </cell>
          <cell r="B70" t="str">
            <v>Midscale w/o F&amp;B</v>
          </cell>
        </row>
        <row r="71">
          <cell r="A71" t="str">
            <v>Holiday Inn Express &amp; Suites</v>
          </cell>
          <cell r="B71" t="str">
            <v>Midscale w/o F&amp;B</v>
          </cell>
        </row>
        <row r="72">
          <cell r="A72" t="str">
            <v>Holiday Inn Select</v>
          </cell>
          <cell r="B72" t="str">
            <v>Midscale w/F&amp;B</v>
          </cell>
        </row>
        <row r="73">
          <cell r="A73" t="str">
            <v>Homegate Studios &amp; Suites</v>
          </cell>
          <cell r="B73" t="str">
            <v>Economy</v>
          </cell>
        </row>
        <row r="74">
          <cell r="A74" t="str">
            <v>Homestead Village</v>
          </cell>
          <cell r="B74" t="str">
            <v>Economy</v>
          </cell>
        </row>
        <row r="75">
          <cell r="A75" t="str">
            <v>HomeTown Suites</v>
          </cell>
        </row>
        <row r="76">
          <cell r="A76" t="str">
            <v>Homewood Suites by Hilton</v>
          </cell>
          <cell r="B76" t="str">
            <v>Upscale</v>
          </cell>
        </row>
        <row r="77">
          <cell r="A77" t="str">
            <v>Hotel Sofitel</v>
          </cell>
          <cell r="B77" t="str">
            <v>Upper Upscale</v>
          </cell>
        </row>
        <row r="78">
          <cell r="A78" t="str">
            <v>Howard Johnson Express Inn</v>
          </cell>
          <cell r="B78" t="str">
            <v>Economy</v>
          </cell>
        </row>
        <row r="79">
          <cell r="A79" t="str">
            <v>Howard Johnson Hotel</v>
          </cell>
          <cell r="B79" t="str">
            <v>Midscale w/F&amp;B</v>
          </cell>
        </row>
        <row r="80">
          <cell r="A80" t="str">
            <v>Howard Johnson Inn</v>
          </cell>
          <cell r="B80" t="str">
            <v>Midscale w/F&amp;B</v>
          </cell>
        </row>
        <row r="81">
          <cell r="A81" t="str">
            <v>Howard Johnson Lodge</v>
          </cell>
          <cell r="B81" t="str">
            <v>Economy</v>
          </cell>
        </row>
        <row r="82">
          <cell r="A82" t="str">
            <v>Howard Johnson Plaza</v>
          </cell>
          <cell r="B82" t="str">
            <v>Midscale w/F&amp;B</v>
          </cell>
        </row>
        <row r="83">
          <cell r="A83" t="str">
            <v>Hyatt Hotel</v>
          </cell>
          <cell r="B83" t="str">
            <v>Upper Upscale</v>
          </cell>
        </row>
        <row r="84">
          <cell r="A84" t="str">
            <v>InnSuites</v>
          </cell>
          <cell r="B84" t="str">
            <v>Economy</v>
          </cell>
        </row>
        <row r="85">
          <cell r="A85" t="str">
            <v>Inter-Continental</v>
          </cell>
          <cell r="B85" t="str">
            <v>Upper Upscale</v>
          </cell>
        </row>
        <row r="86">
          <cell r="A86" t="str">
            <v>Intown Suites</v>
          </cell>
          <cell r="B86" t="str">
            <v>Economy</v>
          </cell>
        </row>
        <row r="87">
          <cell r="A87" t="str">
            <v>Jameson Inn</v>
          </cell>
          <cell r="B87" t="str">
            <v>Economy</v>
          </cell>
        </row>
        <row r="88">
          <cell r="A88" t="str">
            <v>Key West Inn</v>
          </cell>
          <cell r="B88" t="str">
            <v>Economy</v>
          </cell>
        </row>
        <row r="89">
          <cell r="A89" t="str">
            <v>Knights Inn</v>
          </cell>
          <cell r="B89" t="str">
            <v>Economy</v>
          </cell>
        </row>
        <row r="90">
          <cell r="A90" t="str">
            <v>La Quinta Inn</v>
          </cell>
          <cell r="B90" t="str">
            <v>Midscale w/o F&amp;B</v>
          </cell>
        </row>
        <row r="91">
          <cell r="A91" t="str">
            <v>La Quinta Inn &amp; Suites</v>
          </cell>
          <cell r="B91" t="str">
            <v>Midscale w/o F&amp;B</v>
          </cell>
        </row>
        <row r="92">
          <cell r="A92" t="str">
            <v xml:space="preserve">Le Meridien </v>
          </cell>
          <cell r="B92" t="str">
            <v>Upper Upscale</v>
          </cell>
        </row>
        <row r="93">
          <cell r="A93" t="str">
            <v>Leading Hotels of the World</v>
          </cell>
        </row>
        <row r="94">
          <cell r="A94" t="str">
            <v>Lexington Hotel Suites</v>
          </cell>
          <cell r="B94" t="str">
            <v>Economy</v>
          </cell>
        </row>
        <row r="95">
          <cell r="A95" t="str">
            <v>Loews Hotel</v>
          </cell>
          <cell r="B95" t="str">
            <v>Upper Upscale</v>
          </cell>
        </row>
        <row r="96">
          <cell r="A96" t="str">
            <v>MainStay Suites</v>
          </cell>
          <cell r="B96" t="str">
            <v>Economy</v>
          </cell>
        </row>
        <row r="97">
          <cell r="A97" t="str">
            <v>Marriott Hotel</v>
          </cell>
          <cell r="B97" t="str">
            <v>Upper Upscale</v>
          </cell>
        </row>
        <row r="98">
          <cell r="A98" t="str">
            <v>Marriott Hotel</v>
          </cell>
          <cell r="B98" t="str">
            <v>Upper Upscale</v>
          </cell>
        </row>
        <row r="99">
          <cell r="A99" t="str">
            <v>Meridien Hotel</v>
          </cell>
          <cell r="B99" t="str">
            <v>Upper Upscale</v>
          </cell>
        </row>
        <row r="100">
          <cell r="A100" t="str">
            <v>Microtel Inn</v>
          </cell>
          <cell r="B100" t="str">
            <v>Economy</v>
          </cell>
        </row>
        <row r="101">
          <cell r="A101" t="str">
            <v>Microtel Inn &amp; Suites</v>
          </cell>
          <cell r="B101" t="str">
            <v>Economy</v>
          </cell>
        </row>
        <row r="102">
          <cell r="A102" t="str">
            <v>Motel 6</v>
          </cell>
          <cell r="B102" t="str">
            <v>Economy</v>
          </cell>
        </row>
        <row r="103">
          <cell r="A103" t="str">
            <v>Nendels</v>
          </cell>
        </row>
        <row r="104">
          <cell r="A104" t="str">
            <v>Oak Tree Inn</v>
          </cell>
        </row>
        <row r="105">
          <cell r="A105" t="str">
            <v>Omni Hotel</v>
          </cell>
          <cell r="B105" t="str">
            <v>Upper Upscale</v>
          </cell>
        </row>
        <row r="106">
          <cell r="A106" t="str">
            <v>Other Franchise</v>
          </cell>
        </row>
        <row r="107">
          <cell r="A107" t="str">
            <v>Park Inn</v>
          </cell>
          <cell r="B107" t="str">
            <v>Midscale w/F&amp;B</v>
          </cell>
        </row>
        <row r="108">
          <cell r="A108" t="str">
            <v>Platinum Suites</v>
          </cell>
          <cell r="B108" t="str">
            <v>Independent</v>
          </cell>
        </row>
        <row r="109">
          <cell r="A109" t="str">
            <v>Quality Inn</v>
          </cell>
          <cell r="B109" t="str">
            <v>Midscale w/F&amp;B</v>
          </cell>
        </row>
        <row r="110">
          <cell r="A110" t="str">
            <v>Quality Inn &amp; Suites</v>
          </cell>
          <cell r="B110" t="str">
            <v>Midscale w/F&amp;B</v>
          </cell>
        </row>
        <row r="111">
          <cell r="A111" t="str">
            <v>Quality Suites</v>
          </cell>
          <cell r="B111" t="str">
            <v>Midscale w/F&amp;B</v>
          </cell>
        </row>
        <row r="112">
          <cell r="A112" t="str">
            <v>Radisson Hotel</v>
          </cell>
          <cell r="B112" t="str">
            <v>Upscale</v>
          </cell>
        </row>
        <row r="113">
          <cell r="A113" t="str">
            <v>Radisson Inn</v>
          </cell>
          <cell r="B113" t="str">
            <v>Upscale</v>
          </cell>
        </row>
        <row r="114">
          <cell r="A114" t="str">
            <v>Ramada Inn</v>
          </cell>
          <cell r="B114" t="str">
            <v>Midscale w/F&amp;B</v>
          </cell>
        </row>
        <row r="115">
          <cell r="A115" t="str">
            <v>Ramada Limited</v>
          </cell>
          <cell r="B115" t="str">
            <v>Economy</v>
          </cell>
        </row>
        <row r="116">
          <cell r="A116" t="str">
            <v>Ramada Plaza</v>
          </cell>
          <cell r="B116" t="str">
            <v>Midscale w/F&amp;B</v>
          </cell>
        </row>
        <row r="117">
          <cell r="A117" t="str">
            <v>Red Carpet Inn</v>
          </cell>
          <cell r="B117" t="str">
            <v>Economy</v>
          </cell>
        </row>
        <row r="118">
          <cell r="A118" t="str">
            <v>Red Lion</v>
          </cell>
          <cell r="B118" t="str">
            <v>Upscale</v>
          </cell>
        </row>
        <row r="119">
          <cell r="A119" t="str">
            <v>Red Roof Inn</v>
          </cell>
          <cell r="B119" t="str">
            <v>Economy</v>
          </cell>
        </row>
        <row r="120">
          <cell r="A120" t="str">
            <v>Renaissance Hotel</v>
          </cell>
          <cell r="B120" t="str">
            <v>Upper Upscale</v>
          </cell>
        </row>
        <row r="121">
          <cell r="A121" t="str">
            <v>Research</v>
          </cell>
        </row>
        <row r="122">
          <cell r="A122" t="str">
            <v>Residence Inn</v>
          </cell>
          <cell r="B122" t="str">
            <v>Upscale</v>
          </cell>
        </row>
        <row r="123">
          <cell r="A123" t="str">
            <v>Ritz-Carlton</v>
          </cell>
          <cell r="B123" t="str">
            <v>Upper Upscale</v>
          </cell>
        </row>
        <row r="124">
          <cell r="A124" t="str">
            <v>Rodeway Inn</v>
          </cell>
          <cell r="B124" t="str">
            <v>Economy</v>
          </cell>
        </row>
        <row r="125">
          <cell r="A125" t="str">
            <v>Save Inn</v>
          </cell>
        </row>
        <row r="126">
          <cell r="A126" t="str">
            <v>Scottish Inn</v>
          </cell>
          <cell r="B126" t="str">
            <v>Economy</v>
          </cell>
        </row>
        <row r="127">
          <cell r="A127" t="str">
            <v>Sheraton Hotel</v>
          </cell>
          <cell r="B127" t="str">
            <v>Upper Upscale</v>
          </cell>
        </row>
        <row r="128">
          <cell r="A128" t="str">
            <v>Sheraton Hotel &amp; Convention Center</v>
          </cell>
        </row>
        <row r="129">
          <cell r="A129" t="str">
            <v>Sheraton Inn</v>
          </cell>
          <cell r="B129" t="str">
            <v>Midscale w/F&amp;B</v>
          </cell>
        </row>
        <row r="130">
          <cell r="A130" t="str">
            <v>Sheraton Luxury Collection</v>
          </cell>
          <cell r="B130" t="str">
            <v>Upper Upscale</v>
          </cell>
        </row>
        <row r="131">
          <cell r="A131" t="str">
            <v>Shoney's Inn</v>
          </cell>
          <cell r="B131" t="str">
            <v>Economy</v>
          </cell>
        </row>
        <row r="132">
          <cell r="A132" t="str">
            <v>Sierra Suites</v>
          </cell>
          <cell r="B132" t="str">
            <v>Midscale w/o F&amp;B</v>
          </cell>
        </row>
        <row r="133">
          <cell r="A133" t="str">
            <v>Signature Inns</v>
          </cell>
          <cell r="B133" t="str">
            <v>Midscale w/o F&amp;B</v>
          </cell>
        </row>
        <row r="134">
          <cell r="A134" t="str">
            <v>Sleep Inn</v>
          </cell>
          <cell r="B134" t="str">
            <v>Midscale w/o F&amp;B</v>
          </cell>
        </row>
        <row r="135">
          <cell r="A135" t="str">
            <v>Sonesta Hotel</v>
          </cell>
          <cell r="B135" t="str">
            <v>Upper Upscale</v>
          </cell>
        </row>
        <row r="136">
          <cell r="A136" t="str">
            <v>SpringHill Suites</v>
          </cell>
          <cell r="B136" t="str">
            <v>Midscale w/o F&amp;B</v>
          </cell>
        </row>
        <row r="137">
          <cell r="A137" t="str">
            <v>Starwood Hotel</v>
          </cell>
        </row>
        <row r="138">
          <cell r="A138" t="str">
            <v>Staybridge Suites</v>
          </cell>
          <cell r="B138" t="str">
            <v>Midscale w/o F&amp;B</v>
          </cell>
        </row>
        <row r="139">
          <cell r="A139" t="str">
            <v>Stouffer Hotel</v>
          </cell>
        </row>
        <row r="140">
          <cell r="A140" t="str">
            <v>Studio 6</v>
          </cell>
          <cell r="B140" t="str">
            <v>Independent</v>
          </cell>
        </row>
        <row r="141">
          <cell r="A141" t="str">
            <v>StudioPlus Hotel</v>
          </cell>
          <cell r="B141" t="str">
            <v>Economy</v>
          </cell>
        </row>
        <row r="142">
          <cell r="A142" t="str">
            <v>Suburban Lodge</v>
          </cell>
          <cell r="B142" t="str">
            <v>Economy</v>
          </cell>
        </row>
        <row r="143">
          <cell r="A143" t="str">
            <v>Summerfield Suites by Wyndham</v>
          </cell>
          <cell r="B143" t="str">
            <v>Upper Upscale</v>
          </cell>
        </row>
        <row r="144">
          <cell r="A144" t="str">
            <v>Sumner Suites</v>
          </cell>
          <cell r="B144" t="str">
            <v>Upscale</v>
          </cell>
        </row>
        <row r="145">
          <cell r="A145" t="str">
            <v>Sun Suites</v>
          </cell>
          <cell r="B145" t="str">
            <v>Independent</v>
          </cell>
        </row>
        <row r="146">
          <cell r="A146" t="str">
            <v>Sunspree Resort</v>
          </cell>
          <cell r="B146" t="str">
            <v>Midscale w/F&amp;B</v>
          </cell>
        </row>
        <row r="147">
          <cell r="A147" t="str">
            <v>Super 8</v>
          </cell>
          <cell r="B147" t="str">
            <v>Economy</v>
          </cell>
        </row>
        <row r="148">
          <cell r="A148" t="str">
            <v>Susse Chalet</v>
          </cell>
          <cell r="B148" t="str">
            <v>Economy</v>
          </cell>
        </row>
        <row r="149">
          <cell r="A149" t="str">
            <v>Swissotel</v>
          </cell>
          <cell r="B149" t="str">
            <v>Upper Upscale</v>
          </cell>
        </row>
        <row r="150">
          <cell r="A150" t="str">
            <v>TownePlace Suites</v>
          </cell>
          <cell r="B150" t="str">
            <v>Midscale w/o F&amp;B</v>
          </cell>
        </row>
        <row r="151">
          <cell r="A151" t="str">
            <v>Travelodge</v>
          </cell>
          <cell r="B151" t="str">
            <v>Economy</v>
          </cell>
        </row>
        <row r="152">
          <cell r="A152" t="str">
            <v>Travelodge Viscount</v>
          </cell>
        </row>
        <row r="153">
          <cell r="A153" t="str">
            <v>Vagabond Inn</v>
          </cell>
          <cell r="B153" t="str">
            <v>Economy</v>
          </cell>
        </row>
        <row r="154">
          <cell r="A154" t="str">
            <v>Valu Inn</v>
          </cell>
        </row>
        <row r="155">
          <cell r="A155" t="str">
            <v>Vantage Hotel</v>
          </cell>
        </row>
        <row r="156">
          <cell r="A156" t="str">
            <v>Villager Lodge</v>
          </cell>
          <cell r="B156" t="str">
            <v>Economy</v>
          </cell>
        </row>
        <row r="157">
          <cell r="A157" t="str">
            <v>W Hotel</v>
          </cell>
          <cell r="B157" t="str">
            <v>Upper Upscale</v>
          </cell>
        </row>
        <row r="158">
          <cell r="A158" t="str">
            <v>Wellesley Inn</v>
          </cell>
          <cell r="B158" t="str">
            <v>Midscale w/o F&amp;B</v>
          </cell>
        </row>
        <row r="159">
          <cell r="A159" t="str">
            <v>Westin  Hotel</v>
          </cell>
          <cell r="B159" t="str">
            <v>Upper Upscale</v>
          </cell>
        </row>
        <row r="160">
          <cell r="A160" t="str">
            <v>Wilson Inn</v>
          </cell>
          <cell r="B160" t="str">
            <v>Economy</v>
          </cell>
        </row>
        <row r="161">
          <cell r="A161" t="str">
            <v>Wingate Inn</v>
          </cell>
          <cell r="B161" t="str">
            <v>Midscale w/o F&amp;B</v>
          </cell>
        </row>
        <row r="162">
          <cell r="A162" t="str">
            <v>Woodfield Suites</v>
          </cell>
          <cell r="B162" t="str">
            <v>Economy</v>
          </cell>
        </row>
        <row r="163">
          <cell r="A163" t="str">
            <v>Woodfin Suites</v>
          </cell>
          <cell r="B163" t="str">
            <v>Upscale</v>
          </cell>
        </row>
        <row r="164">
          <cell r="A164" t="str">
            <v xml:space="preserve">Wyndham Garden </v>
          </cell>
          <cell r="B164" t="str">
            <v>Upscale</v>
          </cell>
        </row>
        <row r="165">
          <cell r="A165" t="str">
            <v>Wyndham Hotel</v>
          </cell>
          <cell r="B165" t="str">
            <v>Upper Upscale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dman Pivots"/>
      <sheetName val="Est Comp"/>
      <sheetName val="Category Pivots"/>
      <sheetName val="Sheet1"/>
      <sheetName val="Brand Pivots"/>
      <sheetName val="Lookups"/>
      <sheetName val="Projects"/>
      <sheetName val="LE Brand"/>
      <sheetName val="All Cat"/>
      <sheetName val="STR Brand"/>
      <sheetName val="STR Est. Opens"/>
      <sheetName val="By MSA"/>
      <sheetName val="New Openings"/>
      <sheetName val="LEC PRojects"/>
      <sheetName val="LEC Pivot"/>
      <sheetName val="LEC Brand"/>
      <sheetName val="MS Ex Stay Pivot"/>
      <sheetName val="MS Ex Stay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2 MSA Ranks-pipe by cens rooms"/>
      <sheetName val="82 MSA Ranks-pipe by % of cens"/>
      <sheetName val="footnotes"/>
      <sheetName val="State"/>
      <sheetName val="Region"/>
      <sheetName val="BS Brand"/>
      <sheetName val="2Q Summary"/>
      <sheetName val="Region Summ"/>
      <sheetName val="Rooms by Phase"/>
      <sheetName val="Projects and Rooms"/>
      <sheetName val="lookups"/>
      <sheetName val="82 MSA Ranks"/>
      <sheetName val="82 MSA Ranks-pipe"/>
      <sheetName val="Top 25"/>
      <sheetName val="Bottom 25"/>
      <sheetName val="census"/>
      <sheetName val="BS est ope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">
          <cell r="B6" t="str">
            <v>Albany-Schenectady-Troy, NY</v>
          </cell>
          <cell r="D6" t="str">
            <v>Albany, NY</v>
          </cell>
        </row>
        <row r="7">
          <cell r="B7" t="str">
            <v>Albuquerque, NM</v>
          </cell>
          <cell r="D7" t="str">
            <v>Albuquerque, NM</v>
          </cell>
        </row>
        <row r="8">
          <cell r="B8" t="str">
            <v>Anaheim-Santa Ana, CA</v>
          </cell>
          <cell r="D8" t="str">
            <v>Anaheim, CA</v>
          </cell>
        </row>
        <row r="9">
          <cell r="B9" t="str">
            <v>Atlanta, GA</v>
          </cell>
          <cell r="D9" t="str">
            <v>Atlanta, GA</v>
          </cell>
        </row>
        <row r="10">
          <cell r="B10" t="str">
            <v>Atlantic City-Cape May, NJ</v>
          </cell>
          <cell r="D10" t="str">
            <v>Atlantic City, NJ</v>
          </cell>
        </row>
        <row r="11">
          <cell r="B11" t="str">
            <v>Austin, TX</v>
          </cell>
          <cell r="D11" t="str">
            <v>Austin, TX</v>
          </cell>
        </row>
        <row r="12">
          <cell r="B12" t="str">
            <v>Baltimore, MD</v>
          </cell>
          <cell r="D12" t="str">
            <v>Baltimore, MD</v>
          </cell>
        </row>
        <row r="13">
          <cell r="B13" t="str">
            <v>Birmingham, AL</v>
          </cell>
          <cell r="D13" t="str">
            <v>Birmingham, AL</v>
          </cell>
        </row>
        <row r="14">
          <cell r="B14" t="str">
            <v>Boston, MA</v>
          </cell>
          <cell r="D14" t="str">
            <v>Boston, MA</v>
          </cell>
        </row>
        <row r="15">
          <cell r="B15" t="str">
            <v>Buffalo-Niagara Falls, NY</v>
          </cell>
          <cell r="D15" t="str">
            <v>Buffalo, NY</v>
          </cell>
        </row>
        <row r="16">
          <cell r="B16" t="str">
            <v>Charleston, SC</v>
          </cell>
          <cell r="D16" t="str">
            <v>Charleston, SC</v>
          </cell>
        </row>
        <row r="17">
          <cell r="B17" t="str">
            <v>Charlotte-Gastonia, NC-SC</v>
          </cell>
          <cell r="D17" t="str">
            <v>Charlotte, NC</v>
          </cell>
        </row>
        <row r="18">
          <cell r="B18" t="str">
            <v>Chicago, IL</v>
          </cell>
          <cell r="D18" t="str">
            <v>Chicago, IL</v>
          </cell>
        </row>
        <row r="19">
          <cell r="B19" t="str">
            <v>Cincinnati, OH-KY-IN</v>
          </cell>
          <cell r="D19" t="str">
            <v>Cincinnati, OH</v>
          </cell>
        </row>
        <row r="20">
          <cell r="B20" t="str">
            <v>Cleveland, OH</v>
          </cell>
          <cell r="D20" t="str">
            <v>Cleveland, OH</v>
          </cell>
        </row>
        <row r="21">
          <cell r="B21" t="str">
            <v>Columbia, SC</v>
          </cell>
          <cell r="D21" t="str">
            <v>Columbia, SC</v>
          </cell>
        </row>
        <row r="22">
          <cell r="B22" t="str">
            <v>Columbus, OH</v>
          </cell>
          <cell r="D22" t="str">
            <v>Columbus, OH</v>
          </cell>
        </row>
        <row r="23">
          <cell r="B23" t="str">
            <v>Dallas, TX</v>
          </cell>
          <cell r="D23" t="str">
            <v>Dallas, TX</v>
          </cell>
        </row>
        <row r="24">
          <cell r="B24" t="str">
            <v>Davenport-Moline-Rock Island, IA-IL</v>
          </cell>
          <cell r="D24" t="str">
            <v>Davenport, IA</v>
          </cell>
        </row>
        <row r="25">
          <cell r="B25" t="str">
            <v>Dayton-Springfield, OH</v>
          </cell>
          <cell r="D25" t="str">
            <v>Dayton, OH</v>
          </cell>
        </row>
        <row r="26">
          <cell r="B26" t="str">
            <v>Daytona Beach, FL</v>
          </cell>
          <cell r="D26" t="str">
            <v>Daytona Beach, FL</v>
          </cell>
        </row>
        <row r="27">
          <cell r="B27" t="str">
            <v>Denver, CO</v>
          </cell>
          <cell r="D27" t="str">
            <v>Denver, CO</v>
          </cell>
        </row>
        <row r="28">
          <cell r="B28" t="str">
            <v>Detroit, MI</v>
          </cell>
          <cell r="D28" t="str">
            <v>Detroit, MI</v>
          </cell>
        </row>
        <row r="29">
          <cell r="B29" t="str">
            <v>Fort Lauderdale, FL</v>
          </cell>
          <cell r="D29" t="str">
            <v>Fort Lauderdale, FL</v>
          </cell>
        </row>
        <row r="30">
          <cell r="B30" t="str">
            <v>Fort Myers-Cape Coral, FL</v>
          </cell>
          <cell r="D30" t="str">
            <v>Fort Myers, FL</v>
          </cell>
        </row>
        <row r="31">
          <cell r="B31" t="str">
            <v>Fort Worth-Arlington, TX</v>
          </cell>
          <cell r="D31" t="str">
            <v>Fort Worth, TX</v>
          </cell>
        </row>
        <row r="32">
          <cell r="B32" t="str">
            <v>Gatlinburg-Pigeon Forge, TN</v>
          </cell>
          <cell r="D32" t="str">
            <v>Gatlinburg, TN</v>
          </cell>
        </row>
        <row r="33">
          <cell r="B33" t="str">
            <v>Greensboro-Winston Salem, NC</v>
          </cell>
          <cell r="D33" t="str">
            <v>Greensboro, NC</v>
          </cell>
        </row>
        <row r="34">
          <cell r="B34" t="str">
            <v>Greenville-Spartanburg, SC</v>
          </cell>
          <cell r="D34" t="str">
            <v>Greenville, SC</v>
          </cell>
        </row>
        <row r="35">
          <cell r="B35" t="str">
            <v>Harrisburg, PA</v>
          </cell>
          <cell r="D35" t="str">
            <v>Harrisburg, PA</v>
          </cell>
        </row>
        <row r="36">
          <cell r="B36" t="str">
            <v>Hartford, CT</v>
          </cell>
          <cell r="D36" t="str">
            <v>Hartford, CT</v>
          </cell>
        </row>
        <row r="37">
          <cell r="B37" t="str">
            <v>Houston, TX</v>
          </cell>
          <cell r="D37" t="str">
            <v>Houston, TX</v>
          </cell>
        </row>
        <row r="38">
          <cell r="B38" t="str">
            <v>Indianapolis, IN</v>
          </cell>
          <cell r="D38" t="str">
            <v>Indianapolis, IN</v>
          </cell>
        </row>
        <row r="39">
          <cell r="B39" t="str">
            <v>Jackson, MS</v>
          </cell>
          <cell r="D39" t="str">
            <v>Jackson, MS</v>
          </cell>
        </row>
        <row r="40">
          <cell r="B40" t="str">
            <v>Jacksonville, FL</v>
          </cell>
          <cell r="D40" t="str">
            <v>Jacksonville, FL</v>
          </cell>
        </row>
        <row r="41">
          <cell r="B41" t="str">
            <v>Kansas City, MO-KS</v>
          </cell>
          <cell r="D41" t="str">
            <v>Kansas City, MO</v>
          </cell>
        </row>
        <row r="42">
          <cell r="B42" t="str">
            <v>Key West, FL</v>
          </cell>
          <cell r="D42" t="str">
            <v>Key West, FL</v>
          </cell>
        </row>
        <row r="43">
          <cell r="B43" t="str">
            <v>Knoxville, TN</v>
          </cell>
          <cell r="D43" t="str">
            <v>Knoxville, TN</v>
          </cell>
        </row>
        <row r="44">
          <cell r="B44" t="str">
            <v>Las Vegas, NV</v>
          </cell>
          <cell r="D44" t="str">
            <v>Las Vegas, NV</v>
          </cell>
        </row>
        <row r="45">
          <cell r="B45" t="str">
            <v>Little Rock, AR</v>
          </cell>
          <cell r="D45" t="str">
            <v>Little Rock, AR</v>
          </cell>
        </row>
        <row r="46">
          <cell r="B46" t="str">
            <v>Los Angeles-Long Beach, CA</v>
          </cell>
          <cell r="D46" t="str">
            <v>Los Angeles, CA</v>
          </cell>
        </row>
        <row r="47">
          <cell r="B47" t="str">
            <v>Louisville, KY-IN</v>
          </cell>
          <cell r="D47" t="str">
            <v>Louisville, KY</v>
          </cell>
        </row>
        <row r="48">
          <cell r="B48" t="str">
            <v>Memphis, TN-AR-MS</v>
          </cell>
          <cell r="D48" t="str">
            <v>Memphis, TN</v>
          </cell>
        </row>
        <row r="49">
          <cell r="B49" t="str">
            <v>Miami, FL</v>
          </cell>
          <cell r="D49" t="str">
            <v>Miami, FL</v>
          </cell>
        </row>
        <row r="50">
          <cell r="B50" t="str">
            <v>Milwaukee, WI</v>
          </cell>
          <cell r="D50" t="str">
            <v>Milwaukee, WI</v>
          </cell>
        </row>
        <row r="51">
          <cell r="B51" t="str">
            <v>Minneapolis-St. Paul, MN-WI</v>
          </cell>
          <cell r="D51" t="str">
            <v>Minneapolis, MN</v>
          </cell>
        </row>
        <row r="52">
          <cell r="B52" t="str">
            <v>Nashville, TN</v>
          </cell>
          <cell r="D52" t="str">
            <v>Nashville, TN</v>
          </cell>
        </row>
        <row r="53">
          <cell r="B53" t="str">
            <v>New Orleans, LA</v>
          </cell>
          <cell r="D53" t="str">
            <v>New Orleans, LA</v>
          </cell>
        </row>
        <row r="54">
          <cell r="B54" t="str">
            <v>New York City, NY</v>
          </cell>
          <cell r="D54" t="str">
            <v>New York, NY</v>
          </cell>
        </row>
        <row r="55">
          <cell r="B55" t="str">
            <v>Newark, NJ</v>
          </cell>
          <cell r="D55" t="str">
            <v>Newark, NJ</v>
          </cell>
        </row>
        <row r="56">
          <cell r="B56" t="str">
            <v>Norfolk-Virginia Beach, VA</v>
          </cell>
          <cell r="D56" t="str">
            <v>Norfolk, VA</v>
          </cell>
        </row>
        <row r="57">
          <cell r="B57" t="str">
            <v>Oahu Island, HI</v>
          </cell>
          <cell r="D57" t="str">
            <v>Oahu Island, HI</v>
          </cell>
        </row>
        <row r="58">
          <cell r="B58" t="str">
            <v>Oakland, CA</v>
          </cell>
          <cell r="D58" t="str">
            <v>Oakland, CA</v>
          </cell>
        </row>
        <row r="59">
          <cell r="B59" t="str">
            <v>Oklahoma City, OK</v>
          </cell>
          <cell r="D59" t="str">
            <v>Oklahoma City, OK</v>
          </cell>
        </row>
        <row r="60">
          <cell r="B60" t="str">
            <v>Omaha, NE</v>
          </cell>
          <cell r="D60" t="str">
            <v>Omaha, NE</v>
          </cell>
        </row>
        <row r="61">
          <cell r="B61" t="str">
            <v>Orlando, FL</v>
          </cell>
          <cell r="D61" t="str">
            <v>Orlando, FL</v>
          </cell>
        </row>
        <row r="62">
          <cell r="B62" t="str">
            <v>Palm Springs, CA</v>
          </cell>
          <cell r="D62" t="str">
            <v>Palm Springs, CA</v>
          </cell>
        </row>
        <row r="63">
          <cell r="B63" t="str">
            <v>Philadelphia, PA-NJ</v>
          </cell>
          <cell r="D63" t="str">
            <v>Philadelphia, PA</v>
          </cell>
        </row>
        <row r="64">
          <cell r="B64" t="str">
            <v>Phoenix, AZ</v>
          </cell>
          <cell r="D64" t="str">
            <v>Phoenix, AZ</v>
          </cell>
        </row>
        <row r="65">
          <cell r="B65" t="str">
            <v>Pittsburgh, PA</v>
          </cell>
          <cell r="D65" t="str">
            <v>Pittsburgh, PA</v>
          </cell>
        </row>
        <row r="66">
          <cell r="B66" t="str">
            <v>Portland, OR</v>
          </cell>
          <cell r="D66" t="str">
            <v>Portland, OR</v>
          </cell>
        </row>
        <row r="67">
          <cell r="B67" t="str">
            <v>Raleigh-Durham-Chapel Hill, NC</v>
          </cell>
          <cell r="D67" t="str">
            <v>Raleigh, NC</v>
          </cell>
        </row>
        <row r="68">
          <cell r="B68" t="str">
            <v>Reno, NV</v>
          </cell>
          <cell r="D68" t="str">
            <v>Reno, NV</v>
          </cell>
        </row>
        <row r="69">
          <cell r="B69" t="str">
            <v>Richmond-Petersburg, VA</v>
          </cell>
          <cell r="D69" t="str">
            <v>Richmond, VA</v>
          </cell>
        </row>
        <row r="70">
          <cell r="B70" t="str">
            <v>Riverside-San Bernadino, CA</v>
          </cell>
          <cell r="D70" t="str">
            <v>Riverside, CA</v>
          </cell>
        </row>
        <row r="71">
          <cell r="B71" t="str">
            <v>Rochester, NY</v>
          </cell>
          <cell r="D71" t="str">
            <v>Rochester, NY</v>
          </cell>
        </row>
        <row r="72">
          <cell r="B72" t="str">
            <v>Sacramento, CA</v>
          </cell>
          <cell r="D72" t="str">
            <v>Sacramento, CA</v>
          </cell>
        </row>
        <row r="73">
          <cell r="B73" t="str">
            <v>Saint Louis, MO-IL</v>
          </cell>
          <cell r="D73" t="str">
            <v>Saint Louis, MO</v>
          </cell>
        </row>
        <row r="74">
          <cell r="B74" t="str">
            <v>Salinas, CA</v>
          </cell>
          <cell r="D74" t="str">
            <v>Salinas, CA</v>
          </cell>
        </row>
        <row r="75">
          <cell r="B75" t="str">
            <v>Salt Lake City, UT</v>
          </cell>
          <cell r="D75" t="str">
            <v>Salt Lake City, UT</v>
          </cell>
        </row>
        <row r="76">
          <cell r="B76" t="str">
            <v>San Antonio, TX</v>
          </cell>
          <cell r="D76" t="str">
            <v>San Antonio, TX</v>
          </cell>
        </row>
        <row r="77">
          <cell r="B77" t="str">
            <v>San Diego, CA</v>
          </cell>
          <cell r="D77" t="str">
            <v>San Diego, CA</v>
          </cell>
        </row>
        <row r="78">
          <cell r="B78" t="str">
            <v>San Francisco, CA</v>
          </cell>
          <cell r="D78" t="str">
            <v>San Francisco, CA</v>
          </cell>
        </row>
        <row r="79">
          <cell r="B79" t="str">
            <v>San Jose, CA</v>
          </cell>
          <cell r="D79" t="str">
            <v>San Jose, CA</v>
          </cell>
        </row>
        <row r="80">
          <cell r="B80" t="str">
            <v>Scranton-Wilkes-Barre, PA</v>
          </cell>
          <cell r="D80" t="str">
            <v>Scranton, PA</v>
          </cell>
        </row>
        <row r="81">
          <cell r="B81" t="str">
            <v>Seattle-Everett, WA</v>
          </cell>
          <cell r="D81" t="str">
            <v>Seattle, WA</v>
          </cell>
        </row>
        <row r="82">
          <cell r="B82" t="str">
            <v>Syracuse, NY</v>
          </cell>
          <cell r="D82" t="str">
            <v>Syracuse, NY</v>
          </cell>
        </row>
        <row r="83">
          <cell r="B83" t="str">
            <v>Tampa-St. Petersburg, FL</v>
          </cell>
          <cell r="D83" t="str">
            <v>Tampa, FL</v>
          </cell>
        </row>
        <row r="84">
          <cell r="B84" t="str">
            <v>Tucson, AZ</v>
          </cell>
          <cell r="D84" t="str">
            <v>Tucson, AZ</v>
          </cell>
        </row>
        <row r="85">
          <cell r="B85" t="str">
            <v>Tulsa, OK</v>
          </cell>
          <cell r="D85" t="str">
            <v>Tulsa, OK</v>
          </cell>
        </row>
        <row r="86">
          <cell r="B86" t="str">
            <v>Washington, DC-MD-VA</v>
          </cell>
          <cell r="D86" t="str">
            <v>Washington, DC</v>
          </cell>
        </row>
        <row r="87">
          <cell r="B87" t="str">
            <v>West Palm Beach-Boca Raton, FL</v>
          </cell>
          <cell r="D87" t="str">
            <v>West Palm Beach, FL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rnings Model"/>
      <sheetName val="2Q04"/>
      <sheetName val="1Q04"/>
      <sheetName val="Valuation"/>
      <sheetName val="TV Addl slots math"/>
      <sheetName val="Estimate Summary"/>
      <sheetName val="ROIC"/>
      <sheetName val="Thunder Valley"/>
      <sheetName val="NPV Thunder Valley"/>
      <sheetName val="Graton"/>
      <sheetName val="NPV Graton"/>
      <sheetName val="Gun Lake NPV Conservative case"/>
      <sheetName val="Chico NPV"/>
      <sheetName val="Mono Prop Math"/>
      <sheetName val="Mono NPV"/>
      <sheetName val="Gun Lake Math"/>
      <sheetName val="Charts"/>
      <sheetName val="Gun Lake NPV Optimistic Case"/>
      <sheetName val="DCF Model"/>
      <sheetName val="Props"/>
      <sheetName val="4Q03"/>
      <sheetName val="3Q03"/>
      <sheetName val="2Q03"/>
      <sheetName val="1Q03"/>
      <sheetName val="EarningsModel"/>
      <sheetName val="Mono"/>
      <sheetName val="3Q03 Comp"/>
      <sheetName val="2Q03 Comp"/>
      <sheetName val="1Q03 Comp"/>
      <sheetName val="3Q04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Earnings Model"/>
    </sheetNames>
    <sheetDataSet>
      <sheetData sheetId="0" refreshError="1"/>
      <sheetData sheetId="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"/>
      <sheetName val="BS"/>
      <sheetName val="CF"/>
      <sheetName val="WCAP"/>
      <sheetName val="DEP"/>
      <sheetName val="OTHER"/>
      <sheetName val="EQUITY"/>
      <sheetName val="REVENUE"/>
      <sheetName val="REV_SCENARIO"/>
      <sheetName val="EXP_SCENARIO"/>
      <sheetName val="DCF"/>
      <sheetName val="Model Introduction"/>
      <sheetName val="Comps"/>
      <sheetName val="__FDSCACHE__"/>
      <sheetName val="EPS Model"/>
      <sheetName val="Balance Sheet"/>
      <sheetName val="Cash Flow"/>
      <sheetName val="Working Capital"/>
      <sheetName val="Interest"/>
      <sheetName val="D&amp;A"/>
      <sheetName val="Shares"/>
      <sheetName val="Store &amp; Sq. Ft Data"/>
      <sheetName val="Misc Info"/>
      <sheetName val="Summary"/>
      <sheetName val="Sales Gen"/>
      <sheetName val="Variables"/>
      <sheetName val="5. BBBY Expansion"/>
      <sheetName val="QTRrollup"/>
      <sheetName val="subjects"/>
      <sheetName val="Model"/>
      <sheetName val="WMTQORFA"/>
    </sheetNames>
    <sheetDataSet>
      <sheetData sheetId="0" refreshError="1">
        <row r="2">
          <cell r="A2" t="str">
            <v>Dollars in Thousands, except per share data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JPMColours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4E8ABE"/>
      </a:accent1>
      <a:accent2>
        <a:srgbClr val="616265"/>
      </a:accent2>
      <a:accent3>
        <a:srgbClr val="333333"/>
      </a:accent3>
      <a:accent4>
        <a:srgbClr val="969696"/>
      </a:accent4>
      <a:accent5>
        <a:srgbClr val="9AB0CB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A801-5104-384D-886B-5CAFBC44BB87}">
  <sheetPr>
    <tabColor rgb="FF0070C0"/>
    <pageSetUpPr fitToPage="1"/>
  </sheetPr>
  <dimension ref="A1:AE179"/>
  <sheetViews>
    <sheetView showGridLines="0" tabSelected="1" zoomScale="90" zoomScaleNormal="90" zoomScaleSheetLayoutView="80" workbookViewId="0">
      <pane xSplit="4" ySplit="5" topLeftCell="E75" activePane="bottomRight" state="frozen"/>
      <selection activeCell="CF31" sqref="CF31"/>
      <selection pane="topRight" activeCell="CF31" sqref="CF31"/>
      <selection pane="bottomLeft" activeCell="CF31" sqref="CF31"/>
      <selection pane="bottomRight" activeCell="B97" sqref="B97"/>
    </sheetView>
  </sheetViews>
  <sheetFormatPr defaultColWidth="9.1328125" defaultRowHeight="12.75" outlineLevelCol="1" x14ac:dyDescent="0.35"/>
  <cols>
    <col min="1" max="1" width="2.46484375" style="1" customWidth="1"/>
    <col min="2" max="2" width="41.33203125" style="1" customWidth="1"/>
    <col min="3" max="3" width="10.46484375" style="1" bestFit="1" customWidth="1"/>
    <col min="4" max="4" width="9.46484375" style="1" bestFit="1" customWidth="1"/>
    <col min="5" max="8" width="9" style="3" customWidth="1" outlineLevel="1"/>
    <col min="9" max="9" width="9" style="3" customWidth="1"/>
    <col min="10" max="13" width="9" style="3" customWidth="1" outlineLevel="1"/>
    <col min="14" max="14" width="9" style="3" customWidth="1"/>
    <col min="15" max="18" width="9" style="3" customWidth="1" outlineLevel="1"/>
    <col min="19" max="19" width="9" style="3" customWidth="1"/>
    <col min="20" max="23" width="9" style="3" customWidth="1" outlineLevel="1"/>
    <col min="24" max="24" width="9" style="3" customWidth="1"/>
    <col min="25" max="25" width="4.46484375" style="1" bestFit="1" customWidth="1"/>
    <col min="26" max="26" width="7.33203125" style="1" bestFit="1" customWidth="1"/>
    <col min="27" max="16384" width="9.1328125" style="1"/>
  </cols>
  <sheetData>
    <row r="1" spans="1:28" ht="13.15" x14ac:dyDescent="0.4">
      <c r="B1" s="2" t="s">
        <v>32</v>
      </c>
      <c r="C1" s="2"/>
      <c r="D1" s="2"/>
      <c r="E1" s="4"/>
      <c r="F1" s="4"/>
      <c r="G1" s="4"/>
      <c r="H1" s="4"/>
      <c r="I1" s="5"/>
      <c r="J1" s="5"/>
      <c r="K1" s="5"/>
      <c r="L1" s="5"/>
      <c r="M1" s="5"/>
      <c r="N1" s="6"/>
      <c r="O1" s="5"/>
      <c r="P1" s="5"/>
      <c r="Q1" s="5"/>
      <c r="R1" s="5"/>
      <c r="S1" s="5"/>
      <c r="T1" s="5"/>
      <c r="U1" s="5"/>
      <c r="V1" s="5"/>
      <c r="W1" s="5"/>
      <c r="X1" s="5"/>
      <c r="Y1" s="7"/>
    </row>
    <row r="2" spans="1:28" x14ac:dyDescent="0.35">
      <c r="B2" s="148" t="s">
        <v>0</v>
      </c>
      <c r="C2" s="8"/>
      <c r="D2" s="8"/>
      <c r="E2" s="4"/>
      <c r="F2" s="4"/>
      <c r="G2" s="4"/>
      <c r="H2" s="4"/>
      <c r="I2" s="5"/>
      <c r="J2" s="5"/>
      <c r="K2" s="9"/>
      <c r="L2" s="9"/>
      <c r="M2" s="10"/>
      <c r="N2" s="10"/>
      <c r="O2" s="11"/>
      <c r="P2" s="10"/>
      <c r="Q2" s="10"/>
      <c r="R2" s="10"/>
      <c r="S2" s="10"/>
      <c r="T2" s="11"/>
      <c r="U2" s="11"/>
      <c r="V2" s="12"/>
      <c r="W2" s="11"/>
      <c r="X2" s="11"/>
      <c r="Y2" s="7"/>
    </row>
    <row r="3" spans="1:28" x14ac:dyDescent="0.35">
      <c r="E3" s="5"/>
      <c r="F3" s="5"/>
      <c r="G3" s="5"/>
      <c r="H3" s="5"/>
      <c r="I3" s="5"/>
      <c r="J3" s="5"/>
      <c r="K3" s="5"/>
      <c r="L3" s="5"/>
      <c r="M3" s="5"/>
      <c r="N3" s="5"/>
      <c r="O3" s="11"/>
      <c r="P3" s="11"/>
      <c r="Q3" s="11"/>
      <c r="R3" s="11"/>
      <c r="S3" s="11"/>
      <c r="T3" s="11"/>
      <c r="U3" s="11"/>
      <c r="V3" s="11"/>
      <c r="W3" s="11"/>
      <c r="X3" s="11"/>
      <c r="Y3" s="13"/>
    </row>
    <row r="4" spans="1:28" s="8" customFormat="1" ht="15" customHeight="1" x14ac:dyDescent="0.4">
      <c r="B4" s="14" t="s">
        <v>1</v>
      </c>
      <c r="C4" s="15"/>
      <c r="D4" s="15"/>
      <c r="E4" s="16" t="s">
        <v>16</v>
      </c>
      <c r="F4" s="17" t="s">
        <v>17</v>
      </c>
      <c r="G4" s="17" t="s">
        <v>18</v>
      </c>
      <c r="H4" s="18" t="s">
        <v>19</v>
      </c>
      <c r="I4" s="19">
        <v>2022</v>
      </c>
      <c r="J4" s="16" t="s">
        <v>20</v>
      </c>
      <c r="K4" s="17" t="s">
        <v>21</v>
      </c>
      <c r="L4" s="17" t="s">
        <v>22</v>
      </c>
      <c r="M4" s="18" t="s">
        <v>23</v>
      </c>
      <c r="N4" s="19">
        <v>2023</v>
      </c>
      <c r="O4" s="16" t="s">
        <v>24</v>
      </c>
      <c r="P4" s="17" t="s">
        <v>25</v>
      </c>
      <c r="Q4" s="17" t="s">
        <v>26</v>
      </c>
      <c r="R4" s="18" t="s">
        <v>27</v>
      </c>
      <c r="S4" s="19">
        <v>2024</v>
      </c>
      <c r="T4" s="16" t="s">
        <v>28</v>
      </c>
      <c r="U4" s="17" t="s">
        <v>29</v>
      </c>
      <c r="V4" s="17" t="s">
        <v>30</v>
      </c>
      <c r="W4" s="18" t="s">
        <v>31</v>
      </c>
      <c r="X4" s="19">
        <v>2025</v>
      </c>
      <c r="Y4" s="20"/>
    </row>
    <row r="5" spans="1:28" s="21" customFormat="1" ht="15" customHeight="1" x14ac:dyDescent="0.35">
      <c r="B5" s="22"/>
      <c r="C5" s="23"/>
      <c r="D5" s="23"/>
      <c r="E5" s="24">
        <v>44620</v>
      </c>
      <c r="F5" s="25">
        <v>44712</v>
      </c>
      <c r="G5" s="25">
        <v>44804</v>
      </c>
      <c r="H5" s="26">
        <v>44895</v>
      </c>
      <c r="I5" s="27">
        <v>44895</v>
      </c>
      <c r="J5" s="24">
        <v>44985</v>
      </c>
      <c r="K5" s="25">
        <v>45077</v>
      </c>
      <c r="L5" s="25">
        <v>45169</v>
      </c>
      <c r="M5" s="26">
        <v>45260</v>
      </c>
      <c r="N5" s="27">
        <v>45260</v>
      </c>
      <c r="O5" s="24">
        <v>45351</v>
      </c>
      <c r="P5" s="25">
        <v>45443</v>
      </c>
      <c r="Q5" s="25">
        <v>45535</v>
      </c>
      <c r="R5" s="26">
        <v>45626</v>
      </c>
      <c r="S5" s="27">
        <v>45626</v>
      </c>
      <c r="T5" s="24">
        <v>45716</v>
      </c>
      <c r="U5" s="25">
        <v>45808</v>
      </c>
      <c r="V5" s="25">
        <v>45900</v>
      </c>
      <c r="W5" s="26">
        <v>45991</v>
      </c>
      <c r="X5" s="27">
        <v>45991</v>
      </c>
      <c r="Y5" s="28"/>
    </row>
    <row r="6" spans="1:28" s="8" customFormat="1" ht="15" customHeight="1" x14ac:dyDescent="0.4">
      <c r="B6" s="29"/>
      <c r="C6" s="30"/>
      <c r="D6" s="30"/>
      <c r="E6" s="34"/>
      <c r="F6" s="35"/>
      <c r="G6" s="35"/>
      <c r="H6" s="36"/>
      <c r="I6" s="33"/>
      <c r="J6" s="31"/>
      <c r="K6" s="32"/>
      <c r="L6" s="32"/>
      <c r="M6" s="32"/>
      <c r="N6" s="33"/>
      <c r="O6" s="32"/>
      <c r="P6" s="32"/>
      <c r="Q6" s="32"/>
      <c r="R6" s="32"/>
      <c r="S6" s="33"/>
      <c r="T6" s="32"/>
      <c r="U6" s="32"/>
      <c r="V6" s="32"/>
      <c r="W6" s="32"/>
      <c r="X6" s="33"/>
    </row>
    <row r="7" spans="1:28" s="8" customFormat="1" ht="15" customHeight="1" x14ac:dyDescent="0.4">
      <c r="B7" s="37" t="s">
        <v>2</v>
      </c>
      <c r="C7" s="2"/>
      <c r="D7" s="2"/>
      <c r="E7" s="39"/>
      <c r="F7" s="39"/>
      <c r="G7" s="39"/>
      <c r="H7" s="39"/>
      <c r="I7" s="38"/>
      <c r="J7" s="152"/>
      <c r="K7" s="152"/>
      <c r="L7" s="149">
        <v>5.0900000000000001E-2</v>
      </c>
      <c r="M7" s="150">
        <v>5.0200000000000002E-2</v>
      </c>
      <c r="N7" s="42">
        <f>AVERAGE(J7:M7)</f>
        <v>5.0549999999999998E-2</v>
      </c>
      <c r="O7" s="155">
        <v>5.3400000000000003E-2</v>
      </c>
      <c r="P7" s="150">
        <f t="shared" ref="P7:R10" si="0">O7</f>
        <v>5.3400000000000003E-2</v>
      </c>
      <c r="Q7" s="150">
        <f t="shared" si="0"/>
        <v>5.3400000000000003E-2</v>
      </c>
      <c r="R7" s="150">
        <f t="shared" si="0"/>
        <v>5.3400000000000003E-2</v>
      </c>
      <c r="S7" s="42">
        <f>AVERAGE(O7:R7)</f>
        <v>5.3400000000000003E-2</v>
      </c>
      <c r="T7" s="155">
        <f>R7</f>
        <v>5.3400000000000003E-2</v>
      </c>
      <c r="U7" s="150">
        <f t="shared" ref="U7:W10" si="1">T7</f>
        <v>5.3400000000000003E-2</v>
      </c>
      <c r="V7" s="150">
        <f t="shared" si="1"/>
        <v>5.3400000000000003E-2</v>
      </c>
      <c r="W7" s="150">
        <f t="shared" si="1"/>
        <v>5.3400000000000003E-2</v>
      </c>
      <c r="X7" s="42">
        <f>AVERAGE(T7:W7)</f>
        <v>5.3400000000000003E-2</v>
      </c>
    </row>
    <row r="8" spans="1:28" s="46" customFormat="1" ht="15" customHeight="1" x14ac:dyDescent="0.35">
      <c r="A8" s="8"/>
      <c r="B8" s="43" t="s">
        <v>3</v>
      </c>
      <c r="C8" s="44"/>
      <c r="D8" s="44"/>
      <c r="E8" s="149">
        <v>2.9421999999999999E-3</v>
      </c>
      <c r="F8" s="149">
        <v>1.12193E-2</v>
      </c>
      <c r="G8" s="150">
        <v>2.52158E-2</v>
      </c>
      <c r="H8" s="149">
        <v>4.0722700000000001E-2</v>
      </c>
      <c r="I8" s="42">
        <f>AVERAGE(E8:H8)</f>
        <v>2.0025000000000001E-2</v>
      </c>
      <c r="J8" s="149">
        <v>4.8113599999999999E-2</v>
      </c>
      <c r="K8" s="149">
        <v>5.21E-2</v>
      </c>
      <c r="L8" s="149">
        <v>5.5800000000000002E-2</v>
      </c>
      <c r="M8" s="150">
        <v>5.6535599999999998E-2</v>
      </c>
      <c r="N8" s="42">
        <f>AVERAGE(J8:M8)</f>
        <v>5.3137299999999998E-2</v>
      </c>
      <c r="O8" s="155">
        <v>5.5590000000000001E-2</v>
      </c>
      <c r="P8" s="150">
        <f t="shared" si="0"/>
        <v>5.5590000000000001E-2</v>
      </c>
      <c r="Q8" s="150">
        <f t="shared" si="0"/>
        <v>5.5590000000000001E-2</v>
      </c>
      <c r="R8" s="150">
        <f t="shared" si="0"/>
        <v>5.5590000000000001E-2</v>
      </c>
      <c r="S8" s="42">
        <f>AVERAGE(O8:R8)</f>
        <v>5.5590000000000001E-2</v>
      </c>
      <c r="T8" s="155">
        <f>R8</f>
        <v>5.5590000000000001E-2</v>
      </c>
      <c r="U8" s="150">
        <f t="shared" si="1"/>
        <v>5.5590000000000001E-2</v>
      </c>
      <c r="V8" s="150">
        <f t="shared" si="1"/>
        <v>5.5590000000000001E-2</v>
      </c>
      <c r="W8" s="150">
        <f t="shared" si="1"/>
        <v>5.5590000000000001E-2</v>
      </c>
      <c r="X8" s="42">
        <f>AVERAGE(T8:W8)</f>
        <v>5.5590000000000001E-2</v>
      </c>
    </row>
    <row r="9" spans="1:28" s="46" customFormat="1" ht="15" customHeight="1" x14ac:dyDescent="0.35">
      <c r="A9" s="1"/>
      <c r="B9" s="43" t="s">
        <v>4</v>
      </c>
      <c r="C9" s="44"/>
      <c r="D9" s="44"/>
      <c r="E9" s="149">
        <v>-5.2790000000000007E-3</v>
      </c>
      <c r="F9" s="150">
        <v>-4.45E-3</v>
      </c>
      <c r="G9" s="150">
        <v>6.3000000000000003E-4</v>
      </c>
      <c r="H9" s="151">
        <v>1.41E-2</v>
      </c>
      <c r="I9" s="48">
        <f>AVERAGE(E9:H9)</f>
        <v>1.2502499999999996E-3</v>
      </c>
      <c r="J9" s="149">
        <v>2.3390000000000001E-2</v>
      </c>
      <c r="K9" s="149">
        <v>3.1419999999999997E-2</v>
      </c>
      <c r="L9" s="149">
        <v>3.6609999999999997E-2</v>
      </c>
      <c r="M9" s="150">
        <v>3.9379999999999998E-2</v>
      </c>
      <c r="N9" s="42">
        <f>AVERAGE(J9:M9)</f>
        <v>3.27E-2</v>
      </c>
      <c r="O9" s="155">
        <v>3.8920000000000003E-2</v>
      </c>
      <c r="P9" s="150">
        <f t="shared" si="0"/>
        <v>3.8920000000000003E-2</v>
      </c>
      <c r="Q9" s="150">
        <f t="shared" si="0"/>
        <v>3.8920000000000003E-2</v>
      </c>
      <c r="R9" s="150">
        <f t="shared" si="0"/>
        <v>3.8920000000000003E-2</v>
      </c>
      <c r="S9" s="42">
        <f>AVERAGE(O9:R9)</f>
        <v>3.8920000000000003E-2</v>
      </c>
      <c r="T9" s="155">
        <f>R9</f>
        <v>3.8920000000000003E-2</v>
      </c>
      <c r="U9" s="150">
        <f t="shared" si="1"/>
        <v>3.8920000000000003E-2</v>
      </c>
      <c r="V9" s="150">
        <f t="shared" si="1"/>
        <v>3.8920000000000003E-2</v>
      </c>
      <c r="W9" s="150">
        <f t="shared" si="1"/>
        <v>3.8920000000000003E-2</v>
      </c>
      <c r="X9" s="42">
        <f>AVERAGE(T9:W9)</f>
        <v>3.8920000000000003E-2</v>
      </c>
      <c r="AA9" s="45"/>
    </row>
    <row r="10" spans="1:28" s="46" customFormat="1" ht="15" customHeight="1" x14ac:dyDescent="0.35">
      <c r="A10" s="1"/>
      <c r="B10" s="43" t="s">
        <v>5</v>
      </c>
      <c r="C10" s="44"/>
      <c r="D10" s="44"/>
      <c r="E10" s="40"/>
      <c r="F10" s="41"/>
      <c r="G10" s="41"/>
      <c r="H10" s="47"/>
      <c r="I10" s="48"/>
      <c r="J10" s="153">
        <v>1.0705</v>
      </c>
      <c r="K10" s="154">
        <v>1.0841000000000001</v>
      </c>
      <c r="L10" s="154">
        <v>1.0933999999999999</v>
      </c>
      <c r="M10" s="154">
        <v>1.0689</v>
      </c>
      <c r="N10" s="49">
        <f>AVERAGE(J10:M10)</f>
        <v>1.0792250000000001</v>
      </c>
      <c r="O10" s="156">
        <f>M10</f>
        <v>1.0689</v>
      </c>
      <c r="P10" s="154">
        <f t="shared" si="0"/>
        <v>1.0689</v>
      </c>
      <c r="Q10" s="154">
        <f t="shared" si="0"/>
        <v>1.0689</v>
      </c>
      <c r="R10" s="154">
        <f t="shared" si="0"/>
        <v>1.0689</v>
      </c>
      <c r="S10" s="49">
        <f>AVERAGE(O10:R10)</f>
        <v>1.0689</v>
      </c>
      <c r="T10" s="156">
        <f>S10</f>
        <v>1.0689</v>
      </c>
      <c r="U10" s="154">
        <f t="shared" si="1"/>
        <v>1.0689</v>
      </c>
      <c r="V10" s="154">
        <f t="shared" si="1"/>
        <v>1.0689</v>
      </c>
      <c r="W10" s="154">
        <f t="shared" si="1"/>
        <v>1.0689</v>
      </c>
      <c r="X10" s="49">
        <f>AVERAGE(T10:W10)</f>
        <v>1.0689</v>
      </c>
      <c r="AA10" s="45"/>
    </row>
    <row r="11" spans="1:28" s="46" customFormat="1" ht="15" customHeight="1" x14ac:dyDescent="0.35">
      <c r="A11" s="1"/>
      <c r="B11" s="43"/>
      <c r="C11" s="44"/>
      <c r="D11" s="158" t="s">
        <v>33</v>
      </c>
      <c r="E11" s="40"/>
      <c r="F11" s="41"/>
      <c r="G11" s="41"/>
      <c r="H11" s="47"/>
      <c r="I11" s="48"/>
      <c r="J11" s="40"/>
      <c r="K11" s="50"/>
      <c r="L11" s="50"/>
      <c r="M11" s="48"/>
      <c r="N11" s="48"/>
      <c r="O11" s="50"/>
      <c r="P11" s="50"/>
      <c r="Q11" s="50"/>
      <c r="R11" s="48"/>
      <c r="S11" s="48"/>
      <c r="T11" s="50"/>
      <c r="U11" s="50"/>
      <c r="V11" s="50"/>
      <c r="W11" s="48"/>
      <c r="X11" s="48"/>
      <c r="AA11" s="45"/>
    </row>
    <row r="12" spans="1:28" s="8" customFormat="1" ht="15" customHeight="1" x14ac:dyDescent="0.4">
      <c r="A12" s="1"/>
      <c r="B12" s="51" t="s">
        <v>6</v>
      </c>
      <c r="C12" s="52"/>
      <c r="D12" s="52"/>
      <c r="E12" s="54"/>
      <c r="F12" s="55"/>
      <c r="G12" s="55"/>
      <c r="H12" s="56"/>
      <c r="I12" s="53"/>
      <c r="J12" s="54"/>
      <c r="K12" s="55"/>
      <c r="L12" s="55"/>
      <c r="M12" s="56"/>
      <c r="N12" s="53"/>
      <c r="O12" s="55"/>
      <c r="P12" s="55"/>
      <c r="Q12" s="55"/>
      <c r="R12" s="56"/>
      <c r="S12" s="53"/>
      <c r="T12" s="55"/>
      <c r="U12" s="55"/>
      <c r="V12" s="55"/>
      <c r="W12" s="56"/>
      <c r="X12" s="53"/>
    </row>
    <row r="13" spans="1:28" s="65" customFormat="1" ht="15" customHeight="1" x14ac:dyDescent="0.35">
      <c r="A13" s="1"/>
      <c r="B13" s="57" t="s">
        <v>7</v>
      </c>
      <c r="C13" s="58"/>
      <c r="D13" s="59"/>
      <c r="E13" s="62"/>
      <c r="F13" s="62"/>
      <c r="G13" s="138"/>
      <c r="H13" s="139"/>
      <c r="I13" s="63">
        <f>H13</f>
        <v>0</v>
      </c>
      <c r="J13" s="138"/>
      <c r="K13" s="138"/>
      <c r="L13" s="138"/>
      <c r="M13" s="139"/>
      <c r="N13" s="63">
        <f>+M13</f>
        <v>0</v>
      </c>
      <c r="O13" s="138"/>
      <c r="P13" s="138"/>
      <c r="Q13" s="138"/>
      <c r="R13" s="139"/>
      <c r="S13" s="63">
        <f t="shared" ref="S13:X14" si="2">R13</f>
        <v>0</v>
      </c>
      <c r="T13" s="138"/>
      <c r="U13" s="138"/>
      <c r="V13" s="138"/>
      <c r="W13" s="139"/>
      <c r="X13" s="63">
        <f t="shared" si="2"/>
        <v>0</v>
      </c>
    </row>
    <row r="14" spans="1:28" s="69" customFormat="1" ht="15" customHeight="1" x14ac:dyDescent="0.35">
      <c r="A14" s="66"/>
      <c r="B14" s="67" t="s">
        <v>8</v>
      </c>
      <c r="C14" s="68"/>
      <c r="E14" s="71"/>
      <c r="F14" s="71"/>
      <c r="G14" s="140"/>
      <c r="H14" s="141"/>
      <c r="I14" s="72">
        <f>H14</f>
        <v>0</v>
      </c>
      <c r="J14" s="140"/>
      <c r="K14" s="140"/>
      <c r="L14" s="140"/>
      <c r="M14" s="141"/>
      <c r="N14" s="72">
        <f>M14</f>
        <v>0</v>
      </c>
      <c r="O14" s="140"/>
      <c r="P14" s="140"/>
      <c r="Q14" s="140"/>
      <c r="R14" s="141"/>
      <c r="S14" s="72">
        <f t="shared" si="2"/>
        <v>0</v>
      </c>
      <c r="T14" s="140"/>
      <c r="U14" s="140"/>
      <c r="V14" s="140"/>
      <c r="W14" s="141"/>
      <c r="X14" s="70">
        <f t="shared" si="2"/>
        <v>0</v>
      </c>
      <c r="Z14" s="73"/>
      <c r="AA14" s="73"/>
      <c r="AB14" s="73"/>
    </row>
    <row r="15" spans="1:28" s="69" customFormat="1" ht="15" customHeight="1" x14ac:dyDescent="0.35">
      <c r="A15" s="66"/>
      <c r="B15" s="74"/>
      <c r="C15" s="68"/>
      <c r="E15" s="71"/>
      <c r="F15" s="71"/>
      <c r="G15" s="140"/>
      <c r="H15" s="141"/>
      <c r="I15" s="72"/>
      <c r="J15" s="140"/>
      <c r="K15" s="140"/>
      <c r="L15" s="140"/>
      <c r="M15" s="141"/>
      <c r="N15" s="72"/>
      <c r="O15" s="140"/>
      <c r="P15" s="140"/>
      <c r="Q15" s="140"/>
      <c r="R15" s="141"/>
      <c r="S15" s="72"/>
      <c r="T15" s="140"/>
      <c r="U15" s="140"/>
      <c r="V15" s="140"/>
      <c r="W15" s="141"/>
      <c r="X15" s="70"/>
      <c r="Z15" s="73"/>
      <c r="AA15" s="73"/>
      <c r="AB15" s="73"/>
    </row>
    <row r="16" spans="1:28" s="8" customFormat="1" ht="15" customHeight="1" x14ac:dyDescent="0.4">
      <c r="A16" s="75"/>
      <c r="B16" s="76" t="s">
        <v>9</v>
      </c>
      <c r="C16" s="77"/>
      <c r="D16" s="77"/>
      <c r="E16" s="79"/>
      <c r="F16" s="80"/>
      <c r="G16" s="142"/>
      <c r="H16" s="143"/>
      <c r="I16" s="78"/>
      <c r="J16" s="147"/>
      <c r="K16" s="142"/>
      <c r="L16" s="142"/>
      <c r="M16" s="143"/>
      <c r="N16" s="78"/>
      <c r="O16" s="142"/>
      <c r="P16" s="142"/>
      <c r="Q16" s="142"/>
      <c r="R16" s="143"/>
      <c r="S16" s="78"/>
      <c r="T16" s="142"/>
      <c r="U16" s="142"/>
      <c r="V16" s="142"/>
      <c r="W16" s="143"/>
      <c r="X16" s="81"/>
      <c r="AB16" s="73"/>
    </row>
    <row r="17" spans="1:28" s="2" customFormat="1" ht="15" customHeight="1" x14ac:dyDescent="0.4">
      <c r="A17" s="82"/>
      <c r="B17" s="83"/>
      <c r="C17" s="84"/>
      <c r="D17" s="59"/>
      <c r="E17" s="62"/>
      <c r="F17" s="62"/>
      <c r="G17" s="138"/>
      <c r="H17" s="139"/>
      <c r="I17" s="63">
        <f t="shared" ref="I17:I26" si="3">H17</f>
        <v>0</v>
      </c>
      <c r="J17" s="138"/>
      <c r="K17" s="138"/>
      <c r="L17" s="144"/>
      <c r="M17" s="139"/>
      <c r="N17" s="63"/>
      <c r="O17" s="138"/>
      <c r="P17" s="138"/>
      <c r="Q17" s="138"/>
      <c r="R17" s="139"/>
      <c r="S17" s="63"/>
      <c r="T17" s="138"/>
      <c r="U17" s="138"/>
      <c r="V17" s="138"/>
      <c r="W17" s="139"/>
      <c r="X17" s="61"/>
      <c r="Z17" s="85"/>
      <c r="AB17" s="73"/>
    </row>
    <row r="18" spans="1:28" s="2" customFormat="1" ht="15" customHeight="1" x14ac:dyDescent="0.4">
      <c r="A18" s="82"/>
      <c r="B18" s="83"/>
      <c r="C18" s="84"/>
      <c r="D18" s="59"/>
      <c r="E18" s="62"/>
      <c r="F18" s="62"/>
      <c r="G18" s="138"/>
      <c r="H18" s="139"/>
      <c r="I18" s="63">
        <f t="shared" si="3"/>
        <v>0</v>
      </c>
      <c r="J18" s="138"/>
      <c r="K18" s="138"/>
      <c r="L18" s="138"/>
      <c r="M18" s="139"/>
      <c r="N18" s="63">
        <f>M18</f>
        <v>0</v>
      </c>
      <c r="O18" s="138"/>
      <c r="P18" s="138"/>
      <c r="Q18" s="138"/>
      <c r="R18" s="139"/>
      <c r="S18" s="63"/>
      <c r="T18" s="138"/>
      <c r="U18" s="138"/>
      <c r="V18" s="144"/>
      <c r="W18" s="139"/>
      <c r="X18" s="61"/>
      <c r="Z18" s="85"/>
      <c r="AB18" s="73"/>
    </row>
    <row r="19" spans="1:28" s="2" customFormat="1" ht="15" customHeight="1" x14ac:dyDescent="0.4">
      <c r="A19" s="1"/>
      <c r="B19" s="88"/>
      <c r="C19" s="84"/>
      <c r="D19" s="59"/>
      <c r="E19" s="62"/>
      <c r="F19" s="62"/>
      <c r="G19" s="138"/>
      <c r="H19" s="139"/>
      <c r="I19" s="63">
        <f t="shared" si="3"/>
        <v>0</v>
      </c>
      <c r="J19" s="138"/>
      <c r="K19" s="138"/>
      <c r="L19" s="144"/>
      <c r="M19" s="139"/>
      <c r="N19" s="63"/>
      <c r="O19" s="138"/>
      <c r="P19" s="138"/>
      <c r="Q19" s="138"/>
      <c r="R19" s="139"/>
      <c r="S19" s="63"/>
      <c r="T19" s="138"/>
      <c r="U19" s="138"/>
      <c r="V19" s="138"/>
      <c r="W19" s="139"/>
      <c r="X19" s="61"/>
      <c r="Z19" s="85"/>
      <c r="AA19" s="89"/>
      <c r="AB19" s="73"/>
    </row>
    <row r="20" spans="1:28" s="2" customFormat="1" ht="15" customHeight="1" x14ac:dyDescent="0.4">
      <c r="A20" s="1"/>
      <c r="B20" s="88"/>
      <c r="C20" s="84"/>
      <c r="D20" s="59"/>
      <c r="E20" s="62"/>
      <c r="F20" s="62"/>
      <c r="G20" s="138"/>
      <c r="H20" s="139"/>
      <c r="I20" s="63">
        <f t="shared" si="3"/>
        <v>0</v>
      </c>
      <c r="J20" s="138"/>
      <c r="K20" s="138"/>
      <c r="L20" s="144"/>
      <c r="M20" s="139"/>
      <c r="N20" s="63"/>
      <c r="O20" s="138"/>
      <c r="P20" s="138"/>
      <c r="Q20" s="138"/>
      <c r="R20" s="139"/>
      <c r="S20" s="63"/>
      <c r="T20" s="138"/>
      <c r="U20" s="138"/>
      <c r="V20" s="138"/>
      <c r="W20" s="139"/>
      <c r="X20" s="61"/>
      <c r="Z20" s="85"/>
      <c r="AA20" s="89"/>
      <c r="AB20" s="73"/>
    </row>
    <row r="21" spans="1:28" s="2" customFormat="1" ht="15" customHeight="1" x14ac:dyDescent="0.4">
      <c r="A21" s="90"/>
      <c r="B21" s="91"/>
      <c r="C21" s="84"/>
      <c r="D21" s="59"/>
      <c r="E21" s="62"/>
      <c r="F21" s="62"/>
      <c r="G21" s="138"/>
      <c r="H21" s="139"/>
      <c r="I21" s="63">
        <f t="shared" si="3"/>
        <v>0</v>
      </c>
      <c r="J21" s="138"/>
      <c r="K21" s="138"/>
      <c r="L21" s="138"/>
      <c r="M21" s="139"/>
      <c r="N21" s="63">
        <f t="shared" ref="N21:N26" si="4">M21</f>
        <v>0</v>
      </c>
      <c r="O21" s="138"/>
      <c r="P21" s="138"/>
      <c r="Q21" s="138"/>
      <c r="R21" s="139"/>
      <c r="S21" s="63">
        <f t="shared" ref="S21:S26" si="5">R21</f>
        <v>0</v>
      </c>
      <c r="T21" s="138"/>
      <c r="U21" s="138"/>
      <c r="V21" s="138"/>
      <c r="W21" s="139"/>
      <c r="X21" s="61">
        <f t="shared" ref="X21:X22" si="6">W21</f>
        <v>0</v>
      </c>
      <c r="Z21" s="85"/>
      <c r="AB21" s="73"/>
    </row>
    <row r="22" spans="1:28" s="2" customFormat="1" ht="15" customHeight="1" x14ac:dyDescent="0.4">
      <c r="A22" s="82"/>
      <c r="B22" s="83"/>
      <c r="C22" s="84"/>
      <c r="D22" s="59"/>
      <c r="E22" s="62"/>
      <c r="F22" s="62"/>
      <c r="G22" s="138"/>
      <c r="H22" s="139"/>
      <c r="I22" s="63"/>
      <c r="J22" s="138"/>
      <c r="K22" s="138"/>
      <c r="L22" s="138"/>
      <c r="M22" s="139"/>
      <c r="N22" s="63">
        <f>M22</f>
        <v>0</v>
      </c>
      <c r="O22" s="138"/>
      <c r="P22" s="138"/>
      <c r="Q22" s="138"/>
      <c r="R22" s="139"/>
      <c r="S22" s="63">
        <f>R22</f>
        <v>0</v>
      </c>
      <c r="T22" s="138"/>
      <c r="U22" s="138"/>
      <c r="V22" s="138"/>
      <c r="W22" s="139"/>
      <c r="X22" s="61">
        <f t="shared" si="6"/>
        <v>0</v>
      </c>
      <c r="Z22" s="85"/>
      <c r="AB22" s="73"/>
    </row>
    <row r="23" spans="1:28" s="2" customFormat="1" ht="15" customHeight="1" x14ac:dyDescent="0.4">
      <c r="A23" s="1"/>
      <c r="B23" s="88"/>
      <c r="C23" s="84"/>
      <c r="D23" s="59"/>
      <c r="E23" s="62"/>
      <c r="F23" s="62"/>
      <c r="G23" s="138"/>
      <c r="H23" s="139"/>
      <c r="I23" s="63">
        <f t="shared" si="3"/>
        <v>0</v>
      </c>
      <c r="J23" s="138"/>
      <c r="K23" s="138"/>
      <c r="L23" s="138"/>
      <c r="M23" s="139"/>
      <c r="N23" s="63">
        <f t="shared" si="4"/>
        <v>0</v>
      </c>
      <c r="O23" s="144"/>
      <c r="P23" s="138"/>
      <c r="Q23" s="138"/>
      <c r="R23" s="139"/>
      <c r="S23" s="63"/>
      <c r="T23" s="138"/>
      <c r="U23" s="138"/>
      <c r="V23" s="138"/>
      <c r="W23" s="139"/>
      <c r="X23" s="61"/>
      <c r="Z23" s="85"/>
      <c r="AB23" s="73"/>
    </row>
    <row r="24" spans="1:28" s="2" customFormat="1" ht="15" customHeight="1" x14ac:dyDescent="0.4">
      <c r="A24" s="1"/>
      <c r="B24" s="91"/>
      <c r="C24" s="84"/>
      <c r="D24" s="59"/>
      <c r="E24" s="62"/>
      <c r="F24" s="62"/>
      <c r="G24" s="138"/>
      <c r="H24" s="139"/>
      <c r="I24" s="63">
        <f t="shared" si="3"/>
        <v>0</v>
      </c>
      <c r="J24" s="138"/>
      <c r="K24" s="138"/>
      <c r="L24" s="138"/>
      <c r="M24" s="139"/>
      <c r="N24" s="63">
        <f t="shared" si="4"/>
        <v>0</v>
      </c>
      <c r="O24" s="138"/>
      <c r="P24" s="138"/>
      <c r="Q24" s="138"/>
      <c r="R24" s="139"/>
      <c r="S24" s="63">
        <f t="shared" si="5"/>
        <v>0</v>
      </c>
      <c r="T24" s="138"/>
      <c r="U24" s="138"/>
      <c r="V24" s="138"/>
      <c r="W24" s="139"/>
      <c r="X24" s="61">
        <f t="shared" ref="X24" si="7">W24</f>
        <v>0</v>
      </c>
      <c r="Z24" s="85"/>
      <c r="AB24" s="73"/>
    </row>
    <row r="25" spans="1:28" s="2" customFormat="1" ht="15" customHeight="1" x14ac:dyDescent="0.4">
      <c r="A25" s="92"/>
      <c r="B25" s="93"/>
      <c r="C25" s="84"/>
      <c r="D25" s="59"/>
      <c r="E25" s="62"/>
      <c r="F25" s="62"/>
      <c r="G25" s="138"/>
      <c r="H25" s="139"/>
      <c r="I25" s="63">
        <f t="shared" si="3"/>
        <v>0</v>
      </c>
      <c r="J25" s="138"/>
      <c r="K25" s="138"/>
      <c r="L25" s="138"/>
      <c r="M25" s="139"/>
      <c r="N25" s="63">
        <f t="shared" si="4"/>
        <v>0</v>
      </c>
      <c r="O25" s="138"/>
      <c r="P25" s="138"/>
      <c r="Q25" s="138"/>
      <c r="R25" s="139"/>
      <c r="S25" s="63">
        <f t="shared" si="5"/>
        <v>0</v>
      </c>
      <c r="T25" s="138"/>
      <c r="U25" s="138"/>
      <c r="V25" s="138"/>
      <c r="W25" s="139"/>
      <c r="X25" s="61"/>
      <c r="Z25" s="85"/>
      <c r="AB25" s="73"/>
    </row>
    <row r="26" spans="1:28" s="2" customFormat="1" ht="15" customHeight="1" x14ac:dyDescent="0.4">
      <c r="A26" s="82"/>
      <c r="B26" s="83"/>
      <c r="C26" s="84"/>
      <c r="D26" s="59"/>
      <c r="E26" s="62"/>
      <c r="F26" s="62"/>
      <c r="G26" s="138"/>
      <c r="H26" s="139"/>
      <c r="I26" s="63">
        <f t="shared" si="3"/>
        <v>0</v>
      </c>
      <c r="J26" s="138"/>
      <c r="K26" s="138"/>
      <c r="L26" s="138"/>
      <c r="M26" s="139"/>
      <c r="N26" s="63">
        <f t="shared" si="4"/>
        <v>0</v>
      </c>
      <c r="O26" s="138"/>
      <c r="P26" s="138"/>
      <c r="Q26" s="138"/>
      <c r="R26" s="139"/>
      <c r="S26" s="63">
        <f t="shared" si="5"/>
        <v>0</v>
      </c>
      <c r="T26" s="138"/>
      <c r="U26" s="138"/>
      <c r="V26" s="138"/>
      <c r="W26" s="139"/>
      <c r="X26" s="61">
        <f t="shared" ref="X26:X27" si="8">W26</f>
        <v>0</v>
      </c>
      <c r="Z26" s="85"/>
      <c r="AB26" s="73"/>
    </row>
    <row r="27" spans="1:28" s="2" customFormat="1" ht="15" customHeight="1" x14ac:dyDescent="0.4">
      <c r="A27" s="82"/>
      <c r="B27" s="83"/>
      <c r="C27" s="84"/>
      <c r="D27" s="59"/>
      <c r="E27" s="62"/>
      <c r="F27" s="62"/>
      <c r="G27" s="138"/>
      <c r="H27" s="139"/>
      <c r="I27" s="63"/>
      <c r="J27" s="138"/>
      <c r="K27" s="138"/>
      <c r="L27" s="138"/>
      <c r="M27" s="139"/>
      <c r="N27" s="63">
        <f>M27</f>
        <v>0</v>
      </c>
      <c r="O27" s="138"/>
      <c r="P27" s="138"/>
      <c r="Q27" s="138"/>
      <c r="R27" s="139"/>
      <c r="S27" s="63">
        <f>R27</f>
        <v>0</v>
      </c>
      <c r="T27" s="138"/>
      <c r="U27" s="138"/>
      <c r="V27" s="138"/>
      <c r="W27" s="139"/>
      <c r="X27" s="61">
        <f t="shared" si="8"/>
        <v>0</v>
      </c>
      <c r="Z27" s="85"/>
      <c r="AB27" s="73"/>
    </row>
    <row r="28" spans="1:28" s="2" customFormat="1" ht="15" customHeight="1" x14ac:dyDescent="0.4">
      <c r="A28" s="82"/>
      <c r="B28" s="84"/>
      <c r="C28" s="84"/>
      <c r="D28" s="59"/>
      <c r="E28" s="62"/>
      <c r="F28" s="62"/>
      <c r="G28" s="138"/>
      <c r="H28" s="139"/>
      <c r="I28" s="63"/>
      <c r="J28" s="138"/>
      <c r="K28" s="138"/>
      <c r="L28" s="138"/>
      <c r="M28" s="139"/>
      <c r="N28" s="63"/>
      <c r="O28" s="138"/>
      <c r="P28" s="138"/>
      <c r="Q28" s="138"/>
      <c r="R28" s="139"/>
      <c r="S28" s="63"/>
      <c r="T28" s="138"/>
      <c r="U28" s="138"/>
      <c r="V28" s="138"/>
      <c r="W28" s="139"/>
      <c r="X28" s="61"/>
      <c r="Z28" s="85"/>
      <c r="AB28" s="73"/>
    </row>
    <row r="29" spans="1:28" s="69" customFormat="1" ht="15" customHeight="1" x14ac:dyDescent="0.4">
      <c r="A29" s="94"/>
      <c r="B29" s="95" t="s">
        <v>10</v>
      </c>
      <c r="C29" s="68"/>
      <c r="E29" s="71"/>
      <c r="F29" s="71"/>
      <c r="G29" s="140"/>
      <c r="H29" s="141"/>
      <c r="I29" s="72"/>
      <c r="J29" s="140"/>
      <c r="K29" s="140"/>
      <c r="L29" s="140"/>
      <c r="M29" s="141"/>
      <c r="N29" s="72"/>
      <c r="O29" s="140"/>
      <c r="P29" s="140"/>
      <c r="Q29" s="140"/>
      <c r="R29" s="141"/>
      <c r="S29" s="72"/>
      <c r="T29" s="140"/>
      <c r="U29" s="140"/>
      <c r="V29" s="140"/>
      <c r="W29" s="141"/>
      <c r="X29" s="70"/>
      <c r="Z29" s="85"/>
      <c r="AA29" s="73"/>
      <c r="AB29" s="73"/>
    </row>
    <row r="30" spans="1:28" s="2" customFormat="1" ht="15" customHeight="1" x14ac:dyDescent="0.4">
      <c r="A30" s="96"/>
      <c r="B30" s="93"/>
      <c r="C30" s="84"/>
      <c r="D30" s="59"/>
      <c r="E30" s="62"/>
      <c r="F30" s="62"/>
      <c r="G30" s="138"/>
      <c r="H30" s="139"/>
      <c r="I30" s="63">
        <f>H30</f>
        <v>0</v>
      </c>
      <c r="J30" s="138"/>
      <c r="K30" s="138"/>
      <c r="L30" s="138"/>
      <c r="M30" s="139"/>
      <c r="N30" s="63"/>
      <c r="O30" s="138"/>
      <c r="P30" s="138"/>
      <c r="Q30" s="138"/>
      <c r="R30" s="139"/>
      <c r="S30" s="63"/>
      <c r="T30" s="138"/>
      <c r="U30" s="138"/>
      <c r="V30" s="138"/>
      <c r="W30" s="139"/>
      <c r="X30" s="61"/>
      <c r="Z30" s="85"/>
      <c r="AB30" s="73"/>
    </row>
    <row r="31" spans="1:28" s="2" customFormat="1" ht="15" customHeight="1" x14ac:dyDescent="0.4">
      <c r="A31" s="97"/>
      <c r="B31" s="98"/>
      <c r="C31" s="84"/>
      <c r="D31" s="59"/>
      <c r="E31" s="62"/>
      <c r="F31" s="62"/>
      <c r="G31" s="138"/>
      <c r="H31" s="139"/>
      <c r="I31" s="63">
        <f t="shared" ref="I31:I42" si="9">H31</f>
        <v>0</v>
      </c>
      <c r="J31" s="138"/>
      <c r="K31" s="138"/>
      <c r="L31" s="138"/>
      <c r="M31" s="139"/>
      <c r="N31" s="63"/>
      <c r="O31" s="138"/>
      <c r="P31" s="138"/>
      <c r="Q31" s="138"/>
      <c r="R31" s="139"/>
      <c r="S31" s="63"/>
      <c r="T31" s="138"/>
      <c r="U31" s="138"/>
      <c r="V31" s="138"/>
      <c r="W31" s="139"/>
      <c r="X31" s="61"/>
      <c r="Z31" s="85"/>
      <c r="AB31" s="73"/>
    </row>
    <row r="32" spans="1:28" s="2" customFormat="1" ht="15" customHeight="1" x14ac:dyDescent="0.4">
      <c r="A32" s="82"/>
      <c r="B32" s="93"/>
      <c r="C32" s="84"/>
      <c r="D32" s="59"/>
      <c r="E32" s="62"/>
      <c r="F32" s="62"/>
      <c r="G32" s="138"/>
      <c r="H32" s="139"/>
      <c r="I32" s="63">
        <f t="shared" si="9"/>
        <v>0</v>
      </c>
      <c r="J32" s="138"/>
      <c r="K32" s="138"/>
      <c r="L32" s="138"/>
      <c r="M32" s="139"/>
      <c r="N32" s="63"/>
      <c r="O32" s="138"/>
      <c r="P32" s="138"/>
      <c r="Q32" s="138"/>
      <c r="R32" s="139"/>
      <c r="S32" s="63"/>
      <c r="T32" s="138"/>
      <c r="U32" s="138"/>
      <c r="V32" s="138"/>
      <c r="W32" s="139"/>
      <c r="X32" s="61"/>
      <c r="Z32" s="85"/>
      <c r="AB32" s="73"/>
    </row>
    <row r="33" spans="1:28" s="2" customFormat="1" ht="15" customHeight="1" x14ac:dyDescent="0.4">
      <c r="A33" s="99"/>
      <c r="B33" s="98"/>
      <c r="C33" s="84"/>
      <c r="D33" s="59"/>
      <c r="E33" s="62"/>
      <c r="F33" s="62"/>
      <c r="G33" s="138"/>
      <c r="H33" s="139"/>
      <c r="I33" s="63">
        <f t="shared" si="9"/>
        <v>0</v>
      </c>
      <c r="J33" s="138"/>
      <c r="K33" s="138"/>
      <c r="L33" s="138"/>
      <c r="M33" s="139"/>
      <c r="N33" s="63">
        <f t="shared" ref="N33:N42" si="10">M33</f>
        <v>0</v>
      </c>
      <c r="O33" s="138"/>
      <c r="P33" s="138"/>
      <c r="Q33" s="138"/>
      <c r="R33" s="145"/>
      <c r="S33" s="63"/>
      <c r="T33" s="138"/>
      <c r="U33" s="138"/>
      <c r="V33" s="138"/>
      <c r="W33" s="139"/>
      <c r="X33" s="61"/>
      <c r="Z33" s="85"/>
      <c r="AB33" s="73"/>
    </row>
    <row r="34" spans="1:28" s="2" customFormat="1" ht="15" customHeight="1" x14ac:dyDescent="0.4">
      <c r="A34" s="82"/>
      <c r="B34" s="93"/>
      <c r="C34" s="84"/>
      <c r="D34" s="59"/>
      <c r="E34" s="62"/>
      <c r="F34" s="62"/>
      <c r="G34" s="138"/>
      <c r="H34" s="139"/>
      <c r="I34" s="63">
        <f t="shared" si="9"/>
        <v>0</v>
      </c>
      <c r="J34" s="138"/>
      <c r="K34" s="138"/>
      <c r="L34" s="138"/>
      <c r="M34" s="139"/>
      <c r="N34" s="63">
        <f t="shared" si="10"/>
        <v>0</v>
      </c>
      <c r="O34" s="138"/>
      <c r="P34" s="138"/>
      <c r="Q34" s="138"/>
      <c r="R34" s="139"/>
      <c r="S34" s="63">
        <f t="shared" ref="S34:X42" si="11">R34</f>
        <v>0</v>
      </c>
      <c r="T34" s="138"/>
      <c r="U34" s="138"/>
      <c r="V34" s="138"/>
      <c r="W34" s="139"/>
      <c r="X34" s="61"/>
      <c r="Z34" s="85"/>
      <c r="AB34" s="73"/>
    </row>
    <row r="35" spans="1:28" s="2" customFormat="1" ht="15" customHeight="1" x14ac:dyDescent="0.4">
      <c r="A35" s="82"/>
      <c r="B35" s="93"/>
      <c r="C35" s="84"/>
      <c r="D35" s="59"/>
      <c r="E35" s="62"/>
      <c r="F35" s="62"/>
      <c r="G35" s="138"/>
      <c r="H35" s="139"/>
      <c r="I35" s="63">
        <f t="shared" si="9"/>
        <v>0</v>
      </c>
      <c r="J35" s="138"/>
      <c r="K35" s="138"/>
      <c r="L35" s="138"/>
      <c r="M35" s="139"/>
      <c r="N35" s="63">
        <f t="shared" si="10"/>
        <v>0</v>
      </c>
      <c r="O35" s="138"/>
      <c r="P35" s="144"/>
      <c r="Q35" s="138"/>
      <c r="R35" s="139"/>
      <c r="S35" s="63"/>
      <c r="T35" s="138"/>
      <c r="U35" s="138"/>
      <c r="V35" s="138"/>
      <c r="W35" s="139"/>
      <c r="X35" s="61"/>
      <c r="Z35" s="85"/>
      <c r="AB35" s="73"/>
    </row>
    <row r="36" spans="1:28" s="2" customFormat="1" ht="15" customHeight="1" x14ac:dyDescent="0.4">
      <c r="A36" s="82"/>
      <c r="B36" s="93"/>
      <c r="C36" s="84"/>
      <c r="D36" s="59"/>
      <c r="E36" s="62"/>
      <c r="F36" s="62"/>
      <c r="G36" s="138"/>
      <c r="H36" s="139"/>
      <c r="I36" s="63">
        <f t="shared" si="9"/>
        <v>0</v>
      </c>
      <c r="J36" s="138"/>
      <c r="K36" s="138"/>
      <c r="L36" s="138"/>
      <c r="M36" s="139"/>
      <c r="N36" s="63">
        <f t="shared" si="10"/>
        <v>0</v>
      </c>
      <c r="O36" s="138"/>
      <c r="P36" s="138"/>
      <c r="Q36" s="138"/>
      <c r="R36" s="139"/>
      <c r="S36" s="63">
        <f t="shared" si="11"/>
        <v>0</v>
      </c>
      <c r="T36" s="138"/>
      <c r="U36" s="138"/>
      <c r="V36" s="138"/>
      <c r="W36" s="139"/>
      <c r="X36" s="61"/>
      <c r="Z36" s="85"/>
      <c r="AB36" s="73"/>
    </row>
    <row r="37" spans="1:28" s="2" customFormat="1" ht="15" customHeight="1" x14ac:dyDescent="0.4">
      <c r="A37" s="82"/>
      <c r="B37" s="98"/>
      <c r="C37" s="84"/>
      <c r="D37" s="59"/>
      <c r="E37" s="62"/>
      <c r="F37" s="62"/>
      <c r="G37" s="138"/>
      <c r="H37" s="139"/>
      <c r="I37" s="63">
        <f t="shared" si="9"/>
        <v>0</v>
      </c>
      <c r="J37" s="138"/>
      <c r="K37" s="138"/>
      <c r="L37" s="138"/>
      <c r="M37" s="139"/>
      <c r="N37" s="63">
        <f t="shared" si="10"/>
        <v>0</v>
      </c>
      <c r="O37" s="138"/>
      <c r="P37" s="138"/>
      <c r="Q37" s="138"/>
      <c r="R37" s="139"/>
      <c r="S37" s="63">
        <f t="shared" si="11"/>
        <v>0</v>
      </c>
      <c r="T37" s="138"/>
      <c r="U37" s="138"/>
      <c r="V37" s="138"/>
      <c r="W37" s="139"/>
      <c r="X37" s="61">
        <f t="shared" si="11"/>
        <v>0</v>
      </c>
      <c r="Z37" s="85"/>
      <c r="AB37" s="73"/>
    </row>
    <row r="38" spans="1:28" s="2" customFormat="1" ht="15" customHeight="1" x14ac:dyDescent="0.4">
      <c r="A38" s="100"/>
      <c r="B38" s="93"/>
      <c r="C38" s="84"/>
      <c r="D38" s="59"/>
      <c r="E38" s="62"/>
      <c r="F38" s="62"/>
      <c r="G38" s="138"/>
      <c r="H38" s="139"/>
      <c r="I38" s="63">
        <f t="shared" si="9"/>
        <v>0</v>
      </c>
      <c r="J38" s="138"/>
      <c r="K38" s="138"/>
      <c r="L38" s="138"/>
      <c r="M38" s="139"/>
      <c r="N38" s="63">
        <f t="shared" si="10"/>
        <v>0</v>
      </c>
      <c r="O38" s="138"/>
      <c r="P38" s="138"/>
      <c r="Q38" s="138"/>
      <c r="R38" s="139"/>
      <c r="S38" s="63">
        <f t="shared" si="11"/>
        <v>0</v>
      </c>
      <c r="T38" s="138"/>
      <c r="U38" s="138"/>
      <c r="V38" s="138"/>
      <c r="W38" s="139"/>
      <c r="X38" s="61">
        <f t="shared" si="11"/>
        <v>0</v>
      </c>
      <c r="Z38" s="85"/>
      <c r="AB38" s="73"/>
    </row>
    <row r="39" spans="1:28" s="2" customFormat="1" ht="15" customHeight="1" x14ac:dyDescent="0.4">
      <c r="A39" s="100"/>
      <c r="B39" s="93"/>
      <c r="C39" s="84"/>
      <c r="D39" s="59"/>
      <c r="E39" s="62"/>
      <c r="F39" s="62"/>
      <c r="G39" s="138"/>
      <c r="H39" s="139"/>
      <c r="I39" s="63"/>
      <c r="J39" s="138"/>
      <c r="K39" s="138"/>
      <c r="L39" s="138"/>
      <c r="M39" s="139"/>
      <c r="N39" s="63"/>
      <c r="O39" s="138"/>
      <c r="P39" s="138"/>
      <c r="Q39" s="138"/>
      <c r="R39" s="139"/>
      <c r="S39" s="63"/>
      <c r="T39" s="138"/>
      <c r="U39" s="138"/>
      <c r="V39" s="138"/>
      <c r="W39" s="139"/>
      <c r="X39" s="61">
        <f t="shared" si="11"/>
        <v>0</v>
      </c>
      <c r="Z39" s="85"/>
      <c r="AB39" s="73"/>
    </row>
    <row r="40" spans="1:28" s="2" customFormat="1" ht="15" customHeight="1" x14ac:dyDescent="0.4">
      <c r="A40" s="82"/>
      <c r="B40" s="93"/>
      <c r="C40" s="84"/>
      <c r="D40" s="59"/>
      <c r="E40" s="62"/>
      <c r="F40" s="62"/>
      <c r="G40" s="138"/>
      <c r="H40" s="139"/>
      <c r="I40" s="63">
        <f t="shared" si="9"/>
        <v>0</v>
      </c>
      <c r="J40" s="138"/>
      <c r="K40" s="138"/>
      <c r="L40" s="138"/>
      <c r="M40" s="139"/>
      <c r="N40" s="63">
        <f t="shared" si="10"/>
        <v>0</v>
      </c>
      <c r="O40" s="138"/>
      <c r="P40" s="138"/>
      <c r="Q40" s="138"/>
      <c r="R40" s="139"/>
      <c r="S40" s="63">
        <f t="shared" si="11"/>
        <v>0</v>
      </c>
      <c r="T40" s="138"/>
      <c r="U40" s="138"/>
      <c r="V40" s="138"/>
      <c r="W40" s="139"/>
      <c r="X40" s="61">
        <f t="shared" si="11"/>
        <v>0</v>
      </c>
      <c r="Z40" s="85"/>
      <c r="AB40" s="73"/>
    </row>
    <row r="41" spans="1:28" s="2" customFormat="1" ht="15" customHeight="1" x14ac:dyDescent="0.4">
      <c r="A41" s="82"/>
      <c r="B41" s="93"/>
      <c r="C41" s="84"/>
      <c r="D41" s="59"/>
      <c r="E41" s="62"/>
      <c r="F41" s="62"/>
      <c r="G41" s="138"/>
      <c r="H41" s="139"/>
      <c r="I41" s="63">
        <f t="shared" si="9"/>
        <v>0</v>
      </c>
      <c r="J41" s="138"/>
      <c r="K41" s="138"/>
      <c r="L41" s="138"/>
      <c r="M41" s="139"/>
      <c r="N41" s="63">
        <f t="shared" si="10"/>
        <v>0</v>
      </c>
      <c r="O41" s="138"/>
      <c r="P41" s="138"/>
      <c r="Q41" s="138"/>
      <c r="R41" s="139"/>
      <c r="S41" s="63">
        <f t="shared" si="11"/>
        <v>0</v>
      </c>
      <c r="T41" s="138"/>
      <c r="U41" s="138"/>
      <c r="V41" s="138"/>
      <c r="W41" s="139"/>
      <c r="X41" s="61">
        <f t="shared" si="11"/>
        <v>0</v>
      </c>
      <c r="Z41" s="85"/>
      <c r="AB41" s="73"/>
    </row>
    <row r="42" spans="1:28" s="2" customFormat="1" ht="15" customHeight="1" x14ac:dyDescent="0.4">
      <c r="A42" s="101"/>
      <c r="B42" s="93"/>
      <c r="C42" s="84"/>
      <c r="D42" s="59"/>
      <c r="E42" s="64"/>
      <c r="F42" s="64"/>
      <c r="G42" s="138"/>
      <c r="H42" s="139"/>
      <c r="I42" s="63">
        <f t="shared" si="9"/>
        <v>0</v>
      </c>
      <c r="J42" s="138"/>
      <c r="K42" s="138"/>
      <c r="L42" s="138"/>
      <c r="M42" s="139"/>
      <c r="N42" s="63">
        <f t="shared" si="10"/>
        <v>0</v>
      </c>
      <c r="O42" s="138"/>
      <c r="P42" s="138"/>
      <c r="Q42" s="138"/>
      <c r="R42" s="139"/>
      <c r="S42" s="63">
        <f t="shared" si="11"/>
        <v>0</v>
      </c>
      <c r="T42" s="138"/>
      <c r="U42" s="138"/>
      <c r="V42" s="138"/>
      <c r="W42" s="139"/>
      <c r="X42" s="61"/>
      <c r="Z42" s="85"/>
      <c r="AB42" s="73"/>
    </row>
    <row r="43" spans="1:28" s="2" customFormat="1" ht="15" customHeight="1" x14ac:dyDescent="0.4">
      <c r="A43" s="101"/>
      <c r="B43" s="93"/>
      <c r="C43" s="84"/>
      <c r="D43" s="59"/>
      <c r="E43" s="64"/>
      <c r="F43" s="64"/>
      <c r="G43" s="138"/>
      <c r="H43" s="139"/>
      <c r="I43" s="63"/>
      <c r="J43" s="138"/>
      <c r="K43" s="138"/>
      <c r="L43" s="138"/>
      <c r="M43" s="139"/>
      <c r="N43" s="63"/>
      <c r="O43" s="138"/>
      <c r="P43" s="138"/>
      <c r="Q43" s="138"/>
      <c r="R43" s="139"/>
      <c r="S43" s="63">
        <f>R43</f>
        <v>0</v>
      </c>
      <c r="T43" s="138"/>
      <c r="U43" s="138"/>
      <c r="V43" s="138"/>
      <c r="W43" s="139"/>
      <c r="X43" s="61">
        <f t="shared" ref="X43:X48" si="12">W43</f>
        <v>0</v>
      </c>
      <c r="Z43" s="85"/>
      <c r="AB43" s="73"/>
    </row>
    <row r="44" spans="1:28" s="2" customFormat="1" ht="15" customHeight="1" x14ac:dyDescent="0.4">
      <c r="A44" s="101"/>
      <c r="B44" s="93"/>
      <c r="C44" s="84"/>
      <c r="D44" s="59"/>
      <c r="E44" s="64"/>
      <c r="F44" s="64"/>
      <c r="G44" s="138"/>
      <c r="H44" s="139"/>
      <c r="I44" s="63"/>
      <c r="J44" s="138"/>
      <c r="K44" s="138"/>
      <c r="L44" s="138"/>
      <c r="M44" s="139"/>
      <c r="N44" s="63"/>
      <c r="O44" s="138"/>
      <c r="P44" s="138"/>
      <c r="Q44" s="138"/>
      <c r="R44" s="139"/>
      <c r="S44" s="63"/>
      <c r="T44" s="138"/>
      <c r="U44" s="138"/>
      <c r="V44" s="138"/>
      <c r="W44" s="139"/>
      <c r="X44" s="61">
        <f t="shared" si="12"/>
        <v>0</v>
      </c>
      <c r="Z44" s="85"/>
      <c r="AB44" s="73"/>
    </row>
    <row r="45" spans="1:28" s="2" customFormat="1" ht="15" customHeight="1" x14ac:dyDescent="0.4">
      <c r="A45" s="101"/>
      <c r="B45" s="93"/>
      <c r="C45" s="84"/>
      <c r="D45" s="59"/>
      <c r="E45" s="64"/>
      <c r="F45" s="64"/>
      <c r="G45" s="138"/>
      <c r="H45" s="139"/>
      <c r="I45" s="63"/>
      <c r="J45" s="138"/>
      <c r="K45" s="138"/>
      <c r="L45" s="138"/>
      <c r="M45" s="139"/>
      <c r="N45" s="63"/>
      <c r="O45" s="138"/>
      <c r="P45" s="138"/>
      <c r="Q45" s="138"/>
      <c r="R45" s="139"/>
      <c r="S45" s="63"/>
      <c r="T45" s="138"/>
      <c r="U45" s="138"/>
      <c r="V45" s="138"/>
      <c r="W45" s="139"/>
      <c r="X45" s="61">
        <f t="shared" si="12"/>
        <v>0</v>
      </c>
      <c r="Z45" s="85"/>
      <c r="AB45" s="73"/>
    </row>
    <row r="46" spans="1:28" s="2" customFormat="1" ht="15" customHeight="1" x14ac:dyDescent="0.4">
      <c r="A46" s="101"/>
      <c r="B46" s="93"/>
      <c r="C46" s="84"/>
      <c r="D46" s="59"/>
      <c r="E46" s="64"/>
      <c r="F46" s="64"/>
      <c r="G46" s="138"/>
      <c r="H46" s="139"/>
      <c r="I46" s="63"/>
      <c r="J46" s="138"/>
      <c r="K46" s="138"/>
      <c r="L46" s="138"/>
      <c r="M46" s="139"/>
      <c r="N46" s="63"/>
      <c r="O46" s="138"/>
      <c r="P46" s="138"/>
      <c r="Q46" s="138"/>
      <c r="R46" s="139"/>
      <c r="S46" s="63"/>
      <c r="T46" s="138"/>
      <c r="U46" s="138"/>
      <c r="V46" s="138"/>
      <c r="W46" s="139"/>
      <c r="X46" s="61">
        <f t="shared" si="12"/>
        <v>0</v>
      </c>
      <c r="Z46" s="85"/>
      <c r="AB46" s="73"/>
    </row>
    <row r="47" spans="1:28" s="2" customFormat="1" ht="15" customHeight="1" x14ac:dyDescent="0.4">
      <c r="A47" s="101"/>
      <c r="B47" s="93"/>
      <c r="C47" s="84"/>
      <c r="D47" s="59"/>
      <c r="E47" s="64"/>
      <c r="F47" s="64"/>
      <c r="G47" s="138"/>
      <c r="H47" s="139"/>
      <c r="I47" s="63"/>
      <c r="J47" s="138"/>
      <c r="K47" s="138"/>
      <c r="L47" s="138"/>
      <c r="M47" s="139"/>
      <c r="N47" s="63"/>
      <c r="O47" s="138"/>
      <c r="P47" s="138"/>
      <c r="Q47" s="138"/>
      <c r="R47" s="139"/>
      <c r="S47" s="63"/>
      <c r="T47" s="138"/>
      <c r="U47" s="138"/>
      <c r="V47" s="138"/>
      <c r="W47" s="139"/>
      <c r="X47" s="61">
        <f t="shared" si="12"/>
        <v>0</v>
      </c>
      <c r="Z47" s="85"/>
      <c r="AB47" s="73"/>
    </row>
    <row r="48" spans="1:28" s="2" customFormat="1" ht="15" customHeight="1" x14ac:dyDescent="0.4">
      <c r="A48" s="101"/>
      <c r="B48" s="93"/>
      <c r="C48" s="84"/>
      <c r="D48" s="59"/>
      <c r="E48" s="64"/>
      <c r="F48" s="64"/>
      <c r="G48" s="138"/>
      <c r="H48" s="139"/>
      <c r="I48" s="63"/>
      <c r="J48" s="138"/>
      <c r="K48" s="138"/>
      <c r="L48" s="138"/>
      <c r="M48" s="139"/>
      <c r="N48" s="63"/>
      <c r="O48" s="138"/>
      <c r="P48" s="138"/>
      <c r="Q48" s="138"/>
      <c r="R48" s="139"/>
      <c r="S48" s="63"/>
      <c r="T48" s="138"/>
      <c r="U48" s="138"/>
      <c r="V48" s="138"/>
      <c r="W48" s="139"/>
      <c r="X48" s="61">
        <f t="shared" si="12"/>
        <v>0</v>
      </c>
      <c r="Z48" s="85"/>
      <c r="AB48" s="73"/>
    </row>
    <row r="49" spans="1:28" s="2" customFormat="1" ht="15" customHeight="1" x14ac:dyDescent="0.4">
      <c r="A49" s="101"/>
      <c r="B49" s="93"/>
      <c r="C49" s="84"/>
      <c r="D49" s="59"/>
      <c r="E49" s="64"/>
      <c r="F49" s="64"/>
      <c r="G49" s="138"/>
      <c r="H49" s="139"/>
      <c r="I49" s="63"/>
      <c r="J49" s="138"/>
      <c r="K49" s="138"/>
      <c r="L49" s="138"/>
      <c r="M49" s="139"/>
      <c r="N49" s="63"/>
      <c r="O49" s="138"/>
      <c r="P49" s="138"/>
      <c r="Q49" s="138"/>
      <c r="R49" s="139"/>
      <c r="S49" s="63"/>
      <c r="T49" s="138"/>
      <c r="U49" s="138"/>
      <c r="V49" s="138"/>
      <c r="W49" s="139"/>
      <c r="X49" s="61">
        <f t="shared" ref="X49" si="13">W49</f>
        <v>0</v>
      </c>
      <c r="Z49" s="85"/>
      <c r="AB49" s="73"/>
    </row>
    <row r="50" spans="1:28" s="2" customFormat="1" ht="15" customHeight="1" x14ac:dyDescent="0.4">
      <c r="A50" s="101"/>
      <c r="B50" s="93"/>
      <c r="C50" s="84"/>
      <c r="D50" s="59"/>
      <c r="E50" s="64"/>
      <c r="F50" s="64"/>
      <c r="G50" s="138"/>
      <c r="H50" s="139"/>
      <c r="I50" s="63"/>
      <c r="J50" s="138"/>
      <c r="K50" s="138"/>
      <c r="L50" s="138"/>
      <c r="M50" s="139"/>
      <c r="N50" s="63"/>
      <c r="O50" s="138"/>
      <c r="P50" s="138"/>
      <c r="Q50" s="138"/>
      <c r="R50" s="139"/>
      <c r="S50" s="63"/>
      <c r="T50" s="138"/>
      <c r="U50" s="138"/>
      <c r="V50" s="138"/>
      <c r="W50" s="139"/>
      <c r="X50" s="61"/>
      <c r="Z50" s="85"/>
      <c r="AB50" s="73"/>
    </row>
    <row r="51" spans="1:28" s="102" customFormat="1" ht="15" customHeight="1" x14ac:dyDescent="0.4">
      <c r="A51" s="92"/>
      <c r="B51" s="93"/>
      <c r="C51" s="84"/>
      <c r="D51" s="59"/>
      <c r="E51" s="62"/>
      <c r="F51" s="62"/>
      <c r="G51" s="138"/>
      <c r="H51" s="139"/>
      <c r="I51" s="63">
        <f t="shared" ref="I51:I57" si="14">H51</f>
        <v>0</v>
      </c>
      <c r="J51" s="138"/>
      <c r="K51" s="138"/>
      <c r="L51" s="138"/>
      <c r="M51" s="139"/>
      <c r="N51" s="63"/>
      <c r="O51" s="138"/>
      <c r="P51" s="138"/>
      <c r="Q51" s="138"/>
      <c r="R51" s="139"/>
      <c r="S51" s="63"/>
      <c r="T51" s="138"/>
      <c r="U51" s="138"/>
      <c r="V51" s="138"/>
      <c r="W51" s="139"/>
      <c r="X51" s="61"/>
      <c r="Z51" s="85"/>
      <c r="AB51" s="73"/>
    </row>
    <row r="52" spans="1:28" s="2" customFormat="1" ht="15" customHeight="1" x14ac:dyDescent="0.4">
      <c r="A52" s="82"/>
      <c r="B52" s="93"/>
      <c r="C52" s="84"/>
      <c r="D52" s="59"/>
      <c r="E52" s="62"/>
      <c r="F52" s="62"/>
      <c r="G52" s="138"/>
      <c r="H52" s="139"/>
      <c r="I52" s="63">
        <f t="shared" si="14"/>
        <v>0</v>
      </c>
      <c r="J52" s="138"/>
      <c r="K52" s="138"/>
      <c r="L52" s="138"/>
      <c r="M52" s="139"/>
      <c r="N52" s="63"/>
      <c r="O52" s="138"/>
      <c r="P52" s="138"/>
      <c r="Q52" s="138"/>
      <c r="R52" s="139"/>
      <c r="S52" s="63"/>
      <c r="T52" s="138"/>
      <c r="U52" s="138"/>
      <c r="V52" s="138"/>
      <c r="W52" s="139"/>
      <c r="X52" s="61"/>
      <c r="Z52" s="85"/>
      <c r="AB52" s="73"/>
    </row>
    <row r="53" spans="1:28" s="2" customFormat="1" ht="15" customHeight="1" x14ac:dyDescent="0.4">
      <c r="A53" s="82"/>
      <c r="B53" s="93"/>
      <c r="C53" s="84"/>
      <c r="D53" s="59"/>
      <c r="E53" s="62"/>
      <c r="F53" s="62"/>
      <c r="G53" s="138"/>
      <c r="H53" s="139"/>
      <c r="I53" s="63">
        <f t="shared" si="14"/>
        <v>0</v>
      </c>
      <c r="J53" s="138"/>
      <c r="K53" s="138"/>
      <c r="L53" s="138"/>
      <c r="M53" s="139"/>
      <c r="N53" s="63">
        <f>M53</f>
        <v>0</v>
      </c>
      <c r="O53" s="138"/>
      <c r="P53" s="138"/>
      <c r="Q53" s="138"/>
      <c r="R53" s="139"/>
      <c r="S53" s="63">
        <f>R53</f>
        <v>0</v>
      </c>
      <c r="T53" s="138"/>
      <c r="U53" s="138"/>
      <c r="V53" s="138"/>
      <c r="W53" s="139"/>
      <c r="X53" s="61">
        <f>+W53</f>
        <v>0</v>
      </c>
      <c r="Z53" s="85"/>
      <c r="AB53" s="73"/>
    </row>
    <row r="54" spans="1:28" s="2" customFormat="1" ht="15" customHeight="1" x14ac:dyDescent="0.4">
      <c r="A54" s="82"/>
      <c r="B54" s="93"/>
      <c r="C54" s="84"/>
      <c r="D54" s="59"/>
      <c r="E54" s="62"/>
      <c r="F54" s="62"/>
      <c r="G54" s="138"/>
      <c r="H54" s="139"/>
      <c r="I54" s="63">
        <f t="shared" si="14"/>
        <v>0</v>
      </c>
      <c r="J54" s="138"/>
      <c r="K54" s="138"/>
      <c r="L54" s="138"/>
      <c r="M54" s="139"/>
      <c r="N54" s="63">
        <f>M54</f>
        <v>0</v>
      </c>
      <c r="O54" s="138"/>
      <c r="P54" s="138"/>
      <c r="Q54" s="138"/>
      <c r="R54" s="139"/>
      <c r="S54" s="63"/>
      <c r="T54" s="138"/>
      <c r="U54" s="138"/>
      <c r="V54" s="138"/>
      <c r="W54" s="139"/>
      <c r="X54" s="61"/>
      <c r="Z54" s="85"/>
      <c r="AB54" s="73"/>
    </row>
    <row r="55" spans="1:28" s="2" customFormat="1" ht="15" customHeight="1" x14ac:dyDescent="0.4">
      <c r="A55" s="82"/>
      <c r="B55" s="93"/>
      <c r="C55" s="84"/>
      <c r="D55" s="59"/>
      <c r="E55" s="62"/>
      <c r="F55" s="62"/>
      <c r="G55" s="138"/>
      <c r="H55" s="139"/>
      <c r="I55" s="63">
        <f t="shared" si="14"/>
        <v>0</v>
      </c>
      <c r="J55" s="138"/>
      <c r="K55" s="138"/>
      <c r="L55" s="138"/>
      <c r="M55" s="139"/>
      <c r="N55" s="63">
        <f>M55</f>
        <v>0</v>
      </c>
      <c r="O55" s="138"/>
      <c r="P55" s="138"/>
      <c r="Q55" s="138"/>
      <c r="R55" s="139"/>
      <c r="S55" s="63"/>
      <c r="T55" s="138"/>
      <c r="U55" s="138"/>
      <c r="V55" s="138"/>
      <c r="W55" s="139"/>
      <c r="X55" s="61"/>
      <c r="Z55" s="85"/>
      <c r="AB55" s="73"/>
    </row>
    <row r="56" spans="1:28" s="2" customFormat="1" ht="15" customHeight="1" x14ac:dyDescent="0.4">
      <c r="A56" s="92"/>
      <c r="B56" s="93"/>
      <c r="C56" s="84"/>
      <c r="D56" s="59"/>
      <c r="E56" s="62"/>
      <c r="F56" s="62"/>
      <c r="G56" s="138"/>
      <c r="H56" s="139"/>
      <c r="I56" s="63">
        <f t="shared" si="14"/>
        <v>0</v>
      </c>
      <c r="J56" s="138"/>
      <c r="K56" s="138"/>
      <c r="L56" s="138"/>
      <c r="M56" s="139"/>
      <c r="N56" s="63"/>
      <c r="O56" s="138"/>
      <c r="P56" s="138"/>
      <c r="Q56" s="138"/>
      <c r="R56" s="139"/>
      <c r="S56" s="63"/>
      <c r="T56" s="138"/>
      <c r="U56" s="138"/>
      <c r="V56" s="138"/>
      <c r="W56" s="139"/>
      <c r="X56" s="61"/>
      <c r="Z56" s="85"/>
      <c r="AB56" s="73"/>
    </row>
    <row r="57" spans="1:28" s="2" customFormat="1" ht="15" customHeight="1" x14ac:dyDescent="0.4">
      <c r="A57" s="92"/>
      <c r="B57" s="93"/>
      <c r="C57" s="84"/>
      <c r="D57" s="59"/>
      <c r="E57" s="62"/>
      <c r="F57" s="62"/>
      <c r="G57" s="138"/>
      <c r="H57" s="139"/>
      <c r="I57" s="63">
        <f t="shared" si="14"/>
        <v>0</v>
      </c>
      <c r="J57" s="138"/>
      <c r="K57" s="138"/>
      <c r="L57" s="138"/>
      <c r="M57" s="139"/>
      <c r="N57" s="63">
        <f>M57</f>
        <v>0</v>
      </c>
      <c r="O57" s="138"/>
      <c r="P57" s="138"/>
      <c r="Q57" s="138"/>
      <c r="R57" s="139"/>
      <c r="S57" s="63"/>
      <c r="T57" s="138"/>
      <c r="U57" s="138"/>
      <c r="V57" s="138"/>
      <c r="W57" s="139"/>
      <c r="X57" s="61"/>
      <c r="Z57" s="85"/>
      <c r="AB57" s="73"/>
    </row>
    <row r="58" spans="1:28" s="102" customFormat="1" ht="15" customHeight="1" x14ac:dyDescent="0.4">
      <c r="A58" s="92"/>
      <c r="B58" s="84"/>
      <c r="C58" s="84"/>
      <c r="D58" s="59"/>
      <c r="E58" s="80"/>
      <c r="F58" s="80"/>
      <c r="G58" s="142"/>
      <c r="H58" s="143"/>
      <c r="I58" s="78"/>
      <c r="J58" s="142"/>
      <c r="K58" s="142"/>
      <c r="L58" s="142"/>
      <c r="M58" s="143"/>
      <c r="N58" s="78"/>
      <c r="O58" s="142"/>
      <c r="P58" s="142"/>
      <c r="Q58" s="142"/>
      <c r="R58" s="143"/>
      <c r="S58" s="78"/>
      <c r="T58" s="142"/>
      <c r="U58" s="142"/>
      <c r="V58" s="142"/>
      <c r="W58" s="143"/>
      <c r="X58" s="81"/>
      <c r="Z58" s="85"/>
      <c r="AB58" s="73"/>
    </row>
    <row r="59" spans="1:28" s="8" customFormat="1" ht="15" customHeight="1" x14ac:dyDescent="0.4">
      <c r="A59" s="92"/>
      <c r="B59" s="103" t="s">
        <v>11</v>
      </c>
      <c r="C59" s="104"/>
      <c r="D59" s="104"/>
      <c r="E59" s="80"/>
      <c r="F59" s="80"/>
      <c r="G59" s="142"/>
      <c r="H59" s="143"/>
      <c r="I59" s="78"/>
      <c r="J59" s="142"/>
      <c r="K59" s="142"/>
      <c r="L59" s="142"/>
      <c r="M59" s="143"/>
      <c r="N59" s="78"/>
      <c r="O59" s="142"/>
      <c r="P59" s="142"/>
      <c r="Q59" s="142"/>
      <c r="R59" s="143"/>
      <c r="S59" s="78"/>
      <c r="T59" s="142"/>
      <c r="U59" s="142"/>
      <c r="V59" s="142"/>
      <c r="W59" s="143"/>
      <c r="X59" s="81"/>
      <c r="Z59" s="85"/>
      <c r="AB59" s="73"/>
    </row>
    <row r="60" spans="1:28" s="8" customFormat="1" ht="15" customHeight="1" x14ac:dyDescent="0.4">
      <c r="A60" s="92"/>
      <c r="B60" s="105"/>
      <c r="C60" s="104"/>
      <c r="D60" s="59"/>
      <c r="E60" s="80"/>
      <c r="F60" s="80"/>
      <c r="G60" s="138"/>
      <c r="H60" s="139"/>
      <c r="I60" s="63">
        <f>H60</f>
        <v>0</v>
      </c>
      <c r="J60" s="138"/>
      <c r="K60" s="138"/>
      <c r="L60" s="138"/>
      <c r="M60" s="139"/>
      <c r="N60" s="63"/>
      <c r="O60" s="138"/>
      <c r="P60" s="138"/>
      <c r="Q60" s="138"/>
      <c r="R60" s="139"/>
      <c r="S60" s="63"/>
      <c r="T60" s="138"/>
      <c r="U60" s="138"/>
      <c r="V60" s="138"/>
      <c r="W60" s="139"/>
      <c r="X60" s="61"/>
      <c r="Z60" s="85"/>
      <c r="AB60" s="73"/>
    </row>
    <row r="61" spans="1:28" s="8" customFormat="1" ht="15" customHeight="1" x14ac:dyDescent="0.4">
      <c r="A61" s="92"/>
      <c r="B61" s="105"/>
      <c r="C61" s="104"/>
      <c r="D61" s="59"/>
      <c r="E61" s="80"/>
      <c r="F61" s="80"/>
      <c r="G61" s="138"/>
      <c r="H61" s="139"/>
      <c r="I61" s="63">
        <f t="shared" ref="I61:I84" si="15">H61</f>
        <v>0</v>
      </c>
      <c r="J61" s="138"/>
      <c r="K61" s="138"/>
      <c r="L61" s="138"/>
      <c r="M61" s="139"/>
      <c r="N61" s="63"/>
      <c r="O61" s="138"/>
      <c r="P61" s="138"/>
      <c r="Q61" s="138"/>
      <c r="R61" s="139"/>
      <c r="S61" s="63"/>
      <c r="T61" s="138"/>
      <c r="U61" s="138"/>
      <c r="V61" s="138"/>
      <c r="W61" s="139"/>
      <c r="X61" s="61"/>
      <c r="Z61" s="85"/>
      <c r="AB61" s="73"/>
    </row>
    <row r="62" spans="1:28" s="8" customFormat="1" ht="15" customHeight="1" x14ac:dyDescent="0.4">
      <c r="A62" s="92"/>
      <c r="B62" s="105"/>
      <c r="C62" s="104"/>
      <c r="D62" s="59"/>
      <c r="E62" s="80"/>
      <c r="F62" s="80"/>
      <c r="G62" s="138"/>
      <c r="H62" s="139"/>
      <c r="I62" s="63">
        <f t="shared" si="15"/>
        <v>0</v>
      </c>
      <c r="J62" s="138"/>
      <c r="K62" s="138"/>
      <c r="L62" s="138"/>
      <c r="M62" s="139"/>
      <c r="N62" s="63">
        <f t="shared" ref="N62:N77" si="16">M62</f>
        <v>0</v>
      </c>
      <c r="O62" s="138"/>
      <c r="P62" s="144"/>
      <c r="Q62" s="138"/>
      <c r="R62" s="139"/>
      <c r="S62" s="63"/>
      <c r="T62" s="138"/>
      <c r="U62" s="138"/>
      <c r="V62" s="138"/>
      <c r="W62" s="139"/>
      <c r="X62" s="61"/>
      <c r="Z62" s="85"/>
      <c r="AB62" s="73"/>
    </row>
    <row r="63" spans="1:28" s="8" customFormat="1" ht="15" customHeight="1" x14ac:dyDescent="0.4">
      <c r="A63" s="92"/>
      <c r="B63" s="105"/>
      <c r="C63" s="104"/>
      <c r="D63" s="59"/>
      <c r="E63" s="80"/>
      <c r="F63" s="80"/>
      <c r="G63" s="138"/>
      <c r="H63" s="139"/>
      <c r="I63" s="63">
        <f t="shared" si="15"/>
        <v>0</v>
      </c>
      <c r="J63" s="138"/>
      <c r="K63" s="138"/>
      <c r="L63" s="138"/>
      <c r="M63" s="139"/>
      <c r="N63" s="63">
        <f t="shared" si="16"/>
        <v>0</v>
      </c>
      <c r="O63" s="138"/>
      <c r="P63" s="138"/>
      <c r="Q63" s="138"/>
      <c r="R63" s="139"/>
      <c r="S63" s="63">
        <f t="shared" ref="S63:S89" si="17">R63</f>
        <v>0</v>
      </c>
      <c r="T63" s="138"/>
      <c r="U63" s="144"/>
      <c r="V63" s="138"/>
      <c r="W63" s="139"/>
      <c r="X63" s="61"/>
      <c r="Z63" s="85"/>
      <c r="AB63" s="73"/>
    </row>
    <row r="64" spans="1:28" s="8" customFormat="1" ht="15" customHeight="1" x14ac:dyDescent="0.4">
      <c r="A64" s="92"/>
      <c r="B64" s="105"/>
      <c r="C64" s="104"/>
      <c r="D64" s="59"/>
      <c r="E64" s="80"/>
      <c r="F64" s="80"/>
      <c r="G64" s="138"/>
      <c r="H64" s="139"/>
      <c r="I64" s="63">
        <f t="shared" si="15"/>
        <v>0</v>
      </c>
      <c r="J64" s="138"/>
      <c r="K64" s="138"/>
      <c r="L64" s="138"/>
      <c r="M64" s="139"/>
      <c r="N64" s="63">
        <f t="shared" si="16"/>
        <v>0</v>
      </c>
      <c r="O64" s="138"/>
      <c r="P64" s="138"/>
      <c r="Q64" s="138"/>
      <c r="R64" s="139"/>
      <c r="S64" s="63">
        <f t="shared" si="17"/>
        <v>0</v>
      </c>
      <c r="T64" s="138"/>
      <c r="U64" s="138"/>
      <c r="V64" s="138"/>
      <c r="W64" s="139"/>
      <c r="X64" s="63">
        <f>W64</f>
        <v>0</v>
      </c>
      <c r="Z64" s="85"/>
      <c r="AB64" s="73"/>
    </row>
    <row r="65" spans="1:28" s="8" customFormat="1" ht="15" customHeight="1" x14ac:dyDescent="0.4">
      <c r="A65" s="92"/>
      <c r="B65" s="105"/>
      <c r="C65" s="104"/>
      <c r="D65" s="59"/>
      <c r="E65" s="80"/>
      <c r="F65" s="80"/>
      <c r="G65" s="138"/>
      <c r="H65" s="139"/>
      <c r="I65" s="63">
        <f t="shared" si="15"/>
        <v>0</v>
      </c>
      <c r="J65" s="138"/>
      <c r="K65" s="138"/>
      <c r="L65" s="138"/>
      <c r="M65" s="139"/>
      <c r="N65" s="63">
        <f t="shared" si="16"/>
        <v>0</v>
      </c>
      <c r="O65" s="138"/>
      <c r="P65" s="138"/>
      <c r="Q65" s="138"/>
      <c r="R65" s="139"/>
      <c r="S65" s="63">
        <f t="shared" si="17"/>
        <v>0</v>
      </c>
      <c r="T65" s="138"/>
      <c r="U65" s="138"/>
      <c r="V65" s="138"/>
      <c r="W65" s="139"/>
      <c r="X65" s="63">
        <f>W65</f>
        <v>0</v>
      </c>
      <c r="Z65" s="85"/>
      <c r="AB65" s="73"/>
    </row>
    <row r="66" spans="1:28" s="8" customFormat="1" ht="15" customHeight="1" x14ac:dyDescent="0.4">
      <c r="A66" s="92"/>
      <c r="B66" s="105"/>
      <c r="C66" s="104"/>
      <c r="D66" s="59"/>
      <c r="E66" s="80"/>
      <c r="F66" s="80"/>
      <c r="G66" s="138"/>
      <c r="H66" s="139"/>
      <c r="I66" s="63">
        <f t="shared" si="15"/>
        <v>0</v>
      </c>
      <c r="J66" s="138"/>
      <c r="K66" s="138"/>
      <c r="L66" s="138"/>
      <c r="M66" s="139"/>
      <c r="N66" s="63">
        <f t="shared" si="16"/>
        <v>0</v>
      </c>
      <c r="O66" s="138"/>
      <c r="P66" s="138"/>
      <c r="Q66" s="138"/>
      <c r="R66" s="139"/>
      <c r="S66" s="63">
        <f t="shared" si="17"/>
        <v>0</v>
      </c>
      <c r="T66" s="138"/>
      <c r="U66" s="138"/>
      <c r="V66" s="138"/>
      <c r="W66" s="139"/>
      <c r="X66" s="63">
        <f>W66</f>
        <v>0</v>
      </c>
      <c r="Z66" s="85"/>
      <c r="AB66" s="73"/>
    </row>
    <row r="67" spans="1:28" s="8" customFormat="1" ht="15" customHeight="1" x14ac:dyDescent="0.4">
      <c r="A67" s="92"/>
      <c r="B67" s="105"/>
      <c r="C67" s="104"/>
      <c r="D67" s="59"/>
      <c r="E67" s="80"/>
      <c r="F67" s="80"/>
      <c r="G67" s="138"/>
      <c r="H67" s="139"/>
      <c r="I67" s="63">
        <f t="shared" si="15"/>
        <v>0</v>
      </c>
      <c r="J67" s="138"/>
      <c r="K67" s="138"/>
      <c r="L67" s="138"/>
      <c r="M67" s="139"/>
      <c r="N67" s="63">
        <f t="shared" si="16"/>
        <v>0</v>
      </c>
      <c r="O67" s="138"/>
      <c r="P67" s="138"/>
      <c r="Q67" s="138"/>
      <c r="R67" s="139"/>
      <c r="S67" s="63">
        <f t="shared" si="17"/>
        <v>0</v>
      </c>
      <c r="T67" s="138"/>
      <c r="U67" s="138"/>
      <c r="V67" s="138"/>
      <c r="W67" s="139"/>
      <c r="X67" s="61">
        <f t="shared" ref="X67:X70" si="18">W67</f>
        <v>0</v>
      </c>
      <c r="Z67" s="85"/>
      <c r="AB67" s="73"/>
    </row>
    <row r="68" spans="1:28" s="8" customFormat="1" ht="15" customHeight="1" x14ac:dyDescent="0.4">
      <c r="A68" s="92"/>
      <c r="B68" s="105"/>
      <c r="C68" s="104"/>
      <c r="D68" s="59"/>
      <c r="E68" s="80"/>
      <c r="F68" s="80"/>
      <c r="G68" s="138"/>
      <c r="H68" s="139"/>
      <c r="I68" s="63">
        <f t="shared" si="15"/>
        <v>0</v>
      </c>
      <c r="J68" s="138"/>
      <c r="K68" s="138"/>
      <c r="L68" s="138"/>
      <c r="M68" s="139"/>
      <c r="N68" s="63">
        <f t="shared" si="16"/>
        <v>0</v>
      </c>
      <c r="O68" s="138"/>
      <c r="P68" s="138"/>
      <c r="Q68" s="138"/>
      <c r="R68" s="139"/>
      <c r="S68" s="63">
        <f t="shared" si="17"/>
        <v>0</v>
      </c>
      <c r="T68" s="138"/>
      <c r="U68" s="138"/>
      <c r="V68" s="138"/>
      <c r="W68" s="138"/>
      <c r="X68" s="61">
        <f t="shared" si="18"/>
        <v>0</v>
      </c>
      <c r="Z68" s="85"/>
      <c r="AB68" s="73"/>
    </row>
    <row r="69" spans="1:28" s="8" customFormat="1" ht="15" customHeight="1" x14ac:dyDescent="0.4">
      <c r="A69" s="92"/>
      <c r="B69" s="105"/>
      <c r="C69" s="104"/>
      <c r="D69" s="59"/>
      <c r="E69" s="80"/>
      <c r="F69" s="80"/>
      <c r="G69" s="138"/>
      <c r="H69" s="139"/>
      <c r="I69" s="63">
        <f t="shared" si="15"/>
        <v>0</v>
      </c>
      <c r="J69" s="138"/>
      <c r="K69" s="138"/>
      <c r="L69" s="138"/>
      <c r="M69" s="139"/>
      <c r="N69" s="63">
        <f t="shared" si="16"/>
        <v>0</v>
      </c>
      <c r="O69" s="138"/>
      <c r="P69" s="138"/>
      <c r="Q69" s="138"/>
      <c r="R69" s="139"/>
      <c r="S69" s="63">
        <f t="shared" si="17"/>
        <v>0</v>
      </c>
      <c r="T69" s="138"/>
      <c r="U69" s="138"/>
      <c r="V69" s="138"/>
      <c r="W69" s="138"/>
      <c r="X69" s="61">
        <f t="shared" si="18"/>
        <v>0</v>
      </c>
      <c r="Z69" s="85"/>
      <c r="AB69" s="73"/>
    </row>
    <row r="70" spans="1:28" s="8" customFormat="1" ht="15" customHeight="1" x14ac:dyDescent="0.4">
      <c r="A70" s="92"/>
      <c r="B70" s="105"/>
      <c r="C70" s="104"/>
      <c r="D70" s="59"/>
      <c r="E70" s="80"/>
      <c r="F70" s="80"/>
      <c r="G70" s="138"/>
      <c r="H70" s="139"/>
      <c r="I70" s="63">
        <f t="shared" si="15"/>
        <v>0</v>
      </c>
      <c r="J70" s="138"/>
      <c r="K70" s="138"/>
      <c r="L70" s="138"/>
      <c r="M70" s="139"/>
      <c r="N70" s="63">
        <f t="shared" si="16"/>
        <v>0</v>
      </c>
      <c r="O70" s="138"/>
      <c r="P70" s="138"/>
      <c r="Q70" s="138"/>
      <c r="R70" s="139"/>
      <c r="S70" s="63">
        <f t="shared" si="17"/>
        <v>0</v>
      </c>
      <c r="T70" s="138"/>
      <c r="U70" s="138"/>
      <c r="V70" s="138"/>
      <c r="W70" s="139"/>
      <c r="X70" s="61">
        <f t="shared" si="18"/>
        <v>0</v>
      </c>
      <c r="Z70" s="85"/>
      <c r="AB70" s="73"/>
    </row>
    <row r="71" spans="1:28" s="8" customFormat="1" ht="15" customHeight="1" x14ac:dyDescent="0.4">
      <c r="A71" s="92"/>
      <c r="B71" s="105"/>
      <c r="C71" s="104"/>
      <c r="D71" s="59"/>
      <c r="E71" s="80"/>
      <c r="F71" s="80"/>
      <c r="G71" s="138"/>
      <c r="H71" s="139"/>
      <c r="I71" s="63">
        <f t="shared" si="15"/>
        <v>0</v>
      </c>
      <c r="J71" s="138"/>
      <c r="K71" s="138"/>
      <c r="L71" s="138"/>
      <c r="M71" s="139"/>
      <c r="N71" s="63">
        <f t="shared" si="16"/>
        <v>0</v>
      </c>
      <c r="O71" s="138"/>
      <c r="P71" s="138"/>
      <c r="Q71" s="138"/>
      <c r="R71" s="139"/>
      <c r="S71" s="63">
        <f t="shared" si="17"/>
        <v>0</v>
      </c>
      <c r="T71" s="138"/>
      <c r="U71" s="138"/>
      <c r="V71" s="138"/>
      <c r="W71" s="139"/>
      <c r="X71" s="61">
        <f>W71</f>
        <v>0</v>
      </c>
      <c r="Z71" s="85"/>
      <c r="AB71" s="73"/>
    </row>
    <row r="72" spans="1:28" s="8" customFormat="1" ht="15" customHeight="1" x14ac:dyDescent="0.4">
      <c r="A72" s="92"/>
      <c r="B72" s="105"/>
      <c r="C72" s="104"/>
      <c r="D72" s="59"/>
      <c r="E72" s="80"/>
      <c r="F72" s="80"/>
      <c r="G72" s="138"/>
      <c r="H72" s="139"/>
      <c r="I72" s="63">
        <f t="shared" si="15"/>
        <v>0</v>
      </c>
      <c r="J72" s="138"/>
      <c r="K72" s="138"/>
      <c r="L72" s="138"/>
      <c r="M72" s="139"/>
      <c r="N72" s="63">
        <f t="shared" si="16"/>
        <v>0</v>
      </c>
      <c r="O72" s="138"/>
      <c r="P72" s="138"/>
      <c r="Q72" s="138"/>
      <c r="R72" s="139"/>
      <c r="S72" s="63">
        <f t="shared" si="17"/>
        <v>0</v>
      </c>
      <c r="T72" s="138"/>
      <c r="U72" s="138"/>
      <c r="V72" s="138"/>
      <c r="W72" s="139"/>
      <c r="X72" s="61">
        <f>W72</f>
        <v>0</v>
      </c>
      <c r="Z72" s="85"/>
      <c r="AB72" s="73"/>
    </row>
    <row r="73" spans="1:28" s="8" customFormat="1" ht="15" customHeight="1" x14ac:dyDescent="0.4">
      <c r="A73" s="92"/>
      <c r="B73" s="105"/>
      <c r="C73" s="104"/>
      <c r="D73" s="59"/>
      <c r="E73" s="80"/>
      <c r="F73" s="80"/>
      <c r="G73" s="138"/>
      <c r="H73" s="139"/>
      <c r="I73" s="63">
        <f t="shared" si="15"/>
        <v>0</v>
      </c>
      <c r="J73" s="138"/>
      <c r="K73" s="138"/>
      <c r="L73" s="138"/>
      <c r="M73" s="139"/>
      <c r="N73" s="63">
        <f t="shared" si="16"/>
        <v>0</v>
      </c>
      <c r="O73" s="138"/>
      <c r="P73" s="138"/>
      <c r="Q73" s="138"/>
      <c r="R73" s="139"/>
      <c r="S73" s="63">
        <f t="shared" si="17"/>
        <v>0</v>
      </c>
      <c r="T73" s="138"/>
      <c r="U73" s="138"/>
      <c r="V73" s="138"/>
      <c r="W73" s="139"/>
      <c r="X73" s="61">
        <f>W73</f>
        <v>0</v>
      </c>
      <c r="Z73" s="85"/>
      <c r="AB73" s="73"/>
    </row>
    <row r="74" spans="1:28" s="8" customFormat="1" ht="15" customHeight="1" x14ac:dyDescent="0.4">
      <c r="A74" s="92"/>
      <c r="B74" s="105"/>
      <c r="C74" s="104"/>
      <c r="D74" s="59"/>
      <c r="E74" s="80"/>
      <c r="F74" s="80"/>
      <c r="G74" s="138"/>
      <c r="H74" s="139"/>
      <c r="I74" s="63">
        <f t="shared" si="15"/>
        <v>0</v>
      </c>
      <c r="J74" s="138"/>
      <c r="K74" s="138"/>
      <c r="L74" s="138"/>
      <c r="M74" s="139"/>
      <c r="N74" s="63">
        <f t="shared" si="16"/>
        <v>0</v>
      </c>
      <c r="O74" s="138"/>
      <c r="P74" s="138"/>
      <c r="Q74" s="138"/>
      <c r="R74" s="139"/>
      <c r="S74" s="63">
        <f t="shared" si="17"/>
        <v>0</v>
      </c>
      <c r="T74" s="138"/>
      <c r="U74" s="138"/>
      <c r="V74" s="138"/>
      <c r="W74" s="139"/>
      <c r="X74" s="61">
        <f>W74</f>
        <v>0</v>
      </c>
      <c r="Z74" s="85"/>
      <c r="AB74" s="73"/>
    </row>
    <row r="75" spans="1:28" s="8" customFormat="1" ht="15" customHeight="1" x14ac:dyDescent="0.4">
      <c r="A75" s="92"/>
      <c r="B75" s="105"/>
      <c r="C75" s="104"/>
      <c r="D75" s="59"/>
      <c r="E75" s="80"/>
      <c r="F75" s="80"/>
      <c r="G75" s="138"/>
      <c r="H75" s="139"/>
      <c r="I75" s="63">
        <f t="shared" si="15"/>
        <v>0</v>
      </c>
      <c r="J75" s="138"/>
      <c r="K75" s="138"/>
      <c r="L75" s="138"/>
      <c r="M75" s="139"/>
      <c r="N75" s="63">
        <f t="shared" si="16"/>
        <v>0</v>
      </c>
      <c r="O75" s="138"/>
      <c r="P75" s="138"/>
      <c r="Q75" s="138"/>
      <c r="R75" s="139"/>
      <c r="S75" s="63">
        <f t="shared" si="17"/>
        <v>0</v>
      </c>
      <c r="T75" s="138"/>
      <c r="U75" s="138"/>
      <c r="V75" s="138"/>
      <c r="W75" s="139"/>
      <c r="X75" s="61">
        <f>W75</f>
        <v>0</v>
      </c>
      <c r="Z75" s="85"/>
      <c r="AB75" s="73"/>
    </row>
    <row r="76" spans="1:28" s="8" customFormat="1" ht="15" customHeight="1" x14ac:dyDescent="0.4">
      <c r="A76" s="92"/>
      <c r="B76" s="105"/>
      <c r="C76" s="104"/>
      <c r="D76" s="59"/>
      <c r="E76" s="80"/>
      <c r="F76" s="80"/>
      <c r="G76" s="138"/>
      <c r="H76" s="139"/>
      <c r="I76" s="63">
        <f t="shared" si="15"/>
        <v>0</v>
      </c>
      <c r="J76" s="138"/>
      <c r="K76" s="138"/>
      <c r="L76" s="138"/>
      <c r="M76" s="139"/>
      <c r="N76" s="63">
        <f t="shared" si="16"/>
        <v>0</v>
      </c>
      <c r="O76" s="138"/>
      <c r="P76" s="138"/>
      <c r="Q76" s="138"/>
      <c r="R76" s="139"/>
      <c r="S76" s="63">
        <f t="shared" si="17"/>
        <v>0</v>
      </c>
      <c r="T76" s="138"/>
      <c r="U76" s="138"/>
      <c r="V76" s="138"/>
      <c r="W76" s="139"/>
      <c r="X76" s="63">
        <f t="shared" ref="X76:X89" si="19">W76</f>
        <v>0</v>
      </c>
      <c r="Z76" s="85"/>
      <c r="AB76" s="73"/>
    </row>
    <row r="77" spans="1:28" s="8" customFormat="1" ht="15" customHeight="1" x14ac:dyDescent="0.4">
      <c r="A77" s="92"/>
      <c r="B77" s="105"/>
      <c r="C77" s="104"/>
      <c r="D77" s="59"/>
      <c r="E77" s="80"/>
      <c r="F77" s="80"/>
      <c r="G77" s="138"/>
      <c r="H77" s="139"/>
      <c r="I77" s="63">
        <f t="shared" si="15"/>
        <v>0</v>
      </c>
      <c r="J77" s="138"/>
      <c r="K77" s="138"/>
      <c r="L77" s="138"/>
      <c r="M77" s="139"/>
      <c r="N77" s="63">
        <f t="shared" si="16"/>
        <v>0</v>
      </c>
      <c r="O77" s="138"/>
      <c r="P77" s="138"/>
      <c r="Q77" s="138"/>
      <c r="R77" s="139"/>
      <c r="S77" s="63">
        <f t="shared" si="17"/>
        <v>0</v>
      </c>
      <c r="T77" s="138"/>
      <c r="U77" s="138"/>
      <c r="V77" s="138"/>
      <c r="W77" s="138"/>
      <c r="X77" s="61">
        <f t="shared" si="19"/>
        <v>0</v>
      </c>
      <c r="Z77" s="85"/>
      <c r="AB77" s="73"/>
    </row>
    <row r="78" spans="1:28" s="8" customFormat="1" ht="15" customHeight="1" x14ac:dyDescent="0.4">
      <c r="A78" s="92"/>
      <c r="B78" s="105"/>
      <c r="C78" s="104"/>
      <c r="D78" s="59"/>
      <c r="E78" s="80"/>
      <c r="F78" s="80"/>
      <c r="G78" s="138"/>
      <c r="H78" s="139"/>
      <c r="I78" s="63">
        <f t="shared" si="15"/>
        <v>0</v>
      </c>
      <c r="J78" s="138"/>
      <c r="K78" s="138"/>
      <c r="L78" s="138"/>
      <c r="M78" s="139"/>
      <c r="N78" s="63">
        <f t="shared" ref="N78:N85" si="20">M78</f>
        <v>0</v>
      </c>
      <c r="O78" s="138"/>
      <c r="P78" s="138"/>
      <c r="Q78" s="138"/>
      <c r="R78" s="139"/>
      <c r="S78" s="63">
        <f t="shared" si="17"/>
        <v>0</v>
      </c>
      <c r="T78" s="138"/>
      <c r="U78" s="138"/>
      <c r="V78" s="138"/>
      <c r="W78" s="139"/>
      <c r="X78" s="61">
        <f t="shared" si="19"/>
        <v>0</v>
      </c>
      <c r="Z78" s="85"/>
      <c r="AB78" s="73"/>
    </row>
    <row r="79" spans="1:28" s="8" customFormat="1" ht="15" customHeight="1" x14ac:dyDescent="0.4">
      <c r="A79" s="92"/>
      <c r="B79" s="105"/>
      <c r="C79" s="104"/>
      <c r="D79" s="59"/>
      <c r="E79" s="80"/>
      <c r="F79" s="80"/>
      <c r="G79" s="138"/>
      <c r="H79" s="139"/>
      <c r="I79" s="63">
        <f t="shared" si="15"/>
        <v>0</v>
      </c>
      <c r="J79" s="138"/>
      <c r="K79" s="138"/>
      <c r="L79" s="138"/>
      <c r="M79" s="139"/>
      <c r="N79" s="63">
        <f t="shared" si="20"/>
        <v>0</v>
      </c>
      <c r="O79" s="138"/>
      <c r="P79" s="138"/>
      <c r="Q79" s="138"/>
      <c r="R79" s="139"/>
      <c r="S79" s="63">
        <f t="shared" si="17"/>
        <v>0</v>
      </c>
      <c r="T79" s="138"/>
      <c r="U79" s="138"/>
      <c r="V79" s="138"/>
      <c r="W79" s="139"/>
      <c r="X79" s="61">
        <f t="shared" si="19"/>
        <v>0</v>
      </c>
      <c r="Z79" s="85"/>
      <c r="AB79" s="73"/>
    </row>
    <row r="80" spans="1:28" s="8" customFormat="1" ht="15" customHeight="1" x14ac:dyDescent="0.4">
      <c r="A80" s="92"/>
      <c r="B80" s="105"/>
      <c r="C80" s="104"/>
      <c r="D80" s="59"/>
      <c r="E80" s="80"/>
      <c r="F80" s="80"/>
      <c r="G80" s="138"/>
      <c r="H80" s="139"/>
      <c r="I80" s="63">
        <f t="shared" si="15"/>
        <v>0</v>
      </c>
      <c r="J80" s="138"/>
      <c r="K80" s="138"/>
      <c r="L80" s="138"/>
      <c r="M80" s="139"/>
      <c r="N80" s="63">
        <f t="shared" si="20"/>
        <v>0</v>
      </c>
      <c r="O80" s="138"/>
      <c r="P80" s="138"/>
      <c r="Q80" s="138"/>
      <c r="R80" s="139"/>
      <c r="S80" s="63">
        <f t="shared" si="17"/>
        <v>0</v>
      </c>
      <c r="T80" s="138"/>
      <c r="U80" s="138"/>
      <c r="V80" s="138"/>
      <c r="W80" s="139"/>
      <c r="X80" s="61">
        <f t="shared" si="19"/>
        <v>0</v>
      </c>
      <c r="Z80" s="85"/>
      <c r="AB80" s="73"/>
    </row>
    <row r="81" spans="1:31" s="8" customFormat="1" ht="15" customHeight="1" x14ac:dyDescent="0.4">
      <c r="A81" s="92"/>
      <c r="B81" s="105"/>
      <c r="C81" s="104"/>
      <c r="D81" s="59"/>
      <c r="E81" s="80"/>
      <c r="F81" s="80"/>
      <c r="G81" s="138"/>
      <c r="H81" s="139"/>
      <c r="I81" s="63">
        <f t="shared" si="15"/>
        <v>0</v>
      </c>
      <c r="J81" s="138"/>
      <c r="K81" s="138"/>
      <c r="L81" s="138"/>
      <c r="M81" s="139"/>
      <c r="N81" s="63">
        <f t="shared" si="20"/>
        <v>0</v>
      </c>
      <c r="O81" s="138"/>
      <c r="P81" s="138"/>
      <c r="Q81" s="138"/>
      <c r="R81" s="139"/>
      <c r="S81" s="63">
        <f t="shared" si="17"/>
        <v>0</v>
      </c>
      <c r="T81" s="138"/>
      <c r="U81" s="138"/>
      <c r="V81" s="138"/>
      <c r="W81" s="139"/>
      <c r="X81" s="61">
        <f t="shared" si="19"/>
        <v>0</v>
      </c>
      <c r="Z81" s="85"/>
      <c r="AB81" s="73"/>
    </row>
    <row r="82" spans="1:31" s="8" customFormat="1" ht="15" customHeight="1" x14ac:dyDescent="0.4">
      <c r="A82" s="92"/>
      <c r="B82" s="105"/>
      <c r="C82" s="104"/>
      <c r="D82" s="59"/>
      <c r="E82" s="80"/>
      <c r="F82" s="80"/>
      <c r="G82" s="138"/>
      <c r="H82" s="139"/>
      <c r="I82" s="63">
        <f t="shared" si="15"/>
        <v>0</v>
      </c>
      <c r="J82" s="138"/>
      <c r="K82" s="138"/>
      <c r="L82" s="138"/>
      <c r="M82" s="139"/>
      <c r="N82" s="63">
        <f t="shared" si="20"/>
        <v>0</v>
      </c>
      <c r="O82" s="138"/>
      <c r="P82" s="138"/>
      <c r="Q82" s="138"/>
      <c r="R82" s="139"/>
      <c r="S82" s="63">
        <f t="shared" si="17"/>
        <v>0</v>
      </c>
      <c r="T82" s="138"/>
      <c r="U82" s="138"/>
      <c r="V82" s="138"/>
      <c r="W82" s="139"/>
      <c r="X82" s="61">
        <f t="shared" si="19"/>
        <v>0</v>
      </c>
      <c r="Z82" s="85"/>
      <c r="AB82" s="73"/>
    </row>
    <row r="83" spans="1:31" s="8" customFormat="1" ht="15" customHeight="1" x14ac:dyDescent="0.4">
      <c r="A83" s="92"/>
      <c r="B83" s="105"/>
      <c r="C83" s="104"/>
      <c r="D83" s="59"/>
      <c r="E83" s="80"/>
      <c r="F83" s="80"/>
      <c r="G83" s="138"/>
      <c r="H83" s="139"/>
      <c r="I83" s="63">
        <f t="shared" si="15"/>
        <v>0</v>
      </c>
      <c r="J83" s="138"/>
      <c r="K83" s="138"/>
      <c r="L83" s="138"/>
      <c r="M83" s="139"/>
      <c r="N83" s="63">
        <f t="shared" si="20"/>
        <v>0</v>
      </c>
      <c r="O83" s="138"/>
      <c r="P83" s="138"/>
      <c r="Q83" s="138"/>
      <c r="R83" s="139"/>
      <c r="S83" s="63">
        <f t="shared" si="17"/>
        <v>0</v>
      </c>
      <c r="T83" s="138"/>
      <c r="U83" s="138"/>
      <c r="V83" s="138"/>
      <c r="W83" s="139"/>
      <c r="X83" s="61">
        <f t="shared" si="19"/>
        <v>0</v>
      </c>
      <c r="Z83" s="85"/>
      <c r="AB83" s="73"/>
    </row>
    <row r="84" spans="1:31" s="8" customFormat="1" ht="15" customHeight="1" x14ac:dyDescent="0.4">
      <c r="A84" s="92"/>
      <c r="B84" s="105"/>
      <c r="C84" s="104"/>
      <c r="D84" s="59"/>
      <c r="E84" s="80"/>
      <c r="F84" s="80"/>
      <c r="G84" s="138"/>
      <c r="H84" s="139"/>
      <c r="I84" s="63">
        <f t="shared" si="15"/>
        <v>0</v>
      </c>
      <c r="J84" s="138"/>
      <c r="K84" s="138"/>
      <c r="L84" s="138"/>
      <c r="M84" s="139"/>
      <c r="N84" s="63">
        <f t="shared" si="20"/>
        <v>0</v>
      </c>
      <c r="O84" s="138"/>
      <c r="P84" s="138"/>
      <c r="Q84" s="138"/>
      <c r="R84" s="139"/>
      <c r="S84" s="63">
        <f t="shared" si="17"/>
        <v>0</v>
      </c>
      <c r="T84" s="138"/>
      <c r="U84" s="138"/>
      <c r="V84" s="138"/>
      <c r="W84" s="139"/>
      <c r="X84" s="63">
        <f t="shared" si="19"/>
        <v>0</v>
      </c>
      <c r="Z84" s="85"/>
      <c r="AB84" s="73"/>
    </row>
    <row r="85" spans="1:31" s="8" customFormat="1" ht="15" customHeight="1" x14ac:dyDescent="0.4">
      <c r="A85" s="92"/>
      <c r="B85" s="105"/>
      <c r="C85" s="104"/>
      <c r="D85" s="59"/>
      <c r="E85" s="80"/>
      <c r="F85" s="80"/>
      <c r="G85" s="138"/>
      <c r="H85" s="139"/>
      <c r="I85" s="63"/>
      <c r="J85" s="138"/>
      <c r="K85" s="138"/>
      <c r="L85" s="138"/>
      <c r="M85" s="139"/>
      <c r="N85" s="63">
        <f t="shared" si="20"/>
        <v>0</v>
      </c>
      <c r="O85" s="138"/>
      <c r="P85" s="138"/>
      <c r="Q85" s="138"/>
      <c r="R85" s="139"/>
      <c r="S85" s="63">
        <f t="shared" si="17"/>
        <v>0</v>
      </c>
      <c r="T85" s="138"/>
      <c r="U85" s="138"/>
      <c r="V85" s="138"/>
      <c r="W85" s="139"/>
      <c r="X85" s="61">
        <f>W85</f>
        <v>0</v>
      </c>
      <c r="Z85" s="85"/>
      <c r="AB85" s="73"/>
      <c r="AE85" s="106"/>
    </row>
    <row r="86" spans="1:31" s="109" customFormat="1" ht="15" customHeight="1" x14ac:dyDescent="0.4">
      <c r="A86" s="92"/>
      <c r="B86" s="93"/>
      <c r="C86" s="107"/>
      <c r="D86" s="59"/>
      <c r="E86" s="60"/>
      <c r="F86" s="60"/>
      <c r="G86" s="144"/>
      <c r="H86" s="145"/>
      <c r="I86" s="108"/>
      <c r="J86" s="144"/>
      <c r="K86" s="144"/>
      <c r="L86" s="144"/>
      <c r="M86" s="139"/>
      <c r="N86" s="63"/>
      <c r="O86" s="138"/>
      <c r="P86" s="138"/>
      <c r="Q86" s="138"/>
      <c r="R86" s="139"/>
      <c r="S86" s="63">
        <f t="shared" si="17"/>
        <v>0</v>
      </c>
      <c r="T86" s="138"/>
      <c r="U86" s="138"/>
      <c r="V86" s="138"/>
      <c r="W86" s="139"/>
      <c r="X86" s="61">
        <f t="shared" si="19"/>
        <v>0</v>
      </c>
      <c r="Z86" s="85"/>
      <c r="AB86" s="73"/>
    </row>
    <row r="87" spans="1:31" s="109" customFormat="1" ht="15" customHeight="1" x14ac:dyDescent="0.4">
      <c r="A87" s="92"/>
      <c r="B87" s="93"/>
      <c r="C87" s="107"/>
      <c r="D87" s="59"/>
      <c r="E87" s="60"/>
      <c r="F87" s="60"/>
      <c r="G87" s="144"/>
      <c r="H87" s="145"/>
      <c r="I87" s="108"/>
      <c r="J87" s="144"/>
      <c r="K87" s="138"/>
      <c r="L87" s="138"/>
      <c r="M87" s="139"/>
      <c r="N87" s="63">
        <f>M87</f>
        <v>0</v>
      </c>
      <c r="O87" s="138"/>
      <c r="P87" s="138"/>
      <c r="Q87" s="138"/>
      <c r="R87" s="139"/>
      <c r="S87" s="63">
        <f t="shared" si="17"/>
        <v>0</v>
      </c>
      <c r="T87" s="138"/>
      <c r="U87" s="138"/>
      <c r="V87" s="138"/>
      <c r="W87" s="139"/>
      <c r="X87" s="61">
        <f t="shared" si="19"/>
        <v>0</v>
      </c>
      <c r="Z87" s="85"/>
      <c r="AB87" s="73"/>
    </row>
    <row r="88" spans="1:31" s="109" customFormat="1" ht="15" customHeight="1" x14ac:dyDescent="0.4">
      <c r="A88" s="92"/>
      <c r="B88" s="93"/>
      <c r="C88" s="107"/>
      <c r="D88" s="59"/>
      <c r="E88" s="60"/>
      <c r="F88" s="60"/>
      <c r="G88" s="144"/>
      <c r="H88" s="145"/>
      <c r="I88" s="108"/>
      <c r="J88" s="144"/>
      <c r="K88" s="144"/>
      <c r="L88" s="144"/>
      <c r="M88" s="139"/>
      <c r="N88" s="63"/>
      <c r="O88" s="138"/>
      <c r="P88" s="138"/>
      <c r="Q88" s="138"/>
      <c r="R88" s="139"/>
      <c r="S88" s="63">
        <f t="shared" si="17"/>
        <v>0</v>
      </c>
      <c r="T88" s="138"/>
      <c r="U88" s="138"/>
      <c r="V88" s="138"/>
      <c r="W88" s="139"/>
      <c r="X88" s="61">
        <f t="shared" si="19"/>
        <v>0</v>
      </c>
      <c r="Z88" s="85"/>
      <c r="AB88" s="73"/>
    </row>
    <row r="89" spans="1:31" s="109" customFormat="1" ht="15" customHeight="1" x14ac:dyDescent="0.4">
      <c r="A89" s="92"/>
      <c r="B89" s="93"/>
      <c r="C89" s="107"/>
      <c r="D89" s="59"/>
      <c r="E89" s="60"/>
      <c r="F89" s="60"/>
      <c r="G89" s="144"/>
      <c r="H89" s="145"/>
      <c r="I89" s="108"/>
      <c r="J89" s="144"/>
      <c r="K89" s="138"/>
      <c r="L89" s="138"/>
      <c r="M89" s="139"/>
      <c r="N89" s="63">
        <f>M89</f>
        <v>0</v>
      </c>
      <c r="O89" s="138"/>
      <c r="P89" s="138"/>
      <c r="Q89" s="138"/>
      <c r="R89" s="139"/>
      <c r="S89" s="63">
        <f t="shared" si="17"/>
        <v>0</v>
      </c>
      <c r="T89" s="138"/>
      <c r="U89" s="138"/>
      <c r="V89" s="138"/>
      <c r="W89" s="138"/>
      <c r="X89" s="61">
        <f t="shared" si="19"/>
        <v>0</v>
      </c>
      <c r="Z89" s="85"/>
      <c r="AB89" s="73"/>
    </row>
    <row r="90" spans="1:31" s="2" customFormat="1" ht="15" customHeight="1" x14ac:dyDescent="0.4">
      <c r="A90" s="82"/>
      <c r="B90" s="93"/>
      <c r="C90" s="84"/>
      <c r="D90" s="59"/>
      <c r="E90" s="62"/>
      <c r="F90" s="62"/>
      <c r="G90" s="138"/>
      <c r="H90" s="139"/>
      <c r="I90" s="63"/>
      <c r="J90" s="138"/>
      <c r="K90" s="138"/>
      <c r="L90" s="138"/>
      <c r="M90" s="139"/>
      <c r="N90" s="63"/>
      <c r="O90" s="138"/>
      <c r="P90" s="138"/>
      <c r="Q90" s="138"/>
      <c r="R90" s="139"/>
      <c r="S90" s="63"/>
      <c r="T90" s="64"/>
      <c r="U90" s="62"/>
      <c r="V90" s="62"/>
      <c r="W90" s="63"/>
      <c r="X90" s="61"/>
      <c r="Z90" s="85"/>
      <c r="AB90" s="73"/>
    </row>
    <row r="91" spans="1:31" s="2" customFormat="1" ht="15" customHeight="1" x14ac:dyDescent="0.4">
      <c r="A91" s="92"/>
      <c r="B91" s="93"/>
      <c r="C91" s="84"/>
      <c r="D91" s="59"/>
      <c r="E91" s="62"/>
      <c r="F91" s="62"/>
      <c r="G91" s="138"/>
      <c r="H91" s="139"/>
      <c r="I91" s="63">
        <f>H91</f>
        <v>0</v>
      </c>
      <c r="J91" s="138"/>
      <c r="K91" s="138"/>
      <c r="L91" s="138"/>
      <c r="M91" s="139"/>
      <c r="N91" s="63"/>
      <c r="O91" s="138"/>
      <c r="P91" s="138"/>
      <c r="Q91" s="138"/>
      <c r="R91" s="139"/>
      <c r="S91" s="63"/>
      <c r="T91" s="62"/>
      <c r="U91" s="62"/>
      <c r="V91" s="62"/>
      <c r="W91" s="63"/>
      <c r="X91" s="61"/>
      <c r="Z91" s="85"/>
      <c r="AB91" s="73"/>
    </row>
    <row r="92" spans="1:31" s="2" customFormat="1" ht="15" customHeight="1" x14ac:dyDescent="0.4">
      <c r="A92" s="92"/>
      <c r="B92" s="93"/>
      <c r="C92" s="84"/>
      <c r="D92" s="59"/>
      <c r="E92" s="62"/>
      <c r="F92" s="62"/>
      <c r="G92" s="138"/>
      <c r="H92" s="139"/>
      <c r="I92" s="63">
        <f>H92</f>
        <v>0</v>
      </c>
      <c r="J92" s="138"/>
      <c r="K92" s="138"/>
      <c r="L92" s="138"/>
      <c r="M92" s="139"/>
      <c r="N92" s="63"/>
      <c r="O92" s="138"/>
      <c r="P92" s="138"/>
      <c r="Q92" s="138"/>
      <c r="R92" s="139"/>
      <c r="S92" s="63"/>
      <c r="T92" s="62"/>
      <c r="U92" s="62"/>
      <c r="V92" s="62"/>
      <c r="W92" s="63"/>
      <c r="X92" s="61"/>
      <c r="Z92" s="85"/>
      <c r="AB92" s="73"/>
    </row>
    <row r="93" spans="1:31" s="2" customFormat="1" ht="15" customHeight="1" x14ac:dyDescent="0.4">
      <c r="A93" s="82"/>
      <c r="B93" s="93"/>
      <c r="C93" s="84"/>
      <c r="D93" s="59"/>
      <c r="E93" s="60"/>
      <c r="F93" s="60"/>
      <c r="G93" s="144"/>
      <c r="H93" s="145"/>
      <c r="I93" s="86"/>
      <c r="J93" s="144"/>
      <c r="K93" s="144"/>
      <c r="L93" s="144"/>
      <c r="M93" s="145"/>
      <c r="N93" s="86"/>
      <c r="O93" s="144"/>
      <c r="P93" s="144"/>
      <c r="Q93" s="144"/>
      <c r="R93" s="145"/>
      <c r="S93" s="86"/>
      <c r="T93" s="87"/>
      <c r="U93" s="60"/>
      <c r="V93" s="60"/>
      <c r="W93" s="86"/>
      <c r="X93" s="86"/>
      <c r="Z93" s="85"/>
      <c r="AB93" s="73"/>
    </row>
    <row r="94" spans="1:31" s="8" customFormat="1" ht="15" customHeight="1" x14ac:dyDescent="0.4">
      <c r="A94" s="92"/>
      <c r="B94" s="105"/>
      <c r="C94" s="103"/>
      <c r="D94" s="103"/>
      <c r="E94" s="64"/>
      <c r="F94" s="64"/>
      <c r="G94" s="138"/>
      <c r="H94" s="146"/>
      <c r="I94" s="61">
        <f>H94</f>
        <v>0</v>
      </c>
      <c r="J94" s="138"/>
      <c r="K94" s="138"/>
      <c r="L94" s="138"/>
      <c r="M94" s="138"/>
      <c r="N94" s="61">
        <f>M94</f>
        <v>0</v>
      </c>
      <c r="O94" s="138"/>
      <c r="P94" s="138"/>
      <c r="Q94" s="138"/>
      <c r="R94" s="138"/>
      <c r="S94" s="61">
        <f>R94</f>
        <v>0</v>
      </c>
      <c r="T94" s="138"/>
      <c r="U94" s="138"/>
      <c r="V94" s="138"/>
      <c r="W94" s="138"/>
      <c r="X94" s="61">
        <f t="shared" ref="X94" si="21">W94</f>
        <v>0</v>
      </c>
    </row>
    <row r="95" spans="1:31" s="115" customFormat="1" ht="15" customHeight="1" x14ac:dyDescent="0.4">
      <c r="A95" s="82"/>
      <c r="B95" s="110" t="s">
        <v>12</v>
      </c>
      <c r="C95" s="111"/>
      <c r="D95" s="111"/>
      <c r="E95" s="112"/>
      <c r="F95" s="112"/>
      <c r="G95" s="112">
        <f>SUM(G14:G94)</f>
        <v>0</v>
      </c>
      <c r="H95" s="112">
        <f>SUM(H14:H94)</f>
        <v>0</v>
      </c>
      <c r="I95" s="113">
        <f>SUM(I14:I94)</f>
        <v>0</v>
      </c>
      <c r="J95" s="112">
        <f>SUM(J14:J94)</f>
        <v>0</v>
      </c>
      <c r="K95" s="112">
        <f>SUM(K14:K94)</f>
        <v>0</v>
      </c>
      <c r="L95" s="112">
        <f>SUM(L14:L94)</f>
        <v>0</v>
      </c>
      <c r="M95" s="112">
        <f>SUM(M14:M94)</f>
        <v>0</v>
      </c>
      <c r="N95" s="113">
        <f>SUM(N14:N94)</f>
        <v>0</v>
      </c>
      <c r="O95" s="112">
        <f>SUM(O14:O94)</f>
        <v>0</v>
      </c>
      <c r="P95" s="112">
        <f>SUM(P14:P94)</f>
        <v>0</v>
      </c>
      <c r="Q95" s="112">
        <f>SUM(Q14:Q94)</f>
        <v>0</v>
      </c>
      <c r="R95" s="112">
        <f>SUM(R14:R94)</f>
        <v>0</v>
      </c>
      <c r="S95" s="113">
        <f>SUM(S14:S94)</f>
        <v>0</v>
      </c>
      <c r="T95" s="112">
        <f>SUM(T14:T94)</f>
        <v>0</v>
      </c>
      <c r="U95" s="112">
        <f>SUM(U14:U94)</f>
        <v>0</v>
      </c>
      <c r="V95" s="112">
        <f>SUM(V14:V94)</f>
        <v>0</v>
      </c>
      <c r="W95" s="112">
        <f>SUM(W14:W94)</f>
        <v>0</v>
      </c>
      <c r="X95" s="113">
        <f>SUM(X14:X94)</f>
        <v>0</v>
      </c>
      <c r="Y95" s="114"/>
    </row>
    <row r="96" spans="1:31" ht="15" customHeight="1" x14ac:dyDescent="0.35">
      <c r="A96" s="82"/>
      <c r="B96" s="116" t="s">
        <v>13</v>
      </c>
      <c r="C96" s="3"/>
      <c r="D96" s="3"/>
      <c r="E96" s="117"/>
      <c r="F96" s="117"/>
      <c r="G96" s="137"/>
      <c r="H96" s="137"/>
      <c r="I96" s="157">
        <f>+H96</f>
        <v>0</v>
      </c>
      <c r="J96" s="137"/>
      <c r="K96" s="137"/>
      <c r="L96" s="137"/>
      <c r="M96" s="137"/>
      <c r="N96" s="157">
        <f>+M96</f>
        <v>0</v>
      </c>
      <c r="O96" s="137"/>
      <c r="P96" s="137"/>
      <c r="Q96" s="137"/>
      <c r="R96" s="137"/>
      <c r="S96" s="157">
        <f>+R96</f>
        <v>0</v>
      </c>
      <c r="T96" s="137"/>
      <c r="U96" s="137"/>
      <c r="V96" s="137"/>
      <c r="W96" s="137"/>
      <c r="X96" s="157">
        <f>+W96</f>
        <v>0</v>
      </c>
      <c r="Y96" s="118"/>
    </row>
    <row r="97" spans="1:25" ht="15" customHeight="1" x14ac:dyDescent="0.35">
      <c r="A97" s="82"/>
      <c r="B97" s="116" t="s">
        <v>14</v>
      </c>
      <c r="C97" s="3"/>
      <c r="D97" s="3"/>
      <c r="E97" s="117"/>
      <c r="F97" s="117"/>
      <c r="G97" s="137"/>
      <c r="H97" s="137"/>
      <c r="I97" s="157">
        <f>+H97</f>
        <v>0</v>
      </c>
      <c r="J97" s="137"/>
      <c r="K97" s="137"/>
      <c r="L97" s="137"/>
      <c r="M97" s="137"/>
      <c r="N97" s="157">
        <f>+M97</f>
        <v>0</v>
      </c>
      <c r="O97" s="137"/>
      <c r="P97" s="137"/>
      <c r="Q97" s="137"/>
      <c r="R97" s="137"/>
      <c r="S97" s="157">
        <f>+R97</f>
        <v>0</v>
      </c>
      <c r="T97" s="137"/>
      <c r="U97" s="137"/>
      <c r="V97" s="137"/>
      <c r="W97" s="137"/>
      <c r="X97" s="157">
        <f>+W97</f>
        <v>0</v>
      </c>
      <c r="Y97" s="118"/>
    </row>
    <row r="98" spans="1:25" s="115" customFormat="1" ht="15" customHeight="1" x14ac:dyDescent="0.4">
      <c r="A98" s="82"/>
      <c r="B98" s="119" t="s">
        <v>15</v>
      </c>
      <c r="C98" s="111"/>
      <c r="D98" s="111"/>
      <c r="E98" s="112"/>
      <c r="F98" s="112"/>
      <c r="G98" s="112">
        <f>SUM(G95:G97)</f>
        <v>0</v>
      </c>
      <c r="H98" s="112">
        <f>SUM(H95:H97)</f>
        <v>0</v>
      </c>
      <c r="I98" s="113">
        <f t="shared" ref="I98:X98" si="22">SUM(I95:I97)</f>
        <v>0</v>
      </c>
      <c r="J98" s="112">
        <f t="shared" si="22"/>
        <v>0</v>
      </c>
      <c r="K98" s="112">
        <f t="shared" si="22"/>
        <v>0</v>
      </c>
      <c r="L98" s="112">
        <f t="shared" si="22"/>
        <v>0</v>
      </c>
      <c r="M98" s="112">
        <f t="shared" si="22"/>
        <v>0</v>
      </c>
      <c r="N98" s="113">
        <f t="shared" si="22"/>
        <v>0</v>
      </c>
      <c r="O98" s="112">
        <f t="shared" si="22"/>
        <v>0</v>
      </c>
      <c r="P98" s="112">
        <f t="shared" si="22"/>
        <v>0</v>
      </c>
      <c r="Q98" s="112">
        <f>SUM(Q95:Q97)</f>
        <v>0</v>
      </c>
      <c r="R98" s="112">
        <f t="shared" si="22"/>
        <v>0</v>
      </c>
      <c r="S98" s="113">
        <f t="shared" si="22"/>
        <v>0</v>
      </c>
      <c r="T98" s="112">
        <f t="shared" si="22"/>
        <v>0</v>
      </c>
      <c r="U98" s="112">
        <f t="shared" si="22"/>
        <v>0</v>
      </c>
      <c r="V98" s="112">
        <f t="shared" si="22"/>
        <v>0</v>
      </c>
      <c r="W98" s="112">
        <f t="shared" si="22"/>
        <v>0</v>
      </c>
      <c r="X98" s="113">
        <f t="shared" si="22"/>
        <v>0</v>
      </c>
      <c r="Y98" s="114"/>
    </row>
    <row r="99" spans="1:25" s="121" customFormat="1" ht="15" customHeight="1" x14ac:dyDescent="0.35">
      <c r="A99" s="92"/>
      <c r="B99" s="122"/>
      <c r="C99" s="120"/>
      <c r="D99" s="123"/>
      <c r="E99" s="124"/>
      <c r="F99" s="124"/>
      <c r="G99" s="124"/>
      <c r="H99" s="124"/>
      <c r="I99" s="125"/>
      <c r="J99" s="124"/>
      <c r="K99" s="124"/>
      <c r="L99" s="124"/>
      <c r="M99" s="124"/>
      <c r="N99" s="125"/>
      <c r="O99" s="124"/>
      <c r="P99" s="124"/>
      <c r="Q99" s="124"/>
      <c r="R99" s="124"/>
      <c r="S99" s="125"/>
      <c r="T99" s="124"/>
      <c r="U99" s="124"/>
      <c r="V99" s="124"/>
      <c r="W99" s="124"/>
      <c r="X99" s="125"/>
    </row>
    <row r="100" spans="1:25" ht="15" customHeight="1" x14ac:dyDescent="0.35">
      <c r="B100" s="128"/>
      <c r="C100" s="128"/>
      <c r="D100" s="128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</row>
    <row r="101" spans="1:25" ht="15" customHeight="1" x14ac:dyDescent="0.35">
      <c r="A101" s="126"/>
    </row>
    <row r="102" spans="1:25" ht="15" customHeight="1" x14ac:dyDescent="0.35"/>
    <row r="103" spans="1:25" ht="15" customHeight="1" x14ac:dyDescent="0.35">
      <c r="A103" s="126"/>
    </row>
    <row r="104" spans="1:25" ht="15" customHeight="1" x14ac:dyDescent="0.35">
      <c r="W104" s="130"/>
      <c r="X104" s="130"/>
    </row>
    <row r="105" spans="1:25" ht="15" customHeight="1" x14ac:dyDescent="0.35">
      <c r="A105" s="126"/>
      <c r="W105" s="131"/>
      <c r="X105" s="131"/>
    </row>
    <row r="106" spans="1:25" ht="15" customHeight="1" x14ac:dyDescent="0.35">
      <c r="A106" s="126"/>
    </row>
    <row r="107" spans="1:25" ht="15" customHeight="1" x14ac:dyDescent="0.35"/>
    <row r="108" spans="1:25" ht="15" customHeight="1" x14ac:dyDescent="0.35">
      <c r="A108" s="126"/>
    </row>
    <row r="109" spans="1:25" ht="15" customHeight="1" x14ac:dyDescent="0.35"/>
    <row r="110" spans="1:25" ht="15" customHeight="1" x14ac:dyDescent="0.35">
      <c r="A110" s="126"/>
    </row>
    <row r="111" spans="1:25" ht="15" customHeight="1" x14ac:dyDescent="0.35">
      <c r="A111" s="126"/>
      <c r="X111" s="132"/>
    </row>
    <row r="113" spans="1:1" x14ac:dyDescent="0.35">
      <c r="A113" s="126"/>
    </row>
    <row r="115" spans="1:1" x14ac:dyDescent="0.35">
      <c r="A115" s="126"/>
    </row>
    <row r="116" spans="1:1" x14ac:dyDescent="0.35">
      <c r="A116" s="133"/>
    </row>
    <row r="117" spans="1:1" x14ac:dyDescent="0.35">
      <c r="A117" s="126"/>
    </row>
    <row r="118" spans="1:1" x14ac:dyDescent="0.35">
      <c r="A118" s="134"/>
    </row>
    <row r="119" spans="1:1" x14ac:dyDescent="0.35">
      <c r="A119" s="126"/>
    </row>
    <row r="121" spans="1:1" x14ac:dyDescent="0.35">
      <c r="A121" s="126"/>
    </row>
    <row r="122" spans="1:1" x14ac:dyDescent="0.35">
      <c r="A122" s="126"/>
    </row>
    <row r="124" spans="1:1" x14ac:dyDescent="0.35">
      <c r="A124" s="126"/>
    </row>
    <row r="126" spans="1:1" x14ac:dyDescent="0.35">
      <c r="A126" s="126"/>
    </row>
    <row r="127" spans="1:1" x14ac:dyDescent="0.35">
      <c r="A127" s="126"/>
    </row>
    <row r="129" spans="1:1" x14ac:dyDescent="0.35">
      <c r="A129" s="126"/>
    </row>
    <row r="131" spans="1:1" x14ac:dyDescent="0.35">
      <c r="A131" s="126"/>
    </row>
    <row r="132" spans="1:1" x14ac:dyDescent="0.35">
      <c r="A132" s="126"/>
    </row>
    <row r="135" spans="1:1" x14ac:dyDescent="0.35">
      <c r="A135" s="126"/>
    </row>
    <row r="136" spans="1:1" x14ac:dyDescent="0.35">
      <c r="A136" s="126"/>
    </row>
    <row r="137" spans="1:1" ht="13.15" x14ac:dyDescent="0.4">
      <c r="A137" s="127"/>
    </row>
    <row r="139" spans="1:1" x14ac:dyDescent="0.35">
      <c r="A139" s="126"/>
    </row>
    <row r="140" spans="1:1" x14ac:dyDescent="0.35">
      <c r="A140" s="126"/>
    </row>
    <row r="141" spans="1:1" ht="13.15" x14ac:dyDescent="0.4">
      <c r="A141" s="127"/>
    </row>
    <row r="143" spans="1:1" x14ac:dyDescent="0.35">
      <c r="A143" s="75"/>
    </row>
    <row r="144" spans="1:1" x14ac:dyDescent="0.35">
      <c r="A144" s="135"/>
    </row>
    <row r="145" spans="1:1" x14ac:dyDescent="0.35">
      <c r="A145" s="126"/>
    </row>
    <row r="146" spans="1:1" x14ac:dyDescent="0.35">
      <c r="A146" s="126"/>
    </row>
    <row r="147" spans="1:1" x14ac:dyDescent="0.35">
      <c r="A147" s="126"/>
    </row>
    <row r="148" spans="1:1" x14ac:dyDescent="0.35">
      <c r="A148" s="126"/>
    </row>
    <row r="149" spans="1:1" ht="13.15" x14ac:dyDescent="0.4">
      <c r="A149" s="115"/>
    </row>
    <row r="150" spans="1:1" x14ac:dyDescent="0.35">
      <c r="A150" s="126"/>
    </row>
    <row r="151" spans="1:1" x14ac:dyDescent="0.35">
      <c r="A151" s="126"/>
    </row>
    <row r="153" spans="1:1" x14ac:dyDescent="0.35">
      <c r="A153" s="126"/>
    </row>
    <row r="154" spans="1:1" x14ac:dyDescent="0.35">
      <c r="A154" s="126"/>
    </row>
    <row r="155" spans="1:1" ht="13.15" x14ac:dyDescent="0.4">
      <c r="A155" s="115"/>
    </row>
    <row r="156" spans="1:1" x14ac:dyDescent="0.35">
      <c r="A156" s="126"/>
    </row>
    <row r="157" spans="1:1" x14ac:dyDescent="0.35">
      <c r="A157" s="126"/>
    </row>
    <row r="158" spans="1:1" x14ac:dyDescent="0.35">
      <c r="A158" s="66"/>
    </row>
    <row r="159" spans="1:1" x14ac:dyDescent="0.35">
      <c r="A159" s="126"/>
    </row>
    <row r="160" spans="1:1" ht="13.15" x14ac:dyDescent="0.4">
      <c r="A160" s="136"/>
    </row>
    <row r="162" spans="1:1" x14ac:dyDescent="0.35">
      <c r="A162" s="126"/>
    </row>
    <row r="163" spans="1:1" x14ac:dyDescent="0.35">
      <c r="A163" s="126"/>
    </row>
    <row r="164" spans="1:1" ht="13.15" x14ac:dyDescent="0.4">
      <c r="A164" s="136"/>
    </row>
    <row r="165" spans="1:1" x14ac:dyDescent="0.35">
      <c r="A165" s="126"/>
    </row>
    <row r="166" spans="1:1" ht="13.15" x14ac:dyDescent="0.4">
      <c r="A166" s="136"/>
    </row>
    <row r="167" spans="1:1" ht="13.15" x14ac:dyDescent="0.4">
      <c r="A167" s="136"/>
    </row>
    <row r="168" spans="1:1" ht="13.15" x14ac:dyDescent="0.4">
      <c r="A168" s="136"/>
    </row>
    <row r="169" spans="1:1" ht="13.15" x14ac:dyDescent="0.4">
      <c r="A169" s="136"/>
    </row>
    <row r="170" spans="1:1" ht="13.15" x14ac:dyDescent="0.4">
      <c r="A170" s="136"/>
    </row>
    <row r="171" spans="1:1" ht="13.15" x14ac:dyDescent="0.4">
      <c r="A171" s="136"/>
    </row>
    <row r="172" spans="1:1" x14ac:dyDescent="0.35">
      <c r="A172" s="126"/>
    </row>
    <row r="173" spans="1:1" x14ac:dyDescent="0.35">
      <c r="A173" s="126"/>
    </row>
    <row r="174" spans="1:1" x14ac:dyDescent="0.35">
      <c r="A174" s="126"/>
    </row>
    <row r="175" spans="1:1" x14ac:dyDescent="0.35">
      <c r="A175" s="126"/>
    </row>
    <row r="176" spans="1:1" x14ac:dyDescent="0.35">
      <c r="A176" s="126"/>
    </row>
    <row r="177" spans="1:1" x14ac:dyDescent="0.35">
      <c r="A177" s="126"/>
    </row>
    <row r="178" spans="1:1" x14ac:dyDescent="0.35">
      <c r="A178" s="126"/>
    </row>
    <row r="179" spans="1:1" x14ac:dyDescent="0.35">
      <c r="A179" s="126"/>
    </row>
  </sheetData>
  <pageMargins left="0.25" right="0.25" top="0.75" bottom="0.75" header="0.3" footer="0.3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Debt</vt:lpstr>
      <vt:lpstr>Debt!Linking_1</vt:lpstr>
      <vt:lpstr>Debt!Print_Area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dcterms:created xsi:type="dcterms:W3CDTF">2026-01-10T15:46:57Z</dcterms:created>
  <dcterms:modified xsi:type="dcterms:W3CDTF">2026-01-10T22:15:49Z</dcterms:modified>
</cp:coreProperties>
</file>