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Code\ib-bench\eval\tasks\e-018\"/>
    </mc:Choice>
  </mc:AlternateContent>
  <xr:revisionPtr revIDLastSave="0" documentId="13_ncr:1_{81D71902-AC94-46BF-A873-A2A10DEC318F}" xr6:coauthVersionLast="47" xr6:coauthVersionMax="47" xr10:uidLastSave="{00000000-0000-0000-0000-000000000000}"/>
  <bookViews>
    <workbookView xWindow="-98" yWindow="353" windowWidth="28996" windowHeight="15944" firstSheet="1" activeTab="3" xr2:uid="{00000000-000D-0000-FFFF-FFFF00000000}"/>
  </bookViews>
  <sheets>
    <sheet name="Output" sheetId="19" r:id="rId1"/>
    <sheet name="Summary" sheetId="21" r:id="rId2"/>
    <sheet name="P&amp;L" sheetId="15" r:id="rId3"/>
    <sheet name="BS &amp; CFS" sheetId="16" r:id="rId4"/>
    <sheet name="RevBuild Calcs" sheetId="17" r:id="rId5"/>
    <sheet name="FS Calcs" sheetId="18" r:id="rId6"/>
    <sheet name="Debt Calcs" sheetId="20" r:id="rId7"/>
    <sheet name="Quarterly" sheetId="23" r:id="rId8"/>
    <sheet name="Reference" sheetId="22" r:id="rId9"/>
  </sheets>
  <definedNames>
    <definedName name="_MailAutoSig" localSheetId="2">'P&amp;L'!$I$13</definedName>
    <definedName name="Case">Output!$C$6</definedName>
    <definedName name="CIQWBGuid" hidden="1">"50a4b029-c69e-4202-9829-f4b900845e90"</definedName>
    <definedName name="Circ">Output!$C$7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3">'BS &amp; CFS'!$A$1:$T$123</definedName>
    <definedName name="_xlnm.Print_Area" localSheetId="2">'P&amp;L'!$A$1:$T$93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16" l="1"/>
  <c r="K53" i="16"/>
  <c r="L53" i="16" s="1"/>
  <c r="M53" i="16" s="1"/>
  <c r="N53" i="16" s="1"/>
  <c r="I22" i="19" l="1"/>
  <c r="F29" i="21"/>
  <c r="F30" i="21" s="1"/>
  <c r="E29" i="21"/>
  <c r="E30" i="21" s="1"/>
  <c r="F25" i="21"/>
  <c r="G25" i="21" s="1"/>
  <c r="H25" i="21" s="1"/>
  <c r="I25" i="21" s="1"/>
  <c r="G29" i="21"/>
  <c r="G30" i="21" s="1"/>
  <c r="H29" i="21"/>
  <c r="H30" i="21" s="1"/>
  <c r="I29" i="21"/>
  <c r="I30" i="21" s="1"/>
  <c r="P19" i="19"/>
  <c r="F72" i="15"/>
  <c r="G72" i="15"/>
  <c r="H72" i="15"/>
  <c r="I72" i="15"/>
  <c r="E72" i="15"/>
  <c r="P18" i="19"/>
  <c r="L16" i="19" l="1"/>
  <c r="M16" i="19" s="1"/>
  <c r="I74" i="15"/>
  <c r="I76" i="15" s="1"/>
  <c r="H74" i="15"/>
  <c r="H76" i="15" s="1"/>
  <c r="D23" i="19"/>
  <c r="D22" i="19"/>
  <c r="I37" i="18"/>
  <c r="H37" i="18"/>
  <c r="F10" i="18"/>
  <c r="G10" i="18"/>
  <c r="H10" i="18"/>
  <c r="I10" i="18"/>
  <c r="E10" i="18"/>
  <c r="F9" i="18"/>
  <c r="G9" i="18"/>
  <c r="H9" i="18"/>
  <c r="I9" i="18"/>
  <c r="E9" i="18"/>
  <c r="E7" i="18"/>
  <c r="F7" i="18"/>
  <c r="G7" i="18"/>
  <c r="H7" i="18"/>
  <c r="I7" i="18"/>
  <c r="E8" i="18"/>
  <c r="F8" i="18"/>
  <c r="G8" i="18"/>
  <c r="H8" i="18"/>
  <c r="I8" i="18"/>
  <c r="F6" i="18"/>
  <c r="G6" i="18"/>
  <c r="H6" i="18"/>
  <c r="I6" i="18"/>
  <c r="E6" i="18"/>
  <c r="K78" i="17"/>
  <c r="L78" i="17"/>
  <c r="M78" i="17"/>
  <c r="N78" i="17"/>
  <c r="O78" i="17"/>
  <c r="P78" i="17"/>
  <c r="Q78" i="17"/>
  <c r="R78" i="17"/>
  <c r="S78" i="17"/>
  <c r="J78" i="17"/>
  <c r="E18" i="23"/>
  <c r="E17" i="23"/>
  <c r="K22" i="17"/>
  <c r="L22" i="17" s="1"/>
  <c r="M22" i="17" s="1"/>
  <c r="N22" i="17" s="1"/>
  <c r="O22" i="17" s="1"/>
  <c r="P22" i="17" s="1"/>
  <c r="Q22" i="17" s="1"/>
  <c r="R22" i="17" s="1"/>
  <c r="S22" i="17" s="1"/>
  <c r="G20" i="22"/>
  <c r="H20" i="22"/>
  <c r="G21" i="22"/>
  <c r="H21" i="22"/>
  <c r="G29" i="22"/>
  <c r="H29" i="22"/>
  <c r="G30" i="22"/>
  <c r="H30" i="22"/>
  <c r="F30" i="22"/>
  <c r="E30" i="22"/>
  <c r="F29" i="22"/>
  <c r="E29" i="22"/>
  <c r="E21" i="22"/>
  <c r="E20" i="22"/>
  <c r="F21" i="22"/>
  <c r="F20" i="22"/>
  <c r="E33" i="22"/>
  <c r="E133" i="23"/>
  <c r="E137" i="23" s="1"/>
  <c r="E121" i="23"/>
  <c r="E116" i="23"/>
  <c r="E93" i="23"/>
  <c r="E94" i="23" s="1"/>
  <c r="E96" i="23" s="1"/>
  <c r="E90" i="23"/>
  <c r="E91" i="23" s="1"/>
  <c r="E87" i="23"/>
  <c r="E88" i="23" s="1"/>
  <c r="E83" i="23"/>
  <c r="E78" i="23"/>
  <c r="E79" i="23" s="1"/>
  <c r="E73" i="23"/>
  <c r="E65" i="23"/>
  <c r="E85" i="23" s="1"/>
  <c r="E57" i="23"/>
  <c r="E36" i="23"/>
  <c r="B21" i="23"/>
  <c r="B22" i="23"/>
  <c r="B24" i="23"/>
  <c r="B25" i="23"/>
  <c r="B26" i="23"/>
  <c r="B27" i="23"/>
  <c r="B28" i="23"/>
  <c r="B29" i="23"/>
  <c r="B20" i="23"/>
  <c r="E15" i="23"/>
  <c r="E31" i="23" s="1"/>
  <c r="E11" i="23"/>
  <c r="I12" i="21"/>
  <c r="I13" i="21"/>
  <c r="H13" i="21"/>
  <c r="H12" i="21"/>
  <c r="F8" i="21"/>
  <c r="G8" i="21"/>
  <c r="H8" i="21"/>
  <c r="I8" i="21"/>
  <c r="U8" i="21" s="1"/>
  <c r="E8" i="21"/>
  <c r="E6" i="21"/>
  <c r="F6" i="21"/>
  <c r="G6" i="21"/>
  <c r="H6" i="21"/>
  <c r="I6" i="21"/>
  <c r="U6" i="21" s="1"/>
  <c r="E7" i="21"/>
  <c r="F7" i="21"/>
  <c r="G7" i="21"/>
  <c r="H7" i="21"/>
  <c r="I7" i="21"/>
  <c r="U7" i="21" s="1"/>
  <c r="B6" i="21"/>
  <c r="B7" i="21"/>
  <c r="B5" i="21"/>
  <c r="F5" i="21"/>
  <c r="F9" i="21" s="1"/>
  <c r="G5" i="21"/>
  <c r="G9" i="21" s="1"/>
  <c r="G10" i="21" s="1"/>
  <c r="H5" i="21"/>
  <c r="H9" i="21" s="1"/>
  <c r="I5" i="21"/>
  <c r="E5" i="21"/>
  <c r="F3" i="21"/>
  <c r="G3" i="21" s="1"/>
  <c r="H3" i="21" s="1"/>
  <c r="I3" i="21" s="1"/>
  <c r="J3" i="21" s="1"/>
  <c r="K3" i="21" s="1"/>
  <c r="L3" i="21" s="1"/>
  <c r="M3" i="21" s="1"/>
  <c r="N3" i="21" s="1"/>
  <c r="O3" i="21" s="1"/>
  <c r="P3" i="21" s="1"/>
  <c r="Q3" i="21" s="1"/>
  <c r="R3" i="21" s="1"/>
  <c r="S3" i="21" s="1"/>
  <c r="D20" i="19"/>
  <c r="I9" i="21" l="1"/>
  <c r="U5" i="21"/>
  <c r="E9" i="21"/>
  <c r="D24" i="19"/>
  <c r="D27" i="19" s="1"/>
  <c r="F10" i="21"/>
  <c r="H10" i="21"/>
  <c r="E38" i="23"/>
  <c r="E40" i="23" s="1"/>
  <c r="E32" i="23"/>
  <c r="E16" i="23"/>
  <c r="I74" i="16"/>
  <c r="I10" i="21" l="1"/>
  <c r="U9" i="21"/>
  <c r="F50" i="15"/>
  <c r="G50" i="15"/>
  <c r="H50" i="15"/>
  <c r="I50" i="15"/>
  <c r="F51" i="15"/>
  <c r="G51" i="15"/>
  <c r="H51" i="15"/>
  <c r="I51" i="15"/>
  <c r="F52" i="15"/>
  <c r="F65" i="15" s="1"/>
  <c r="G52" i="15"/>
  <c r="G65" i="15" s="1"/>
  <c r="H52" i="15"/>
  <c r="H65" i="15" s="1"/>
  <c r="I52" i="15"/>
  <c r="I65" i="15" s="1"/>
  <c r="J52" i="15"/>
  <c r="J65" i="15" s="1"/>
  <c r="K52" i="15"/>
  <c r="K65" i="15" s="1"/>
  <c r="L52" i="15"/>
  <c r="L65" i="15" s="1"/>
  <c r="M52" i="15"/>
  <c r="M65" i="15" s="1"/>
  <c r="N52" i="15"/>
  <c r="N65" i="15" s="1"/>
  <c r="O52" i="15"/>
  <c r="O65" i="15" s="1"/>
  <c r="P52" i="15"/>
  <c r="P65" i="15" s="1"/>
  <c r="Q52" i="15"/>
  <c r="Q65" i="15" s="1"/>
  <c r="R52" i="15"/>
  <c r="R65" i="15" s="1"/>
  <c r="S52" i="15"/>
  <c r="S65" i="15" s="1"/>
  <c r="F53" i="15"/>
  <c r="G53" i="15"/>
  <c r="H53" i="15"/>
  <c r="I53" i="15"/>
  <c r="F54" i="15"/>
  <c r="F66" i="15" s="1"/>
  <c r="G54" i="15"/>
  <c r="G66" i="15" s="1"/>
  <c r="H54" i="15"/>
  <c r="H66" i="15" s="1"/>
  <c r="I54" i="15"/>
  <c r="I66" i="15" s="1"/>
  <c r="F55" i="15"/>
  <c r="F67" i="15" s="1"/>
  <c r="G55" i="15"/>
  <c r="G67" i="15" s="1"/>
  <c r="H55" i="15"/>
  <c r="H67" i="15" s="1"/>
  <c r="I55" i="15"/>
  <c r="I67" i="15" s="1"/>
  <c r="J55" i="15"/>
  <c r="J67" i="15" s="1"/>
  <c r="K55" i="15"/>
  <c r="K67" i="15" s="1"/>
  <c r="L55" i="15"/>
  <c r="L67" i="15" s="1"/>
  <c r="M55" i="15"/>
  <c r="M67" i="15" s="1"/>
  <c r="N55" i="15"/>
  <c r="N67" i="15" s="1"/>
  <c r="O55" i="15"/>
  <c r="O67" i="15" s="1"/>
  <c r="P55" i="15"/>
  <c r="P67" i="15" s="1"/>
  <c r="Q55" i="15"/>
  <c r="Q67" i="15" s="1"/>
  <c r="R55" i="15"/>
  <c r="R67" i="15" s="1"/>
  <c r="S55" i="15"/>
  <c r="S67" i="15" s="1"/>
  <c r="E55" i="15"/>
  <c r="E67" i="15" s="1"/>
  <c r="E54" i="15"/>
  <c r="E66" i="15" s="1"/>
  <c r="E53" i="15"/>
  <c r="E52" i="15"/>
  <c r="E65" i="15" s="1"/>
  <c r="E51" i="15"/>
  <c r="E50" i="15"/>
  <c r="F47" i="16"/>
  <c r="G47" i="16"/>
  <c r="H47" i="16"/>
  <c r="I47" i="16"/>
  <c r="E47" i="16"/>
  <c r="I67" i="16"/>
  <c r="K25" i="16"/>
  <c r="L25" i="16"/>
  <c r="M25" i="16"/>
  <c r="N25" i="16"/>
  <c r="O25" i="16"/>
  <c r="P25" i="16"/>
  <c r="Q25" i="16"/>
  <c r="R25" i="16"/>
  <c r="S25" i="16"/>
  <c r="J25" i="16"/>
  <c r="J62" i="20"/>
  <c r="J63" i="20" s="1"/>
  <c r="J29" i="20" s="1"/>
  <c r="I70" i="20"/>
  <c r="K42" i="20"/>
  <c r="L42" i="20"/>
  <c r="M42" i="20"/>
  <c r="N42" i="20"/>
  <c r="O42" i="20"/>
  <c r="P42" i="20"/>
  <c r="Q42" i="20"/>
  <c r="R42" i="20"/>
  <c r="S42" i="20"/>
  <c r="J42" i="20"/>
  <c r="K33" i="20"/>
  <c r="L33" i="20" s="1"/>
  <c r="M33" i="20" s="1"/>
  <c r="J44" i="15"/>
  <c r="J75" i="16" s="1"/>
  <c r="K44" i="15"/>
  <c r="K75" i="16" s="1"/>
  <c r="L44" i="15"/>
  <c r="L75" i="16" s="1"/>
  <c r="M44" i="15"/>
  <c r="M75" i="16" s="1"/>
  <c r="N44" i="15"/>
  <c r="N75" i="16" s="1"/>
  <c r="O44" i="15"/>
  <c r="O75" i="16" s="1"/>
  <c r="P44" i="15"/>
  <c r="P75" i="16" s="1"/>
  <c r="Q44" i="15"/>
  <c r="Q75" i="16" s="1"/>
  <c r="R44" i="15"/>
  <c r="R75" i="16" s="1"/>
  <c r="S44" i="15"/>
  <c r="S75" i="16" s="1"/>
  <c r="I63" i="16"/>
  <c r="I77" i="16"/>
  <c r="F41" i="16"/>
  <c r="F42" i="16" s="1"/>
  <c r="G41" i="16"/>
  <c r="G42" i="16" s="1"/>
  <c r="H41" i="16"/>
  <c r="H42" i="16" s="1"/>
  <c r="I41" i="16"/>
  <c r="I42" i="16" s="1"/>
  <c r="E41" i="16"/>
  <c r="E42" i="16" s="1"/>
  <c r="I73" i="16"/>
  <c r="I76" i="16"/>
  <c r="I75" i="16"/>
  <c r="I69" i="16"/>
  <c r="I68" i="16"/>
  <c r="I62" i="16"/>
  <c r="I59" i="16"/>
  <c r="I58" i="16"/>
  <c r="I57" i="16"/>
  <c r="K83" i="18"/>
  <c r="L83" i="18" s="1"/>
  <c r="M83" i="18" s="1"/>
  <c r="N83" i="18" s="1"/>
  <c r="O83" i="18" s="1"/>
  <c r="P83" i="18" s="1"/>
  <c r="Q83" i="18" s="1"/>
  <c r="R83" i="18" s="1"/>
  <c r="S83" i="18" s="1"/>
  <c r="K77" i="18"/>
  <c r="L77" i="18" s="1"/>
  <c r="M77" i="18" s="1"/>
  <c r="N77" i="18" s="1"/>
  <c r="O77" i="18" s="1"/>
  <c r="P77" i="18" s="1"/>
  <c r="Q77" i="18" s="1"/>
  <c r="R77" i="18" s="1"/>
  <c r="S77" i="18" s="1"/>
  <c r="K66" i="18"/>
  <c r="L66" i="18" s="1"/>
  <c r="M66" i="18" s="1"/>
  <c r="N66" i="18" s="1"/>
  <c r="O66" i="18" s="1"/>
  <c r="P66" i="18" s="1"/>
  <c r="Q66" i="18" s="1"/>
  <c r="R66" i="18" s="1"/>
  <c r="S66" i="18" s="1"/>
  <c r="K55" i="18"/>
  <c r="L55" i="18" s="1"/>
  <c r="M55" i="18" s="1"/>
  <c r="N55" i="18" s="1"/>
  <c r="O55" i="18" s="1"/>
  <c r="P55" i="18" s="1"/>
  <c r="Q55" i="18" s="1"/>
  <c r="R55" i="18" s="1"/>
  <c r="S55" i="18" s="1"/>
  <c r="K45" i="18"/>
  <c r="L45" i="18" s="1"/>
  <c r="M45" i="18" s="1"/>
  <c r="N45" i="18" s="1"/>
  <c r="O45" i="18" s="1"/>
  <c r="P45" i="18" s="1"/>
  <c r="Q45" i="18" s="1"/>
  <c r="R45" i="18" s="1"/>
  <c r="S45" i="18" s="1"/>
  <c r="F7" i="20"/>
  <c r="G7" i="20"/>
  <c r="H7" i="20"/>
  <c r="I7" i="20"/>
  <c r="I40" i="20" s="1"/>
  <c r="J38" i="20" s="1"/>
  <c r="E7" i="20"/>
  <c r="I106" i="16"/>
  <c r="I71" i="16" s="1"/>
  <c r="I118" i="16"/>
  <c r="I79" i="16" s="1"/>
  <c r="E14" i="20"/>
  <c r="F14" i="20"/>
  <c r="G14" i="20"/>
  <c r="H14" i="20"/>
  <c r="I14" i="20"/>
  <c r="F13" i="20"/>
  <c r="G13" i="20"/>
  <c r="H13" i="20"/>
  <c r="I13" i="20"/>
  <c r="I57" i="20" s="1"/>
  <c r="J55" i="20" s="1"/>
  <c r="E13" i="20"/>
  <c r="E9" i="20"/>
  <c r="F9" i="20"/>
  <c r="G9" i="20"/>
  <c r="H9" i="20"/>
  <c r="I9" i="20"/>
  <c r="E10" i="20"/>
  <c r="F10" i="20"/>
  <c r="G10" i="20"/>
  <c r="H10" i="20"/>
  <c r="I10" i="20"/>
  <c r="I52" i="20" s="1"/>
  <c r="F8" i="20"/>
  <c r="G8" i="20"/>
  <c r="H8" i="20"/>
  <c r="I8" i="20"/>
  <c r="I46" i="20" s="1"/>
  <c r="E8" i="20"/>
  <c r="G82" i="18"/>
  <c r="H82" i="18"/>
  <c r="I82" i="18"/>
  <c r="J82" i="18" s="1"/>
  <c r="J45" i="15" s="1"/>
  <c r="J76" i="16" s="1"/>
  <c r="F82" i="18"/>
  <c r="G81" i="18"/>
  <c r="H81" i="18"/>
  <c r="I81" i="18"/>
  <c r="F81" i="18"/>
  <c r="K42" i="15"/>
  <c r="L42" i="15" s="1"/>
  <c r="M42" i="15" s="1"/>
  <c r="N42" i="15" s="1"/>
  <c r="O42" i="15" s="1"/>
  <c r="P42" i="15" s="1"/>
  <c r="Q42" i="15" s="1"/>
  <c r="R42" i="15" s="1"/>
  <c r="S42" i="15" s="1"/>
  <c r="K41" i="15"/>
  <c r="G98" i="18"/>
  <c r="H98" i="18"/>
  <c r="I98" i="18"/>
  <c r="F98" i="18"/>
  <c r="G88" i="18"/>
  <c r="G87" i="18"/>
  <c r="F88" i="18"/>
  <c r="F87" i="18"/>
  <c r="J91" i="18"/>
  <c r="H96" i="18"/>
  <c r="I96" i="18"/>
  <c r="G96" i="18"/>
  <c r="H95" i="18"/>
  <c r="I95" i="18"/>
  <c r="G95" i="18"/>
  <c r="F93" i="18"/>
  <c r="G93" i="18"/>
  <c r="I93" i="18"/>
  <c r="H93" i="18"/>
  <c r="J87" i="18"/>
  <c r="K87" i="18"/>
  <c r="L87" i="18"/>
  <c r="M87" i="18"/>
  <c r="N87" i="18"/>
  <c r="O87" i="18"/>
  <c r="P87" i="18"/>
  <c r="Q87" i="18"/>
  <c r="R87" i="18"/>
  <c r="S87" i="18"/>
  <c r="J88" i="18"/>
  <c r="J99" i="18" s="1"/>
  <c r="K88" i="18"/>
  <c r="K99" i="18" s="1"/>
  <c r="L88" i="18"/>
  <c r="L99" i="18" s="1"/>
  <c r="M88" i="18"/>
  <c r="M99" i="18" s="1"/>
  <c r="N88" i="18"/>
  <c r="N99" i="18" s="1"/>
  <c r="O88" i="18"/>
  <c r="O99" i="18" s="1"/>
  <c r="P88" i="18"/>
  <c r="P99" i="18" s="1"/>
  <c r="Q88" i="18"/>
  <c r="Q99" i="18" s="1"/>
  <c r="R88" i="18"/>
  <c r="R99" i="18" s="1"/>
  <c r="S88" i="18"/>
  <c r="S99" i="18" s="1"/>
  <c r="I87" i="18"/>
  <c r="I88" i="18"/>
  <c r="H88" i="18"/>
  <c r="H87" i="18"/>
  <c r="J31" i="15"/>
  <c r="K31" i="15"/>
  <c r="L31" i="15"/>
  <c r="M31" i="15"/>
  <c r="N31" i="15"/>
  <c r="O31" i="15"/>
  <c r="P31" i="15"/>
  <c r="Q31" i="15"/>
  <c r="R31" i="15"/>
  <c r="S31" i="15"/>
  <c r="F107" i="18"/>
  <c r="G107" i="18"/>
  <c r="H107" i="18"/>
  <c r="I107" i="18"/>
  <c r="F108" i="18"/>
  <c r="G108" i="18"/>
  <c r="H108" i="18"/>
  <c r="I108" i="18"/>
  <c r="E108" i="18"/>
  <c r="E107" i="18"/>
  <c r="S54" i="15"/>
  <c r="S66" i="15" s="1"/>
  <c r="F104" i="18"/>
  <c r="G104" i="18"/>
  <c r="H104" i="18"/>
  <c r="I104" i="18"/>
  <c r="E104" i="18"/>
  <c r="I96" i="17"/>
  <c r="H96" i="17"/>
  <c r="F4" i="20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J31" i="16"/>
  <c r="K31" i="16" s="1"/>
  <c r="L31" i="16" s="1"/>
  <c r="M31" i="16" s="1"/>
  <c r="N31" i="16" s="1"/>
  <c r="O31" i="16" s="1"/>
  <c r="P31" i="16" s="1"/>
  <c r="Q31" i="16" s="1"/>
  <c r="R31" i="16" s="1"/>
  <c r="S31" i="16" s="1"/>
  <c r="J18" i="15"/>
  <c r="J62" i="16" s="1"/>
  <c r="I90" i="17"/>
  <c r="I93" i="17" s="1"/>
  <c r="H90" i="17"/>
  <c r="H33" i="18" s="1"/>
  <c r="F84" i="18"/>
  <c r="G84" i="18"/>
  <c r="H80" i="18" s="1"/>
  <c r="H84" i="18"/>
  <c r="I80" i="18" s="1"/>
  <c r="I84" i="18"/>
  <c r="J80" i="18" s="1"/>
  <c r="E84" i="18"/>
  <c r="F80" i="18" s="1"/>
  <c r="K44" i="18"/>
  <c r="K16" i="15" s="1"/>
  <c r="L44" i="18"/>
  <c r="L16" i="15" s="1"/>
  <c r="M44" i="18"/>
  <c r="M16" i="15" s="1"/>
  <c r="N44" i="18"/>
  <c r="N16" i="15" s="1"/>
  <c r="O44" i="18"/>
  <c r="O16" i="15" s="1"/>
  <c r="P44" i="18"/>
  <c r="P16" i="15" s="1"/>
  <c r="Q44" i="18"/>
  <c r="Q16" i="15" s="1"/>
  <c r="R44" i="18"/>
  <c r="R16" i="15" s="1"/>
  <c r="S44" i="18"/>
  <c r="S16" i="15" s="1"/>
  <c r="J44" i="18"/>
  <c r="J16" i="15" s="1"/>
  <c r="I49" i="18"/>
  <c r="H49" i="18"/>
  <c r="F46" i="18"/>
  <c r="G41" i="18" s="1"/>
  <c r="G46" i="18"/>
  <c r="H41" i="18" s="1"/>
  <c r="H46" i="18"/>
  <c r="I41" i="18" s="1"/>
  <c r="I46" i="18"/>
  <c r="J41" i="18" s="1"/>
  <c r="E46" i="18"/>
  <c r="F41" i="18" s="1"/>
  <c r="K43" i="18"/>
  <c r="L43" i="18" s="1"/>
  <c r="M43" i="18" s="1"/>
  <c r="N43" i="18" s="1"/>
  <c r="O43" i="18" s="1"/>
  <c r="P43" i="18" s="1"/>
  <c r="Q43" i="18" s="1"/>
  <c r="R43" i="18" s="1"/>
  <c r="S43" i="18" s="1"/>
  <c r="I60" i="18"/>
  <c r="H60" i="18"/>
  <c r="K34" i="18"/>
  <c r="L34" i="18" s="1"/>
  <c r="M34" i="18" s="1"/>
  <c r="N34" i="18" s="1"/>
  <c r="O34" i="18" s="1"/>
  <c r="P34" i="18" s="1"/>
  <c r="Q34" i="18" s="1"/>
  <c r="R34" i="18" s="1"/>
  <c r="S34" i="18" s="1"/>
  <c r="H31" i="18"/>
  <c r="I31" i="18"/>
  <c r="G76" i="18"/>
  <c r="H76" i="18"/>
  <c r="I76" i="18"/>
  <c r="F76" i="18"/>
  <c r="F78" i="18"/>
  <c r="G74" i="18" s="1"/>
  <c r="G78" i="18"/>
  <c r="H74" i="18" s="1"/>
  <c r="H78" i="18"/>
  <c r="I74" i="18" s="1"/>
  <c r="I78" i="18"/>
  <c r="J74" i="18" s="1"/>
  <c r="E78" i="18"/>
  <c r="F74" i="18" s="1"/>
  <c r="I71" i="18"/>
  <c r="H71" i="18"/>
  <c r="F67" i="18"/>
  <c r="G62" i="18" s="1"/>
  <c r="G67" i="18"/>
  <c r="H62" i="18" s="1"/>
  <c r="H67" i="18"/>
  <c r="I62" i="18" s="1"/>
  <c r="I67" i="18"/>
  <c r="J62" i="18" s="1"/>
  <c r="E67" i="18"/>
  <c r="F62" i="18" s="1"/>
  <c r="F23" i="18"/>
  <c r="G23" i="18"/>
  <c r="H23" i="18"/>
  <c r="I23" i="18"/>
  <c r="E23" i="18"/>
  <c r="I101" i="16"/>
  <c r="I65" i="16" s="1"/>
  <c r="L41" i="15" l="1"/>
  <c r="K31" i="19"/>
  <c r="H93" i="17"/>
  <c r="I33" i="18"/>
  <c r="K54" i="15"/>
  <c r="K66" i="15" s="1"/>
  <c r="Q54" i="15"/>
  <c r="Q66" i="15" s="1"/>
  <c r="J54" i="15"/>
  <c r="J66" i="15" s="1"/>
  <c r="P54" i="15"/>
  <c r="P66" i="15" s="1"/>
  <c r="O54" i="15"/>
  <c r="O66" i="15" s="1"/>
  <c r="R54" i="15"/>
  <c r="R66" i="15" s="1"/>
  <c r="N54" i="15"/>
  <c r="N66" i="15" s="1"/>
  <c r="M54" i="15"/>
  <c r="M66" i="15" s="1"/>
  <c r="L54" i="15"/>
  <c r="L66" i="15" s="1"/>
  <c r="J53" i="15"/>
  <c r="J28" i="20"/>
  <c r="J74" i="16"/>
  <c r="I70" i="16"/>
  <c r="I64" i="20"/>
  <c r="J61" i="20" s="1"/>
  <c r="K62" i="20"/>
  <c r="J68" i="20"/>
  <c r="J50" i="20"/>
  <c r="J44" i="20"/>
  <c r="N33" i="20"/>
  <c r="I78" i="16"/>
  <c r="H101" i="18"/>
  <c r="G101" i="18"/>
  <c r="I101" i="18"/>
  <c r="K82" i="18"/>
  <c r="K28" i="20" s="1"/>
  <c r="F86" i="18"/>
  <c r="F99" i="18"/>
  <c r="H99" i="18"/>
  <c r="I99" i="18"/>
  <c r="G99" i="18"/>
  <c r="N59" i="16"/>
  <c r="O59" i="16"/>
  <c r="M59" i="16"/>
  <c r="L59" i="16"/>
  <c r="J59" i="16"/>
  <c r="S59" i="16"/>
  <c r="K59" i="16"/>
  <c r="R59" i="16"/>
  <c r="Q59" i="16"/>
  <c r="P59" i="16"/>
  <c r="I122" i="16"/>
  <c r="F83" i="18"/>
  <c r="H83" i="18"/>
  <c r="I83" i="18"/>
  <c r="G80" i="18"/>
  <c r="G83" i="18" s="1"/>
  <c r="G86" i="18"/>
  <c r="K91" i="18"/>
  <c r="L91" i="18" s="1"/>
  <c r="J92" i="18"/>
  <c r="J93" i="18" s="1"/>
  <c r="J98" i="18" s="1"/>
  <c r="J35" i="15" s="1"/>
  <c r="J81" i="18" s="1"/>
  <c r="J84" i="18" s="1"/>
  <c r="Q86" i="18"/>
  <c r="H86" i="18"/>
  <c r="P86" i="18"/>
  <c r="O86" i="18"/>
  <c r="I86" i="18"/>
  <c r="N86" i="18"/>
  <c r="M86" i="18"/>
  <c r="L86" i="18"/>
  <c r="S86" i="18"/>
  <c r="K86" i="18"/>
  <c r="R86" i="18"/>
  <c r="J86" i="18"/>
  <c r="I45" i="18"/>
  <c r="H45" i="18"/>
  <c r="K32" i="18"/>
  <c r="I68" i="18"/>
  <c r="H68" i="18"/>
  <c r="M41" i="15" l="1"/>
  <c r="L31" i="19"/>
  <c r="K63" i="20"/>
  <c r="L62" i="20"/>
  <c r="J64" i="20"/>
  <c r="K61" i="20" s="1"/>
  <c r="K64" i="20" s="1"/>
  <c r="J32" i="20"/>
  <c r="J51" i="20"/>
  <c r="O33" i="20"/>
  <c r="L82" i="18"/>
  <c r="L28" i="20" s="1"/>
  <c r="K45" i="15"/>
  <c r="K76" i="16" s="1"/>
  <c r="K80" i="18"/>
  <c r="J36" i="16"/>
  <c r="K92" i="18"/>
  <c r="K93" i="18" s="1"/>
  <c r="K98" i="18" s="1"/>
  <c r="K35" i="15" s="1"/>
  <c r="K81" i="18" s="1"/>
  <c r="M91" i="18"/>
  <c r="L92" i="18"/>
  <c r="L93" i="18" s="1"/>
  <c r="L98" i="18" s="1"/>
  <c r="L35" i="15" s="1"/>
  <c r="L81" i="18" s="1"/>
  <c r="L32" i="18"/>
  <c r="K18" i="15"/>
  <c r="K53" i="15" s="1"/>
  <c r="N41" i="15" l="1"/>
  <c r="M31" i="19"/>
  <c r="K62" i="16"/>
  <c r="K29" i="20"/>
  <c r="K74" i="16"/>
  <c r="M62" i="20"/>
  <c r="L63" i="20"/>
  <c r="K14" i="20"/>
  <c r="K30" i="16" s="1"/>
  <c r="L61" i="20"/>
  <c r="L64" i="20" s="1"/>
  <c r="L65" i="20" s="1"/>
  <c r="J65" i="20"/>
  <c r="J14" i="20"/>
  <c r="J30" i="16" s="1"/>
  <c r="K65" i="20"/>
  <c r="J36" i="20"/>
  <c r="J52" i="20"/>
  <c r="J10" i="20" s="1"/>
  <c r="J26" i="16" s="1"/>
  <c r="P33" i="20"/>
  <c r="M82" i="18"/>
  <c r="M28" i="20" s="1"/>
  <c r="L45" i="15"/>
  <c r="L76" i="16" s="1"/>
  <c r="K84" i="18"/>
  <c r="N91" i="18"/>
  <c r="M92" i="18"/>
  <c r="M93" i="18" s="1"/>
  <c r="M98" i="18" s="1"/>
  <c r="M35" i="15" s="1"/>
  <c r="M81" i="18" s="1"/>
  <c r="M32" i="18"/>
  <c r="L18" i="15"/>
  <c r="L53" i="15" s="1"/>
  <c r="O41" i="15" l="1"/>
  <c r="L62" i="16"/>
  <c r="L29" i="20"/>
  <c r="L74" i="16"/>
  <c r="N62" i="20"/>
  <c r="M63" i="20"/>
  <c r="M61" i="20"/>
  <c r="M64" i="20" s="1"/>
  <c r="L14" i="20"/>
  <c r="L30" i="16" s="1"/>
  <c r="K50" i="20"/>
  <c r="J53" i="20"/>
  <c r="Q33" i="20"/>
  <c r="N82" i="18"/>
  <c r="N28" i="20" s="1"/>
  <c r="M45" i="15"/>
  <c r="M76" i="16" s="1"/>
  <c r="L80" i="18"/>
  <c r="L84" i="18" s="1"/>
  <c r="K36" i="16"/>
  <c r="O91" i="18"/>
  <c r="N92" i="18"/>
  <c r="N93" i="18" s="1"/>
  <c r="N98" i="18" s="1"/>
  <c r="N35" i="15" s="1"/>
  <c r="N81" i="18" s="1"/>
  <c r="N32" i="18"/>
  <c r="M18" i="15"/>
  <c r="M53" i="15" s="1"/>
  <c r="P41" i="15" l="1"/>
  <c r="Q41" i="15" s="1"/>
  <c r="R41" i="15" s="1"/>
  <c r="S41" i="15" s="1"/>
  <c r="M62" i="16"/>
  <c r="M29" i="20"/>
  <c r="M74" i="16"/>
  <c r="N63" i="20"/>
  <c r="O62" i="20"/>
  <c r="M14" i="20"/>
  <c r="M30" i="16" s="1"/>
  <c r="N61" i="20"/>
  <c r="N64" i="20" s="1"/>
  <c r="M65" i="20"/>
  <c r="K51" i="20"/>
  <c r="R33" i="20"/>
  <c r="N45" i="15"/>
  <c r="N76" i="16" s="1"/>
  <c r="O82" i="18"/>
  <c r="O28" i="20" s="1"/>
  <c r="M80" i="18"/>
  <c r="M84" i="18" s="1"/>
  <c r="L36" i="16"/>
  <c r="P91" i="18"/>
  <c r="O92" i="18"/>
  <c r="O93" i="18" s="1"/>
  <c r="O98" i="18" s="1"/>
  <c r="O35" i="15" s="1"/>
  <c r="O81" i="18" s="1"/>
  <c r="O32" i="18"/>
  <c r="N18" i="15"/>
  <c r="N53" i="15" s="1"/>
  <c r="N62" i="16" l="1"/>
  <c r="N29" i="20"/>
  <c r="N74" i="16"/>
  <c r="P62" i="20"/>
  <c r="O63" i="20"/>
  <c r="N65" i="20"/>
  <c r="N14" i="20"/>
  <c r="N30" i="16" s="1"/>
  <c r="O61" i="20"/>
  <c r="K36" i="20"/>
  <c r="K52" i="20"/>
  <c r="K10" i="20" s="1"/>
  <c r="K26" i="16" s="1"/>
  <c r="S33" i="20"/>
  <c r="O45" i="15"/>
  <c r="O76" i="16" s="1"/>
  <c r="P82" i="18"/>
  <c r="P28" i="20" s="1"/>
  <c r="N80" i="18"/>
  <c r="N84" i="18" s="1"/>
  <c r="M36" i="16"/>
  <c r="Q91" i="18"/>
  <c r="P92" i="18"/>
  <c r="P93" i="18" s="1"/>
  <c r="P98" i="18" s="1"/>
  <c r="P35" i="15" s="1"/>
  <c r="P81" i="18" s="1"/>
  <c r="P32" i="18"/>
  <c r="O18" i="15"/>
  <c r="O53" i="15" s="1"/>
  <c r="O62" i="16" l="1"/>
  <c r="O64" i="20"/>
  <c r="O14" i="20" s="1"/>
  <c r="O30" i="16" s="1"/>
  <c r="O29" i="20"/>
  <c r="O74" i="16"/>
  <c r="P63" i="20"/>
  <c r="Q62" i="20"/>
  <c r="L50" i="20"/>
  <c r="L51" i="20" s="1"/>
  <c r="K53" i="20"/>
  <c r="P45" i="15"/>
  <c r="P76" i="16" s="1"/>
  <c r="Q82" i="18"/>
  <c r="Q28" i="20" s="1"/>
  <c r="O80" i="18"/>
  <c r="O84" i="18" s="1"/>
  <c r="N36" i="16"/>
  <c r="R91" i="18"/>
  <c r="Q92" i="18"/>
  <c r="Q93" i="18" s="1"/>
  <c r="Q98" i="18" s="1"/>
  <c r="Q35" i="15" s="1"/>
  <c r="Q81" i="18" s="1"/>
  <c r="Q32" i="18"/>
  <c r="P18" i="15"/>
  <c r="P53" i="15" s="1"/>
  <c r="P62" i="16" l="1"/>
  <c r="O65" i="20"/>
  <c r="P61" i="20"/>
  <c r="P64" i="20" s="1"/>
  <c r="P14" i="20" s="1"/>
  <c r="P30" i="16" s="1"/>
  <c r="P29" i="20"/>
  <c r="P74" i="16"/>
  <c r="R62" i="20"/>
  <c r="Q63" i="20"/>
  <c r="P65" i="20"/>
  <c r="L36" i="20"/>
  <c r="L52" i="20"/>
  <c r="L10" i="20" s="1"/>
  <c r="L26" i="16" s="1"/>
  <c r="Q45" i="15"/>
  <c r="Q76" i="16" s="1"/>
  <c r="R82" i="18"/>
  <c r="R28" i="20" s="1"/>
  <c r="P80" i="18"/>
  <c r="P84" i="18" s="1"/>
  <c r="O36" i="16"/>
  <c r="S91" i="18"/>
  <c r="R92" i="18"/>
  <c r="R93" i="18" s="1"/>
  <c r="R98" i="18" s="1"/>
  <c r="R35" i="15" s="1"/>
  <c r="R81" i="18" s="1"/>
  <c r="R32" i="18"/>
  <c r="Q18" i="15"/>
  <c r="Q53" i="15" s="1"/>
  <c r="Q62" i="16" l="1"/>
  <c r="Q61" i="20"/>
  <c r="Q64" i="20" s="1"/>
  <c r="Q14" i="20" s="1"/>
  <c r="Q30" i="16" s="1"/>
  <c r="Q29" i="20"/>
  <c r="Q74" i="16"/>
  <c r="R63" i="20"/>
  <c r="S62" i="20"/>
  <c r="M50" i="20"/>
  <c r="M51" i="20" s="1"/>
  <c r="L53" i="20"/>
  <c r="S82" i="18"/>
  <c r="R45" i="15"/>
  <c r="R76" i="16" s="1"/>
  <c r="P36" i="16"/>
  <c r="Q80" i="18"/>
  <c r="Q84" i="18" s="1"/>
  <c r="S92" i="18"/>
  <c r="S93" i="18" s="1"/>
  <c r="S98" i="18" s="1"/>
  <c r="S35" i="15" s="1"/>
  <c r="S81" i="18" s="1"/>
  <c r="S32" i="18"/>
  <c r="S18" i="15" s="1"/>
  <c r="S53" i="15" s="1"/>
  <c r="R18" i="15"/>
  <c r="R53" i="15" s="1"/>
  <c r="S45" i="15" l="1"/>
  <c r="S76" i="16" s="1"/>
  <c r="S28" i="20"/>
  <c r="S62" i="16"/>
  <c r="R62" i="16"/>
  <c r="Q65" i="20"/>
  <c r="R61" i="20"/>
  <c r="R64" i="20" s="1"/>
  <c r="R14" i="20" s="1"/>
  <c r="R30" i="16" s="1"/>
  <c r="R29" i="20"/>
  <c r="R74" i="16"/>
  <c r="S63" i="20"/>
  <c r="M36" i="20"/>
  <c r="M52" i="20"/>
  <c r="M10" i="20" s="1"/>
  <c r="M26" i="16" s="1"/>
  <c r="Q36" i="16"/>
  <c r="R80" i="18"/>
  <c r="R84" i="18" s="1"/>
  <c r="S61" i="20" l="1"/>
  <c r="R65" i="20"/>
  <c r="S29" i="20"/>
  <c r="S74" i="16"/>
  <c r="S64" i="20"/>
  <c r="N50" i="20"/>
  <c r="M53" i="20"/>
  <c r="S80" i="18"/>
  <c r="S84" i="18" s="1"/>
  <c r="S36" i="16" s="1"/>
  <c r="R36" i="16"/>
  <c r="S14" i="20" l="1"/>
  <c r="S30" i="16" s="1"/>
  <c r="S65" i="20"/>
  <c r="N51" i="20"/>
  <c r="N36" i="20" l="1"/>
  <c r="N52" i="20"/>
  <c r="N10" i="20" s="1"/>
  <c r="N26" i="16" s="1"/>
  <c r="O50" i="20" l="1"/>
  <c r="O51" i="20" s="1"/>
  <c r="N53" i="20"/>
  <c r="O36" i="20" l="1"/>
  <c r="O52" i="20"/>
  <c r="O10" i="20" s="1"/>
  <c r="O26" i="16" s="1"/>
  <c r="P50" i="20" l="1"/>
  <c r="O53" i="20"/>
  <c r="P51" i="20" l="1"/>
  <c r="P36" i="20" l="1"/>
  <c r="P52" i="20"/>
  <c r="P53" i="20" l="1"/>
  <c r="P10" i="20"/>
  <c r="P26" i="16" s="1"/>
  <c r="Q50" i="20"/>
  <c r="Q51" i="20" s="1"/>
  <c r="Q36" i="20" l="1"/>
  <c r="Q52" i="20"/>
  <c r="Q10" i="20" s="1"/>
  <c r="Q26" i="16" s="1"/>
  <c r="Q53" i="20" l="1"/>
  <c r="R50" i="20"/>
  <c r="R51" i="20" s="1"/>
  <c r="R36" i="20" l="1"/>
  <c r="R52" i="20"/>
  <c r="R10" i="20" s="1"/>
  <c r="R26" i="16" s="1"/>
  <c r="S50" i="20" l="1"/>
  <c r="S51" i="20" s="1"/>
  <c r="R53" i="20"/>
  <c r="S36" i="20" l="1"/>
  <c r="S52" i="20"/>
  <c r="S10" i="20" s="1"/>
  <c r="S26" i="16" s="1"/>
  <c r="S53" i="20" l="1"/>
  <c r="J18" i="16"/>
  <c r="K18" i="16" s="1"/>
  <c r="L18" i="16" s="1"/>
  <c r="M18" i="16" s="1"/>
  <c r="N18" i="16" s="1"/>
  <c r="O18" i="16" s="1"/>
  <c r="P18" i="16" s="1"/>
  <c r="Q18" i="16" s="1"/>
  <c r="R18" i="16" s="1"/>
  <c r="S18" i="16" s="1"/>
  <c r="F26" i="18"/>
  <c r="G26" i="18"/>
  <c r="H26" i="18"/>
  <c r="I26" i="18"/>
  <c r="E26" i="18"/>
  <c r="I59" i="18"/>
  <c r="H59" i="18"/>
  <c r="F56" i="18"/>
  <c r="G51" i="18" s="1"/>
  <c r="G56" i="18"/>
  <c r="H51" i="18" s="1"/>
  <c r="H56" i="18"/>
  <c r="I56" i="18"/>
  <c r="E56" i="18"/>
  <c r="F51" i="18" s="1"/>
  <c r="I94" i="17"/>
  <c r="H94" i="17"/>
  <c r="F11" i="18"/>
  <c r="G11" i="18"/>
  <c r="H11" i="18"/>
  <c r="H38" i="18" s="1"/>
  <c r="I11" i="18"/>
  <c r="E11" i="18"/>
  <c r="F20" i="18"/>
  <c r="G20" i="18"/>
  <c r="H20" i="18"/>
  <c r="I20" i="18"/>
  <c r="E20" i="18"/>
  <c r="F35" i="18"/>
  <c r="G30" i="18" s="1"/>
  <c r="G35" i="18"/>
  <c r="H30" i="18" s="1"/>
  <c r="H35" i="18"/>
  <c r="I35" i="18"/>
  <c r="E35" i="18"/>
  <c r="F30" i="18" s="1"/>
  <c r="F18" i="18"/>
  <c r="G18" i="18"/>
  <c r="H18" i="18"/>
  <c r="I18" i="18"/>
  <c r="J18" i="18" s="1"/>
  <c r="J9" i="16" s="1"/>
  <c r="E18" i="18"/>
  <c r="H105" i="18"/>
  <c r="I105" i="18"/>
  <c r="F15" i="18"/>
  <c r="G15" i="18"/>
  <c r="H15" i="18"/>
  <c r="I15" i="18"/>
  <c r="E15" i="18"/>
  <c r="F48" i="16"/>
  <c r="G48" i="16"/>
  <c r="H48" i="16"/>
  <c r="I48" i="16"/>
  <c r="E48" i="16"/>
  <c r="F44" i="16"/>
  <c r="F45" i="16" s="1"/>
  <c r="G44" i="16"/>
  <c r="G45" i="16" s="1"/>
  <c r="H44" i="16"/>
  <c r="H45" i="16" s="1"/>
  <c r="I44" i="16"/>
  <c r="I45" i="16" s="1"/>
  <c r="E44" i="16"/>
  <c r="E45" i="16" s="1"/>
  <c r="I26" i="17"/>
  <c r="H24" i="17"/>
  <c r="H26" i="17" s="1"/>
  <c r="I22" i="17"/>
  <c r="H22" i="17"/>
  <c r="F37" i="16"/>
  <c r="G37" i="16"/>
  <c r="H37" i="16"/>
  <c r="I37" i="16"/>
  <c r="E37" i="16"/>
  <c r="J32" i="16"/>
  <c r="K32" i="16" s="1"/>
  <c r="L32" i="16" s="1"/>
  <c r="M32" i="16" s="1"/>
  <c r="N32" i="16" s="1"/>
  <c r="O32" i="16" s="1"/>
  <c r="P32" i="16" s="1"/>
  <c r="Q32" i="16" s="1"/>
  <c r="R32" i="16" s="1"/>
  <c r="S32" i="16" s="1"/>
  <c r="J7" i="16"/>
  <c r="K7" i="16" s="1"/>
  <c r="J16" i="16"/>
  <c r="K16" i="16" s="1"/>
  <c r="L16" i="16" s="1"/>
  <c r="M16" i="16" s="1"/>
  <c r="G27" i="16"/>
  <c r="G33" i="16" s="1"/>
  <c r="H27" i="16"/>
  <c r="H33" i="16" s="1"/>
  <c r="I27" i="16"/>
  <c r="I33" i="16" s="1"/>
  <c r="F27" i="16"/>
  <c r="F33" i="16" s="1"/>
  <c r="E27" i="16"/>
  <c r="E33" i="16" s="1"/>
  <c r="F11" i="16"/>
  <c r="F19" i="16" s="1"/>
  <c r="G11" i="16"/>
  <c r="G19" i="16" s="1"/>
  <c r="H11" i="16"/>
  <c r="H19" i="16" s="1"/>
  <c r="I11" i="16"/>
  <c r="I19" i="16" s="1"/>
  <c r="E11" i="16"/>
  <c r="E19" i="16" s="1"/>
  <c r="F3" i="16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K30" i="17"/>
  <c r="L30" i="17"/>
  <c r="M30" i="17"/>
  <c r="N30" i="17"/>
  <c r="O30" i="17"/>
  <c r="P30" i="17"/>
  <c r="Q30" i="17"/>
  <c r="R30" i="17"/>
  <c r="S30" i="17"/>
  <c r="J30" i="17"/>
  <c r="S76" i="17"/>
  <c r="R76" i="17"/>
  <c r="Q76" i="17"/>
  <c r="P76" i="17"/>
  <c r="O76" i="17"/>
  <c r="N76" i="17"/>
  <c r="M76" i="17"/>
  <c r="L76" i="17"/>
  <c r="K76" i="17"/>
  <c r="J76" i="17"/>
  <c r="K69" i="17"/>
  <c r="L69" i="17"/>
  <c r="M69" i="17"/>
  <c r="N69" i="17"/>
  <c r="O69" i="17"/>
  <c r="P69" i="17"/>
  <c r="Q69" i="17"/>
  <c r="R69" i="17"/>
  <c r="S69" i="17"/>
  <c r="J69" i="17"/>
  <c r="S83" i="17"/>
  <c r="R83" i="17"/>
  <c r="Q83" i="17"/>
  <c r="P83" i="17"/>
  <c r="O83" i="17"/>
  <c r="N83" i="17"/>
  <c r="M83" i="17"/>
  <c r="L83" i="17"/>
  <c r="K83" i="17"/>
  <c r="J83" i="17"/>
  <c r="F82" i="17"/>
  <c r="G82" i="17"/>
  <c r="H82" i="17"/>
  <c r="I82" i="17"/>
  <c r="E82" i="17"/>
  <c r="F64" i="17"/>
  <c r="G64" i="17"/>
  <c r="H64" i="17"/>
  <c r="I64" i="17"/>
  <c r="I67" i="17" s="1"/>
  <c r="E64" i="17"/>
  <c r="E67" i="17" s="1"/>
  <c r="I38" i="18" l="1"/>
  <c r="I60" i="16"/>
  <c r="F50" i="16"/>
  <c r="E50" i="16"/>
  <c r="H50" i="16"/>
  <c r="G50" i="16"/>
  <c r="I50" i="16"/>
  <c r="E39" i="16"/>
  <c r="G24" i="18"/>
  <c r="G105" i="18"/>
  <c r="F24" i="18"/>
  <c r="F105" i="18"/>
  <c r="E24" i="18"/>
  <c r="E105" i="18"/>
  <c r="F39" i="16"/>
  <c r="I48" i="18"/>
  <c r="H48" i="18"/>
  <c r="J30" i="18"/>
  <c r="I30" i="18"/>
  <c r="I34" i="18" s="1"/>
  <c r="H34" i="18"/>
  <c r="I24" i="18"/>
  <c r="I70" i="18"/>
  <c r="H24" i="18"/>
  <c r="H70" i="18"/>
  <c r="E27" i="18"/>
  <c r="F27" i="18"/>
  <c r="H16" i="18"/>
  <c r="I27" i="18"/>
  <c r="J27" i="18" s="1"/>
  <c r="K27" i="18" s="1"/>
  <c r="H27" i="18"/>
  <c r="G27" i="18"/>
  <c r="G39" i="16"/>
  <c r="I39" i="16"/>
  <c r="H39" i="16"/>
  <c r="I16" i="18"/>
  <c r="J16" i="18" s="1"/>
  <c r="K16" i="18" s="1"/>
  <c r="L16" i="18" s="1"/>
  <c r="M16" i="18" s="1"/>
  <c r="N16" i="18" s="1"/>
  <c r="O16" i="18" s="1"/>
  <c r="P16" i="18" s="1"/>
  <c r="Q16" i="18" s="1"/>
  <c r="R16" i="18" s="1"/>
  <c r="S16" i="18" s="1"/>
  <c r="H21" i="18"/>
  <c r="G21" i="18"/>
  <c r="H57" i="18"/>
  <c r="E16" i="18"/>
  <c r="I21" i="18"/>
  <c r="J21" i="18" s="1"/>
  <c r="K21" i="18" s="1"/>
  <c r="L21" i="18" s="1"/>
  <c r="M21" i="18" s="1"/>
  <c r="N21" i="18" s="1"/>
  <c r="O21" i="18" s="1"/>
  <c r="P21" i="18" s="1"/>
  <c r="Q21" i="18" s="1"/>
  <c r="R21" i="18" s="1"/>
  <c r="S21" i="18" s="1"/>
  <c r="J51" i="18"/>
  <c r="I51" i="18"/>
  <c r="I57" i="18" s="1"/>
  <c r="E21" i="18"/>
  <c r="F21" i="18"/>
  <c r="G16" i="18"/>
  <c r="F16" i="18"/>
  <c r="K18" i="18"/>
  <c r="L7" i="16"/>
  <c r="N16" i="16"/>
  <c r="G83" i="17"/>
  <c r="G65" i="17"/>
  <c r="F83" i="17"/>
  <c r="H65" i="17"/>
  <c r="J67" i="17"/>
  <c r="K67" i="17" s="1"/>
  <c r="H83" i="17"/>
  <c r="G67" i="17"/>
  <c r="F67" i="17"/>
  <c r="F69" i="17" s="1"/>
  <c r="I83" i="17"/>
  <c r="H67" i="17"/>
  <c r="E74" i="17"/>
  <c r="E75" i="17" s="1"/>
  <c r="I74" i="17"/>
  <c r="J74" i="17" s="1"/>
  <c r="K74" i="17" s="1"/>
  <c r="F65" i="17"/>
  <c r="I65" i="17"/>
  <c r="J82" i="17"/>
  <c r="J12" i="17" s="1"/>
  <c r="J9" i="18" s="1"/>
  <c r="J21" i="17" l="1"/>
  <c r="J8" i="21"/>
  <c r="J105" i="18"/>
  <c r="L27" i="18"/>
  <c r="K9" i="16"/>
  <c r="L18" i="18"/>
  <c r="M7" i="16"/>
  <c r="O16" i="16"/>
  <c r="K64" i="17"/>
  <c r="K9" i="17" s="1"/>
  <c r="L67" i="17"/>
  <c r="J64" i="17"/>
  <c r="J75" i="17" s="1"/>
  <c r="L74" i="17"/>
  <c r="I75" i="17"/>
  <c r="H69" i="17"/>
  <c r="G69" i="17"/>
  <c r="G74" i="17"/>
  <c r="F74" i="17"/>
  <c r="H74" i="17"/>
  <c r="I69" i="17"/>
  <c r="K82" i="17"/>
  <c r="L82" i="17" s="1"/>
  <c r="J13" i="21" l="1"/>
  <c r="J74" i="15"/>
  <c r="J76" i="15" s="1"/>
  <c r="K7" i="21"/>
  <c r="K8" i="18"/>
  <c r="K105" i="18"/>
  <c r="M27" i="18"/>
  <c r="L64" i="17"/>
  <c r="L75" i="17" s="1"/>
  <c r="M18" i="18"/>
  <c r="L9" i="16"/>
  <c r="N7" i="16"/>
  <c r="P16" i="16"/>
  <c r="K75" i="17"/>
  <c r="K68" i="17"/>
  <c r="J65" i="17"/>
  <c r="J9" i="17"/>
  <c r="M67" i="17"/>
  <c r="J68" i="17"/>
  <c r="K65" i="17"/>
  <c r="M74" i="17"/>
  <c r="H75" i="17"/>
  <c r="H76" i="17"/>
  <c r="F76" i="17"/>
  <c r="F75" i="17"/>
  <c r="G76" i="17"/>
  <c r="G75" i="17"/>
  <c r="I76" i="17"/>
  <c r="K12" i="17"/>
  <c r="K9" i="18" s="1"/>
  <c r="M82" i="17"/>
  <c r="L12" i="17"/>
  <c r="L9" i="18" s="1"/>
  <c r="J7" i="21" l="1"/>
  <c r="J8" i="18"/>
  <c r="K21" i="17"/>
  <c r="K8" i="21"/>
  <c r="L21" i="17"/>
  <c r="L8" i="21"/>
  <c r="L105" i="18"/>
  <c r="N27" i="18"/>
  <c r="L9" i="17"/>
  <c r="L65" i="17"/>
  <c r="L68" i="17"/>
  <c r="N18" i="18"/>
  <c r="M9" i="16"/>
  <c r="O7" i="16"/>
  <c r="Q16" i="16"/>
  <c r="M64" i="17"/>
  <c r="M75" i="17" s="1"/>
  <c r="N74" i="17"/>
  <c r="O74" i="17" s="1"/>
  <c r="N67" i="17"/>
  <c r="N82" i="17"/>
  <c r="M12" i="17"/>
  <c r="M9" i="18" s="1"/>
  <c r="L13" i="21" l="1"/>
  <c r="L74" i="15"/>
  <c r="L76" i="15" s="1"/>
  <c r="L19" i="19" s="1"/>
  <c r="L23" i="19" s="1"/>
  <c r="K13" i="21"/>
  <c r="K74" i="15"/>
  <c r="K76" i="15" s="1"/>
  <c r="K19" i="19" s="1"/>
  <c r="K23" i="19" s="1"/>
  <c r="L7" i="21"/>
  <c r="L8" i="18"/>
  <c r="M21" i="17"/>
  <c r="M8" i="21"/>
  <c r="V8" i="21" s="1"/>
  <c r="M105" i="18"/>
  <c r="P7" i="16"/>
  <c r="O27" i="18"/>
  <c r="O18" i="18"/>
  <c r="N9" i="16"/>
  <c r="R16" i="16"/>
  <c r="M9" i="17"/>
  <c r="M65" i="17"/>
  <c r="M68" i="17"/>
  <c r="O67" i="17"/>
  <c r="O64" i="17" s="1"/>
  <c r="O75" i="17" s="1"/>
  <c r="N64" i="17"/>
  <c r="N68" i="17" s="1"/>
  <c r="P74" i="17"/>
  <c r="O82" i="17"/>
  <c r="N12" i="17"/>
  <c r="N9" i="18" s="1"/>
  <c r="M13" i="21" l="1"/>
  <c r="M74" i="15"/>
  <c r="M76" i="15" s="1"/>
  <c r="M19" i="19" s="1"/>
  <c r="M23" i="19" s="1"/>
  <c r="M7" i="21"/>
  <c r="V7" i="21" s="1"/>
  <c r="M8" i="18"/>
  <c r="N21" i="17"/>
  <c r="N8" i="21"/>
  <c r="Q7" i="16"/>
  <c r="N105" i="18"/>
  <c r="P27" i="18"/>
  <c r="P18" i="18"/>
  <c r="O9" i="16"/>
  <c r="S16" i="16"/>
  <c r="P67" i="17"/>
  <c r="P64" i="17" s="1"/>
  <c r="O68" i="17"/>
  <c r="N65" i="17"/>
  <c r="N9" i="17"/>
  <c r="N75" i="17"/>
  <c r="O65" i="17"/>
  <c r="O9" i="17"/>
  <c r="Q74" i="17"/>
  <c r="P82" i="17"/>
  <c r="O12" i="17"/>
  <c r="O9" i="18" s="1"/>
  <c r="N13" i="21" l="1"/>
  <c r="N74" i="15"/>
  <c r="N76" i="15" s="1"/>
  <c r="N7" i="21"/>
  <c r="N8" i="18"/>
  <c r="O7" i="21"/>
  <c r="O8" i="18"/>
  <c r="O21" i="17"/>
  <c r="O8" i="21"/>
  <c r="R7" i="16"/>
  <c r="O105" i="18"/>
  <c r="Q27" i="18"/>
  <c r="Q18" i="18"/>
  <c r="P9" i="16"/>
  <c r="P65" i="17"/>
  <c r="P9" i="17"/>
  <c r="P75" i="17"/>
  <c r="Q67" i="17"/>
  <c r="P68" i="17"/>
  <c r="R74" i="17"/>
  <c r="Q82" i="17"/>
  <c r="P12" i="17"/>
  <c r="P9" i="18" s="1"/>
  <c r="O13" i="21" l="1"/>
  <c r="O74" i="15"/>
  <c r="O76" i="15" s="1"/>
  <c r="P7" i="21"/>
  <c r="P8" i="18"/>
  <c r="P21" i="17"/>
  <c r="P8" i="21"/>
  <c r="S7" i="16"/>
  <c r="P105" i="18"/>
  <c r="R27" i="18"/>
  <c r="R18" i="18"/>
  <c r="Q9" i="16"/>
  <c r="R67" i="17"/>
  <c r="R64" i="17" s="1"/>
  <c r="Q64" i="17"/>
  <c r="Q68" i="17" s="1"/>
  <c r="S74" i="17"/>
  <c r="Q12" i="17"/>
  <c r="Q9" i="18" s="1"/>
  <c r="R82" i="17"/>
  <c r="P13" i="21" l="1"/>
  <c r="P74" i="15"/>
  <c r="P76" i="15" s="1"/>
  <c r="Q21" i="17"/>
  <c r="Q8" i="21"/>
  <c r="Q105" i="18"/>
  <c r="S27" i="18"/>
  <c r="S18" i="18"/>
  <c r="S9" i="16" s="1"/>
  <c r="R9" i="16"/>
  <c r="R65" i="17"/>
  <c r="R9" i="17"/>
  <c r="R75" i="17"/>
  <c r="Q65" i="17"/>
  <c r="Q9" i="17"/>
  <c r="Q75" i="17"/>
  <c r="S67" i="17"/>
  <c r="R68" i="17"/>
  <c r="S82" i="17"/>
  <c r="S12" i="17" s="1"/>
  <c r="R12" i="17"/>
  <c r="R9" i="18" s="1"/>
  <c r="Q13" i="21" l="1"/>
  <c r="Q74" i="15"/>
  <c r="Q76" i="15" s="1"/>
  <c r="S8" i="21"/>
  <c r="S9" i="18"/>
  <c r="Q7" i="21"/>
  <c r="Q8" i="18"/>
  <c r="R7" i="21"/>
  <c r="R8" i="18"/>
  <c r="R21" i="17"/>
  <c r="R8" i="21"/>
  <c r="R105" i="18"/>
  <c r="S21" i="17"/>
  <c r="S64" i="17"/>
  <c r="S13" i="21" l="1"/>
  <c r="S74" i="15"/>
  <c r="S76" i="15" s="1"/>
  <c r="R13" i="21"/>
  <c r="R74" i="15"/>
  <c r="R76" i="15" s="1"/>
  <c r="S105" i="18"/>
  <c r="S65" i="17"/>
  <c r="S9" i="17"/>
  <c r="S68" i="17"/>
  <c r="S75" i="17"/>
  <c r="S7" i="21" l="1"/>
  <c r="S8" i="18"/>
  <c r="F29" i="17"/>
  <c r="E29" i="17"/>
  <c r="E10" i="17"/>
  <c r="E36" i="17"/>
  <c r="E45" i="17" s="1"/>
  <c r="F36" i="17"/>
  <c r="F10" i="17"/>
  <c r="H29" i="17"/>
  <c r="I29" i="17"/>
  <c r="J29" i="17" s="1"/>
  <c r="G29" i="17"/>
  <c r="G30" i="17" s="1"/>
  <c r="K40" i="17"/>
  <c r="L40" i="17"/>
  <c r="M40" i="17"/>
  <c r="N40" i="17"/>
  <c r="O40" i="17"/>
  <c r="P40" i="17"/>
  <c r="Q40" i="17"/>
  <c r="R40" i="17"/>
  <c r="S40" i="17"/>
  <c r="J40" i="17"/>
  <c r="J39" i="17" s="1"/>
  <c r="K55" i="17"/>
  <c r="K58" i="17" s="1"/>
  <c r="L55" i="17"/>
  <c r="L58" i="17" s="1"/>
  <c r="M55" i="17"/>
  <c r="M58" i="17" s="1"/>
  <c r="N55" i="17"/>
  <c r="N58" i="17" s="1"/>
  <c r="O55" i="17"/>
  <c r="O58" i="17" s="1"/>
  <c r="P55" i="17"/>
  <c r="P57" i="17" s="1"/>
  <c r="Q55" i="17"/>
  <c r="Q57" i="17" s="1"/>
  <c r="R55" i="17"/>
  <c r="R58" i="17" s="1"/>
  <c r="S55" i="17"/>
  <c r="S58" i="17" s="1"/>
  <c r="J55" i="17"/>
  <c r="J58" i="17" s="1"/>
  <c r="K46" i="17"/>
  <c r="L46" i="17"/>
  <c r="M46" i="17"/>
  <c r="N46" i="17"/>
  <c r="O46" i="17"/>
  <c r="P46" i="17"/>
  <c r="Q46" i="17"/>
  <c r="R46" i="17"/>
  <c r="S46" i="17"/>
  <c r="J46" i="17"/>
  <c r="D6" i="19"/>
  <c r="K3" i="19"/>
  <c r="L3" i="19" s="1"/>
  <c r="M3" i="19" s="1"/>
  <c r="N3" i="19" s="1"/>
  <c r="O3" i="19" s="1"/>
  <c r="P3" i="19" s="1"/>
  <c r="Q3" i="19" s="1"/>
  <c r="R3" i="19" s="1"/>
  <c r="S3" i="19" s="1"/>
  <c r="L61" i="17" l="1"/>
  <c r="Q60" i="17"/>
  <c r="M61" i="17"/>
  <c r="S61" i="17"/>
  <c r="K61" i="17"/>
  <c r="O61" i="17"/>
  <c r="N61" i="17"/>
  <c r="J7" i="17"/>
  <c r="K29" i="17"/>
  <c r="F30" i="17"/>
  <c r="H30" i="17"/>
  <c r="I30" i="17"/>
  <c r="K39" i="17"/>
  <c r="L39" i="17" s="1"/>
  <c r="O57" i="17"/>
  <c r="P60" i="17" s="1"/>
  <c r="P58" i="17"/>
  <c r="P61" i="17" s="1"/>
  <c r="Q58" i="17"/>
  <c r="Q61" i="17" s="1"/>
  <c r="N57" i="17"/>
  <c r="M57" i="17"/>
  <c r="J57" i="17"/>
  <c r="L57" i="17"/>
  <c r="S57" i="17"/>
  <c r="K57" i="17"/>
  <c r="R57" i="17"/>
  <c r="R60" i="17" s="1"/>
  <c r="K60" i="17" l="1"/>
  <c r="M60" i="17"/>
  <c r="J5" i="21"/>
  <c r="J6" i="18"/>
  <c r="O60" i="17"/>
  <c r="R61" i="17"/>
  <c r="N60" i="17"/>
  <c r="S60" i="17"/>
  <c r="L60" i="17"/>
  <c r="L29" i="17"/>
  <c r="K7" i="17"/>
  <c r="M39" i="17"/>
  <c r="J40" i="18" l="1"/>
  <c r="J31" i="18"/>
  <c r="K5" i="21"/>
  <c r="K6" i="18"/>
  <c r="L7" i="17"/>
  <c r="M29" i="17"/>
  <c r="N39" i="17"/>
  <c r="K40" i="18" l="1"/>
  <c r="K31" i="18"/>
  <c r="L5" i="21"/>
  <c r="L6" i="18"/>
  <c r="N29" i="17"/>
  <c r="M7" i="17"/>
  <c r="O39" i="17"/>
  <c r="L40" i="18" l="1"/>
  <c r="L31" i="18"/>
  <c r="M5" i="21"/>
  <c r="V5" i="21" s="1"/>
  <c r="M6" i="18"/>
  <c r="O29" i="17"/>
  <c r="N7" i="17"/>
  <c r="P39" i="17"/>
  <c r="N5" i="21" l="1"/>
  <c r="N6" i="18"/>
  <c r="M31" i="18"/>
  <c r="M40" i="18"/>
  <c r="P29" i="17"/>
  <c r="O7" i="17"/>
  <c r="Q39" i="17"/>
  <c r="N31" i="18" l="1"/>
  <c r="N40" i="18"/>
  <c r="O5" i="21"/>
  <c r="O6" i="18"/>
  <c r="Q29" i="17"/>
  <c r="P7" i="17"/>
  <c r="R39" i="17"/>
  <c r="P5" i="21" l="1"/>
  <c r="P6" i="18"/>
  <c r="O31" i="18"/>
  <c r="O40" i="18"/>
  <c r="R29" i="17"/>
  <c r="Q7" i="17"/>
  <c r="S39" i="17"/>
  <c r="Q5" i="21" l="1"/>
  <c r="Q6" i="18"/>
  <c r="P31" i="18"/>
  <c r="P40" i="18"/>
  <c r="S29" i="17"/>
  <c r="S7" i="17" s="1"/>
  <c r="R7" i="17"/>
  <c r="I40" i="17"/>
  <c r="G39" i="17"/>
  <c r="H40" i="17" s="1"/>
  <c r="F39" i="17"/>
  <c r="F45" i="17" s="1"/>
  <c r="F46" i="17" s="1"/>
  <c r="Q40" i="18" l="1"/>
  <c r="Q31" i="18"/>
  <c r="R5" i="21"/>
  <c r="R6" i="18"/>
  <c r="S5" i="21"/>
  <c r="S6" i="18"/>
  <c r="F40" i="17"/>
  <c r="G40" i="17"/>
  <c r="R40" i="18" l="1"/>
  <c r="R31" i="18"/>
  <c r="S40" i="18"/>
  <c r="S31" i="18"/>
  <c r="F37" i="17"/>
  <c r="H36" i="17"/>
  <c r="H45" i="17" s="1"/>
  <c r="I36" i="17"/>
  <c r="I45" i="17" s="1"/>
  <c r="G36" i="17"/>
  <c r="G45" i="17" s="1"/>
  <c r="G46" i="17" s="1"/>
  <c r="E14" i="17"/>
  <c r="E15" i="17" s="1"/>
  <c r="F14" i="17"/>
  <c r="F15" i="17" s="1"/>
  <c r="G10" i="17"/>
  <c r="G14" i="17" s="1"/>
  <c r="G15" i="17" s="1"/>
  <c r="F32" i="15"/>
  <c r="F49" i="15" s="1"/>
  <c r="G32" i="15"/>
  <c r="G49" i="15" s="1"/>
  <c r="E32" i="15"/>
  <c r="E49" i="15" s="1"/>
  <c r="F13" i="15"/>
  <c r="G13" i="15"/>
  <c r="E13" i="15"/>
  <c r="I13" i="15"/>
  <c r="I14" i="21" s="1"/>
  <c r="G7" i="15"/>
  <c r="H7" i="15"/>
  <c r="I7" i="15"/>
  <c r="F7" i="15"/>
  <c r="I10" i="17"/>
  <c r="H10" i="17"/>
  <c r="F4" i="17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H32" i="15"/>
  <c r="H49" i="15" s="1"/>
  <c r="I32" i="15"/>
  <c r="I49" i="15" s="1"/>
  <c r="F4" i="18"/>
  <c r="G4" i="18" s="1"/>
  <c r="H4" i="18" s="1"/>
  <c r="I4" i="18" s="1"/>
  <c r="J4" i="18" s="1"/>
  <c r="K4" i="18" s="1"/>
  <c r="L4" i="18" s="1"/>
  <c r="M4" i="18" s="1"/>
  <c r="N4" i="18" s="1"/>
  <c r="O4" i="18" s="1"/>
  <c r="P4" i="18" s="1"/>
  <c r="Q4" i="18" s="1"/>
  <c r="R4" i="18" s="1"/>
  <c r="S4" i="18" s="1"/>
  <c r="H13" i="15"/>
  <c r="F3" i="15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F14" i="15" l="1"/>
  <c r="F15" i="21" s="1"/>
  <c r="F14" i="21"/>
  <c r="G14" i="15"/>
  <c r="G15" i="21" s="1"/>
  <c r="G14" i="21"/>
  <c r="H27" i="17"/>
  <c r="H14" i="21"/>
  <c r="E14" i="15"/>
  <c r="E15" i="21" s="1"/>
  <c r="E14" i="21"/>
  <c r="E27" i="15"/>
  <c r="H27" i="15"/>
  <c r="H48" i="15" s="1"/>
  <c r="H56" i="15" s="1"/>
  <c r="H57" i="15" s="1"/>
  <c r="I14" i="15"/>
  <c r="I15" i="21" s="1"/>
  <c r="I27" i="17"/>
  <c r="H14" i="17"/>
  <c r="H15" i="17" s="1"/>
  <c r="H19" i="17"/>
  <c r="I14" i="17"/>
  <c r="I15" i="17" s="1"/>
  <c r="I19" i="17"/>
  <c r="I46" i="17"/>
  <c r="J45" i="17"/>
  <c r="H46" i="17"/>
  <c r="G37" i="17"/>
  <c r="I37" i="17"/>
  <c r="H37" i="17"/>
  <c r="G27" i="15"/>
  <c r="G48" i="15" s="1"/>
  <c r="G56" i="15" s="1"/>
  <c r="G57" i="15" s="1"/>
  <c r="F27" i="15"/>
  <c r="F48" i="15" s="1"/>
  <c r="F56" i="15" s="1"/>
  <c r="F57" i="15" s="1"/>
  <c r="E34" i="15"/>
  <c r="I27" i="15"/>
  <c r="H14" i="15"/>
  <c r="H15" i="21" s="1"/>
  <c r="F60" i="15" l="1"/>
  <c r="F62" i="15"/>
  <c r="F63" i="15" s="1"/>
  <c r="G60" i="15"/>
  <c r="G62" i="15"/>
  <c r="G63" i="15" s="1"/>
  <c r="H60" i="15"/>
  <c r="H62" i="15"/>
  <c r="H63" i="15" s="1"/>
  <c r="E36" i="15"/>
  <c r="G52" i="16"/>
  <c r="G68" i="15"/>
  <c r="G19" i="21" s="1"/>
  <c r="G20" i="21" s="1"/>
  <c r="F52" i="16"/>
  <c r="F68" i="15"/>
  <c r="F19" i="21" s="1"/>
  <c r="F20" i="21" s="1"/>
  <c r="H52" i="16"/>
  <c r="H68" i="15"/>
  <c r="H19" i="21" s="1"/>
  <c r="H20" i="21" s="1"/>
  <c r="I12" i="18"/>
  <c r="I109" i="18" s="1"/>
  <c r="I48" i="15"/>
  <c r="I56" i="15" s="1"/>
  <c r="E12" i="18"/>
  <c r="E109" i="18" s="1"/>
  <c r="E48" i="15"/>
  <c r="E56" i="15" s="1"/>
  <c r="E57" i="15" s="1"/>
  <c r="F12" i="18"/>
  <c r="F109" i="18" s="1"/>
  <c r="G12" i="18"/>
  <c r="G109" i="18" s="1"/>
  <c r="H28" i="15"/>
  <c r="H12" i="18"/>
  <c r="H109" i="18" s="1"/>
  <c r="H34" i="15"/>
  <c r="E28" i="15"/>
  <c r="I28" i="15"/>
  <c r="K45" i="17"/>
  <c r="J36" i="17"/>
  <c r="F28" i="15"/>
  <c r="G28" i="15"/>
  <c r="F34" i="15"/>
  <c r="I34" i="15"/>
  <c r="G34" i="15"/>
  <c r="I62" i="15" l="1"/>
  <c r="I57" i="15"/>
  <c r="F17" i="21"/>
  <c r="E60" i="15"/>
  <c r="E62" i="15"/>
  <c r="E63" i="15" s="1"/>
  <c r="I60" i="15"/>
  <c r="G36" i="15"/>
  <c r="G75" i="18" s="1"/>
  <c r="G77" i="18" s="1"/>
  <c r="F36" i="15"/>
  <c r="F75" i="18" s="1"/>
  <c r="F77" i="18" s="1"/>
  <c r="G17" i="21"/>
  <c r="H17" i="21"/>
  <c r="H36" i="15"/>
  <c r="H75" i="18" s="1"/>
  <c r="H77" i="18" s="1"/>
  <c r="H71" i="15"/>
  <c r="H22" i="21" s="1"/>
  <c r="H69" i="15"/>
  <c r="G71" i="15"/>
  <c r="G22" i="21" s="1"/>
  <c r="G69" i="15"/>
  <c r="F71" i="15"/>
  <c r="F22" i="21" s="1"/>
  <c r="F69" i="15"/>
  <c r="I52" i="16"/>
  <c r="I68" i="15"/>
  <c r="I19" i="21" s="1"/>
  <c r="D25" i="19" s="1"/>
  <c r="E52" i="16"/>
  <c r="E68" i="15"/>
  <c r="E19" i="21" s="1"/>
  <c r="I36" i="15"/>
  <c r="I75" i="18" s="1"/>
  <c r="I77" i="18" s="1"/>
  <c r="I56" i="16"/>
  <c r="I64" i="16" s="1"/>
  <c r="J8" i="17"/>
  <c r="J7" i="18" s="1"/>
  <c r="J10" i="18" s="1"/>
  <c r="J37" i="17"/>
  <c r="L45" i="17"/>
  <c r="K36" i="17"/>
  <c r="J60" i="15" l="1"/>
  <c r="K60" i="15" s="1"/>
  <c r="L60" i="15" s="1"/>
  <c r="M60" i="15" s="1"/>
  <c r="N60" i="15" s="1"/>
  <c r="O60" i="15" s="1"/>
  <c r="P60" i="15" s="1"/>
  <c r="Q60" i="15" s="1"/>
  <c r="R60" i="15" s="1"/>
  <c r="S60" i="15" s="1"/>
  <c r="E34" i="22"/>
  <c r="I63" i="15"/>
  <c r="E20" i="21"/>
  <c r="E17" i="21"/>
  <c r="I20" i="21"/>
  <c r="I17" i="21"/>
  <c r="J10" i="17"/>
  <c r="J14" i="17" s="1"/>
  <c r="J6" i="15" s="1"/>
  <c r="J6" i="21"/>
  <c r="J9" i="21" s="1"/>
  <c r="J10" i="21" s="1"/>
  <c r="I71" i="15"/>
  <c r="I22" i="21" s="1"/>
  <c r="I69" i="15"/>
  <c r="E71" i="15"/>
  <c r="E22" i="21" s="1"/>
  <c r="E69" i="15"/>
  <c r="M45" i="17"/>
  <c r="L36" i="17"/>
  <c r="K8" i="17"/>
  <c r="K7" i="18" s="1"/>
  <c r="K10" i="18" s="1"/>
  <c r="K37" i="17"/>
  <c r="D28" i="19" l="1"/>
  <c r="P20" i="19" s="1"/>
  <c r="J18" i="17"/>
  <c r="J26" i="17" s="1"/>
  <c r="J13" i="15" s="1"/>
  <c r="F33" i="22"/>
  <c r="K10" i="17"/>
  <c r="K14" i="17" s="1"/>
  <c r="K6" i="15" s="1"/>
  <c r="K6" i="21"/>
  <c r="K9" i="21" s="1"/>
  <c r="K10" i="21" s="1"/>
  <c r="J104" i="18"/>
  <c r="J20" i="15" s="1"/>
  <c r="J26" i="18"/>
  <c r="J15" i="18"/>
  <c r="J8" i="16" s="1"/>
  <c r="J7" i="15"/>
  <c r="L8" i="17"/>
  <c r="L7" i="18" s="1"/>
  <c r="L10" i="18" s="1"/>
  <c r="L37" i="17"/>
  <c r="N45" i="17"/>
  <c r="M36" i="17"/>
  <c r="J63" i="18" l="1"/>
  <c r="J68" i="16" s="1"/>
  <c r="J23" i="18"/>
  <c r="J23" i="16" s="1"/>
  <c r="J42" i="18"/>
  <c r="J46" i="18" s="1"/>
  <c r="J52" i="18"/>
  <c r="J67" i="16" s="1"/>
  <c r="J12" i="21"/>
  <c r="K18" i="17"/>
  <c r="K12" i="21" s="1"/>
  <c r="K104" i="18"/>
  <c r="K20" i="15" s="1"/>
  <c r="G33" i="22"/>
  <c r="J93" i="17"/>
  <c r="J11" i="15"/>
  <c r="J11" i="18" s="1"/>
  <c r="J33" i="18" s="1"/>
  <c r="J60" i="16" s="1"/>
  <c r="J14" i="21"/>
  <c r="L10" i="17"/>
  <c r="L14" i="17" s="1"/>
  <c r="L6" i="15" s="1"/>
  <c r="L6" i="21"/>
  <c r="L9" i="21" s="1"/>
  <c r="L10" i="21" s="1"/>
  <c r="J13" i="16"/>
  <c r="J14" i="15"/>
  <c r="J15" i="21" s="1"/>
  <c r="K7" i="15"/>
  <c r="O45" i="17"/>
  <c r="N36" i="17"/>
  <c r="M8" i="17"/>
  <c r="M7" i="18" s="1"/>
  <c r="M10" i="18" s="1"/>
  <c r="M37" i="17"/>
  <c r="J69" i="16" l="1"/>
  <c r="J64" i="18"/>
  <c r="J67" i="18" s="1"/>
  <c r="J53" i="18"/>
  <c r="J57" i="16" s="1"/>
  <c r="K26" i="17"/>
  <c r="K93" i="17" s="1"/>
  <c r="K15" i="18"/>
  <c r="K8" i="16" s="1"/>
  <c r="K52" i="18"/>
  <c r="K67" i="16" s="1"/>
  <c r="K26" i="18"/>
  <c r="K13" i="16" s="1"/>
  <c r="K23" i="18"/>
  <c r="K23" i="16" s="1"/>
  <c r="K63" i="18"/>
  <c r="K64" i="18" s="1"/>
  <c r="K58" i="16" s="1"/>
  <c r="K42" i="18"/>
  <c r="K69" i="16" s="1"/>
  <c r="L18" i="17"/>
  <c r="L26" i="17" s="1"/>
  <c r="L93" i="17" s="1"/>
  <c r="H33" i="22"/>
  <c r="J20" i="18"/>
  <c r="J22" i="16" s="1"/>
  <c r="J41" i="16" s="1"/>
  <c r="M10" i="17"/>
  <c r="M14" i="17" s="1"/>
  <c r="M6" i="15" s="1"/>
  <c r="Q18" i="19" s="1"/>
  <c r="R18" i="19" s="1"/>
  <c r="M6" i="21"/>
  <c r="J27" i="20"/>
  <c r="K41" i="18"/>
  <c r="J14" i="16"/>
  <c r="J56" i="18"/>
  <c r="K51" i="18" s="1"/>
  <c r="J35" i="18"/>
  <c r="J10" i="16" s="1"/>
  <c r="J90" i="17"/>
  <c r="J89" i="17" s="1"/>
  <c r="J96" i="17" s="1"/>
  <c r="L7" i="15"/>
  <c r="N8" i="17"/>
  <c r="N7" i="18" s="1"/>
  <c r="N10" i="18" s="1"/>
  <c r="N37" i="17"/>
  <c r="P45" i="17"/>
  <c r="O36" i="17"/>
  <c r="M9" i="21" l="1"/>
  <c r="V6" i="21"/>
  <c r="J71" i="16"/>
  <c r="J17" i="15"/>
  <c r="J51" i="15" s="1"/>
  <c r="J58" i="16"/>
  <c r="K13" i="15"/>
  <c r="K14" i="15" s="1"/>
  <c r="K15" i="21" s="1"/>
  <c r="K53" i="18"/>
  <c r="K57" i="16" s="1"/>
  <c r="L42" i="18"/>
  <c r="L69" i="16" s="1"/>
  <c r="L52" i="18"/>
  <c r="L67" i="16" s="1"/>
  <c r="L63" i="18"/>
  <c r="L68" i="16" s="1"/>
  <c r="L23" i="18"/>
  <c r="L23" i="16" s="1"/>
  <c r="L104" i="18"/>
  <c r="L20" i="15" s="1"/>
  <c r="L15" i="18"/>
  <c r="L8" i="16" s="1"/>
  <c r="K68" i="16"/>
  <c r="K71" i="16" s="1"/>
  <c r="K46" i="18"/>
  <c r="L41" i="18" s="1"/>
  <c r="M18" i="17"/>
  <c r="M26" i="17" s="1"/>
  <c r="M13" i="15" s="1"/>
  <c r="L12" i="21"/>
  <c r="L26" i="18"/>
  <c r="L13" i="16" s="1"/>
  <c r="M26" i="18"/>
  <c r="I33" i="22"/>
  <c r="L13" i="15"/>
  <c r="L14" i="21" s="1"/>
  <c r="K11" i="15"/>
  <c r="K11" i="18" s="1"/>
  <c r="K33" i="18" s="1"/>
  <c r="J42" i="16"/>
  <c r="N10" i="17"/>
  <c r="N14" i="17" s="1"/>
  <c r="N6" i="15" s="1"/>
  <c r="N6" i="21"/>
  <c r="N9" i="21" s="1"/>
  <c r="N10" i="21" s="1"/>
  <c r="K62" i="18"/>
  <c r="K67" i="18" s="1"/>
  <c r="L62" i="18" s="1"/>
  <c r="J17" i="16"/>
  <c r="J15" i="16"/>
  <c r="K30" i="18"/>
  <c r="J61" i="16"/>
  <c r="M7" i="15"/>
  <c r="O8" i="17"/>
  <c r="O7" i="18" s="1"/>
  <c r="O10" i="18" s="1"/>
  <c r="O37" i="17"/>
  <c r="Q45" i="17"/>
  <c r="P36" i="17"/>
  <c r="M10" i="21" l="1"/>
  <c r="V9" i="21"/>
  <c r="L53" i="18"/>
  <c r="L57" i="16" s="1"/>
  <c r="K14" i="21"/>
  <c r="K56" i="18"/>
  <c r="L51" i="18" s="1"/>
  <c r="K17" i="15"/>
  <c r="K51" i="15" s="1"/>
  <c r="L64" i="18"/>
  <c r="L58" i="16" s="1"/>
  <c r="K27" i="20"/>
  <c r="L46" i="18"/>
  <c r="M41" i="18" s="1"/>
  <c r="L71" i="16"/>
  <c r="K14" i="16"/>
  <c r="M12" i="21"/>
  <c r="N18" i="17"/>
  <c r="N26" i="17" s="1"/>
  <c r="N93" i="17" s="1"/>
  <c r="L11" i="15"/>
  <c r="L11" i="18" s="1"/>
  <c r="L33" i="18" s="1"/>
  <c r="K20" i="18"/>
  <c r="K22" i="16" s="1"/>
  <c r="K41" i="16" s="1"/>
  <c r="N42" i="18"/>
  <c r="N69" i="16" s="1"/>
  <c r="J33" i="22"/>
  <c r="M52" i="18"/>
  <c r="M67" i="16" s="1"/>
  <c r="M63" i="18"/>
  <c r="M68" i="16" s="1"/>
  <c r="M15" i="18"/>
  <c r="M8" i="16" s="1"/>
  <c r="L14" i="15"/>
  <c r="L15" i="21" s="1"/>
  <c r="M104" i="18"/>
  <c r="M20" i="15" s="1"/>
  <c r="M23" i="18"/>
  <c r="M23" i="16" s="1"/>
  <c r="M42" i="18"/>
  <c r="M69" i="16" s="1"/>
  <c r="M14" i="15"/>
  <c r="M15" i="21" s="1"/>
  <c r="M14" i="21"/>
  <c r="O10" i="17"/>
  <c r="O14" i="17" s="1"/>
  <c r="O6" i="15" s="1"/>
  <c r="O6" i="21"/>
  <c r="O9" i="21" s="1"/>
  <c r="O10" i="21" s="1"/>
  <c r="M93" i="17"/>
  <c r="L27" i="20"/>
  <c r="K35" i="18"/>
  <c r="L30" i="18" s="1"/>
  <c r="K90" i="17"/>
  <c r="K60" i="16"/>
  <c r="K17" i="16"/>
  <c r="M13" i="16"/>
  <c r="M11" i="15"/>
  <c r="M11" i="18" s="1"/>
  <c r="N7" i="15"/>
  <c r="R45" i="17"/>
  <c r="Q36" i="17"/>
  <c r="P37" i="17"/>
  <c r="P8" i="17"/>
  <c r="P7" i="18" s="1"/>
  <c r="P10" i="18" s="1"/>
  <c r="L56" i="18" l="1"/>
  <c r="M51" i="18" s="1"/>
  <c r="K15" i="16"/>
  <c r="L67" i="18"/>
  <c r="L17" i="16" s="1"/>
  <c r="L17" i="15"/>
  <c r="L51" i="15" s="1"/>
  <c r="N104" i="18"/>
  <c r="N20" i="15" s="1"/>
  <c r="L14" i="16"/>
  <c r="N26" i="18"/>
  <c r="N13" i="16" s="1"/>
  <c r="N15" i="18"/>
  <c r="N8" i="16" s="1"/>
  <c r="N23" i="18"/>
  <c r="N23" i="16" s="1"/>
  <c r="O18" i="17"/>
  <c r="O26" i="17" s="1"/>
  <c r="O93" i="17" s="1"/>
  <c r="N12" i="21"/>
  <c r="N63" i="18"/>
  <c r="N64" i="18" s="1"/>
  <c r="N58" i="16" s="1"/>
  <c r="L20" i="18"/>
  <c r="L22" i="16" s="1"/>
  <c r="L41" i="16" s="1"/>
  <c r="N52" i="18"/>
  <c r="N67" i="16" s="1"/>
  <c r="M64" i="18"/>
  <c r="M58" i="16" s="1"/>
  <c r="M46" i="18"/>
  <c r="N41" i="18" s="1"/>
  <c r="N46" i="18" s="1"/>
  <c r="N14" i="16" s="1"/>
  <c r="M53" i="18"/>
  <c r="M57" i="16" s="1"/>
  <c r="M27" i="20"/>
  <c r="N13" i="15"/>
  <c r="N11" i="15" s="1"/>
  <c r="N11" i="18" s="1"/>
  <c r="N33" i="18" s="1"/>
  <c r="N90" i="17" s="1"/>
  <c r="P10" i="17"/>
  <c r="P14" i="17" s="1"/>
  <c r="P6" i="15" s="1"/>
  <c r="P6" i="21"/>
  <c r="P9" i="21" s="1"/>
  <c r="P10" i="21" s="1"/>
  <c r="M71" i="16"/>
  <c r="K10" i="16"/>
  <c r="L35" i="18"/>
  <c r="L10" i="16" s="1"/>
  <c r="K61" i="16"/>
  <c r="M20" i="18"/>
  <c r="M22" i="16" s="1"/>
  <c r="M41" i="16" s="1"/>
  <c r="M33" i="18"/>
  <c r="L60" i="16"/>
  <c r="L90" i="17"/>
  <c r="O42" i="18"/>
  <c r="O69" i="16" s="1"/>
  <c r="O104" i="18"/>
  <c r="O20" i="15" s="1"/>
  <c r="O7" i="15"/>
  <c r="O63" i="18"/>
  <c r="O26" i="18"/>
  <c r="O23" i="18"/>
  <c r="O23" i="16" s="1"/>
  <c r="O15" i="18"/>
  <c r="O8" i="16" s="1"/>
  <c r="O52" i="18"/>
  <c r="O67" i="16" s="1"/>
  <c r="Q37" i="17"/>
  <c r="Q8" i="17"/>
  <c r="Q7" i="18" s="1"/>
  <c r="Q10" i="18" s="1"/>
  <c r="S45" i="17"/>
  <c r="S36" i="17" s="1"/>
  <c r="R36" i="17"/>
  <c r="L15" i="16" l="1"/>
  <c r="M62" i="18"/>
  <c r="M67" i="18" s="1"/>
  <c r="N62" i="18" s="1"/>
  <c r="N67" i="18" s="1"/>
  <c r="O62" i="18" s="1"/>
  <c r="N68" i="16"/>
  <c r="N27" i="20" s="1"/>
  <c r="M56" i="18"/>
  <c r="N51" i="18" s="1"/>
  <c r="O12" i="21"/>
  <c r="M14" i="16"/>
  <c r="P18" i="17"/>
  <c r="P26" i="17" s="1"/>
  <c r="P93" i="17" s="1"/>
  <c r="O13" i="15"/>
  <c r="O11" i="15" s="1"/>
  <c r="O11" i="18" s="1"/>
  <c r="N53" i="18"/>
  <c r="N57" i="16" s="1"/>
  <c r="M17" i="15"/>
  <c r="M51" i="15" s="1"/>
  <c r="N14" i="21"/>
  <c r="N14" i="15"/>
  <c r="N15" i="21" s="1"/>
  <c r="Q10" i="17"/>
  <c r="Q18" i="17" s="1"/>
  <c r="Q6" i="21"/>
  <c r="Q9" i="21" s="1"/>
  <c r="Q10" i="21" s="1"/>
  <c r="N20" i="18"/>
  <c r="N22" i="16" s="1"/>
  <c r="N41" i="16" s="1"/>
  <c r="K42" i="16"/>
  <c r="L42" i="16"/>
  <c r="O53" i="18"/>
  <c r="O57" i="16" s="1"/>
  <c r="O41" i="18"/>
  <c r="O46" i="18" s="1"/>
  <c r="O14" i="16" s="1"/>
  <c r="O64" i="18"/>
  <c r="O58" i="16" s="1"/>
  <c r="O68" i="16"/>
  <c r="M30" i="18"/>
  <c r="M35" i="18" s="1"/>
  <c r="N60" i="16"/>
  <c r="L61" i="16"/>
  <c r="M90" i="17"/>
  <c r="M60" i="16"/>
  <c r="O13" i="16"/>
  <c r="P42" i="18"/>
  <c r="P69" i="16" s="1"/>
  <c r="P104" i="18"/>
  <c r="P20" i="15" s="1"/>
  <c r="P63" i="18"/>
  <c r="P7" i="15"/>
  <c r="P26" i="18"/>
  <c r="P23" i="18"/>
  <c r="P23" i="16" s="1"/>
  <c r="P15" i="18"/>
  <c r="P8" i="16" s="1"/>
  <c r="P52" i="18"/>
  <c r="P67" i="16" s="1"/>
  <c r="S8" i="17"/>
  <c r="S7" i="18" s="1"/>
  <c r="S10" i="18" s="1"/>
  <c r="S37" i="17"/>
  <c r="R37" i="17"/>
  <c r="R8" i="17"/>
  <c r="R7" i="18" s="1"/>
  <c r="R10" i="18" s="1"/>
  <c r="N71" i="16" l="1"/>
  <c r="O14" i="15"/>
  <c r="O15" i="21" s="1"/>
  <c r="O14" i="21"/>
  <c r="P12" i="21"/>
  <c r="M15" i="16"/>
  <c r="N17" i="15"/>
  <c r="N51" i="15" s="1"/>
  <c r="Q14" i="17"/>
  <c r="Q6" i="15" s="1"/>
  <c r="M17" i="16"/>
  <c r="N56" i="18"/>
  <c r="N15" i="16" s="1"/>
  <c r="P13" i="15"/>
  <c r="P11" i="15" s="1"/>
  <c r="P11" i="18" s="1"/>
  <c r="R10" i="17"/>
  <c r="R14" i="17" s="1"/>
  <c r="R6" i="15" s="1"/>
  <c r="R6" i="21"/>
  <c r="R9" i="21" s="1"/>
  <c r="R10" i="21" s="1"/>
  <c r="S10" i="17"/>
  <c r="S14" i="17" s="1"/>
  <c r="S6" i="15" s="1"/>
  <c r="S15" i="18" s="1"/>
  <c r="S8" i="16" s="1"/>
  <c r="S6" i="21"/>
  <c r="S9" i="21" s="1"/>
  <c r="Q26" i="17"/>
  <c r="Q93" i="17" s="1"/>
  <c r="Q12" i="21"/>
  <c r="N17" i="16"/>
  <c r="O27" i="20"/>
  <c r="O17" i="15"/>
  <c r="O51" i="15" s="1"/>
  <c r="O67" i="18"/>
  <c r="P62" i="18" s="1"/>
  <c r="O71" i="16"/>
  <c r="P53" i="18"/>
  <c r="P57" i="16" s="1"/>
  <c r="P64" i="18"/>
  <c r="P58" i="16" s="1"/>
  <c r="P68" i="16"/>
  <c r="N61" i="16"/>
  <c r="P41" i="18"/>
  <c r="P46" i="18" s="1"/>
  <c r="Q41" i="18" s="1"/>
  <c r="P13" i="16"/>
  <c r="M61" i="16"/>
  <c r="M10" i="16"/>
  <c r="N30" i="18"/>
  <c r="N35" i="18" s="1"/>
  <c r="O20" i="18"/>
  <c r="O22" i="16" s="1"/>
  <c r="O41" i="16" s="1"/>
  <c r="O33" i="18"/>
  <c r="Q63" i="18" l="1"/>
  <c r="Q64" i="18" s="1"/>
  <c r="Q58" i="16" s="1"/>
  <c r="Q52" i="18"/>
  <c r="Q67" i="16" s="1"/>
  <c r="Q23" i="18"/>
  <c r="Q23" i="16" s="1"/>
  <c r="Q42" i="18"/>
  <c r="Q69" i="16" s="1"/>
  <c r="Q7" i="15"/>
  <c r="Q104" i="18"/>
  <c r="Q20" i="15" s="1"/>
  <c r="Q15" i="18"/>
  <c r="Q8" i="16" s="1"/>
  <c r="O51" i="18"/>
  <c r="O56" i="18" s="1"/>
  <c r="P51" i="18" s="1"/>
  <c r="P56" i="18" s="1"/>
  <c r="R18" i="17"/>
  <c r="R26" i="17" s="1"/>
  <c r="R13" i="15" s="1"/>
  <c r="Q26" i="18"/>
  <c r="Q13" i="16" s="1"/>
  <c r="S18" i="17"/>
  <c r="S26" i="17" s="1"/>
  <c r="S13" i="15" s="1"/>
  <c r="P14" i="21"/>
  <c r="S10" i="21"/>
  <c r="S63" i="18"/>
  <c r="S68" i="16" s="1"/>
  <c r="S52" i="18"/>
  <c r="S67" i="16" s="1"/>
  <c r="S42" i="18"/>
  <c r="S69" i="16" s="1"/>
  <c r="P14" i="15"/>
  <c r="P15" i="21" s="1"/>
  <c r="Q13" i="15"/>
  <c r="Q14" i="15" s="1"/>
  <c r="Q15" i="21" s="1"/>
  <c r="S23" i="18"/>
  <c r="S23" i="16" s="1"/>
  <c r="S104" i="18"/>
  <c r="S20" i="15" s="1"/>
  <c r="S26" i="18"/>
  <c r="S13" i="16" s="1"/>
  <c r="O17" i="16"/>
  <c r="P27" i="20"/>
  <c r="P17" i="15"/>
  <c r="P51" i="15" s="1"/>
  <c r="P67" i="18"/>
  <c r="P17" i="16" s="1"/>
  <c r="P71" i="16"/>
  <c r="M42" i="16"/>
  <c r="O30" i="18"/>
  <c r="O35" i="18" s="1"/>
  <c r="N10" i="16"/>
  <c r="P20" i="18"/>
  <c r="P22" i="16" s="1"/>
  <c r="P41" i="16" s="1"/>
  <c r="P33" i="18"/>
  <c r="O60" i="16"/>
  <c r="O90" i="17"/>
  <c r="P14" i="16"/>
  <c r="R42" i="18"/>
  <c r="R69" i="16" s="1"/>
  <c r="R104" i="18"/>
  <c r="R20" i="15" s="1"/>
  <c r="R63" i="18"/>
  <c r="S7" i="15"/>
  <c r="R7" i="15"/>
  <c r="R26" i="18"/>
  <c r="R23" i="18"/>
  <c r="R23" i="16" s="1"/>
  <c r="R15" i="18"/>
  <c r="R8" i="16" s="1"/>
  <c r="R52" i="18"/>
  <c r="R67" i="16" s="1"/>
  <c r="Q46" i="18" l="1"/>
  <c r="R41" i="18" s="1"/>
  <c r="R46" i="18" s="1"/>
  <c r="S41" i="18" s="1"/>
  <c r="S46" i="18" s="1"/>
  <c r="S14" i="16" s="1"/>
  <c r="Q68" i="16"/>
  <c r="Q27" i="20" s="1"/>
  <c r="Q53" i="18"/>
  <c r="Q57" i="16" s="1"/>
  <c r="O15" i="16"/>
  <c r="R12" i="21"/>
  <c r="S64" i="18"/>
  <c r="S58" i="16" s="1"/>
  <c r="S12" i="21"/>
  <c r="S53" i="18"/>
  <c r="S57" i="16" s="1"/>
  <c r="Q11" i="15"/>
  <c r="Q11" i="18" s="1"/>
  <c r="Q20" i="18" s="1"/>
  <c r="Q22" i="16" s="1"/>
  <c r="Q41" i="16" s="1"/>
  <c r="S27" i="20"/>
  <c r="S93" i="17"/>
  <c r="Q14" i="21"/>
  <c r="R93" i="17"/>
  <c r="R14" i="15"/>
  <c r="R15" i="21" s="1"/>
  <c r="R14" i="21"/>
  <c r="S11" i="15"/>
  <c r="S11" i="18" s="1"/>
  <c r="S20" i="18" s="1"/>
  <c r="S22" i="16" s="1"/>
  <c r="S41" i="16" s="1"/>
  <c r="S14" i="21"/>
  <c r="P15" i="16"/>
  <c r="Q51" i="18"/>
  <c r="Q56" i="18" s="1"/>
  <c r="Q15" i="16" s="1"/>
  <c r="Q62" i="18"/>
  <c r="Q67" i="18" s="1"/>
  <c r="Q17" i="16" s="1"/>
  <c r="S71" i="16"/>
  <c r="R53" i="18"/>
  <c r="R57" i="16" s="1"/>
  <c r="R64" i="18"/>
  <c r="R58" i="16" s="1"/>
  <c r="R68" i="16"/>
  <c r="N42" i="16"/>
  <c r="O61" i="16"/>
  <c r="P30" i="18"/>
  <c r="P35" i="18" s="1"/>
  <c r="O10" i="16"/>
  <c r="R13" i="16"/>
  <c r="P90" i="17"/>
  <c r="P60" i="16"/>
  <c r="R11" i="15"/>
  <c r="R11" i="18" s="1"/>
  <c r="S14" i="15"/>
  <c r="S15" i="21" s="1"/>
  <c r="Q14" i="16" l="1"/>
  <c r="Q17" i="15"/>
  <c r="Q51" i="15" s="1"/>
  <c r="Q71" i="16"/>
  <c r="S17" i="15"/>
  <c r="S51" i="15" s="1"/>
  <c r="Q33" i="18"/>
  <c r="Q60" i="16" s="1"/>
  <c r="S33" i="18"/>
  <c r="S60" i="16" s="1"/>
  <c r="R51" i="18"/>
  <c r="R56" i="18" s="1"/>
  <c r="S51" i="18" s="1"/>
  <c r="S56" i="18" s="1"/>
  <c r="S15" i="16" s="1"/>
  <c r="R62" i="18"/>
  <c r="R67" i="18" s="1"/>
  <c r="S62" i="18" s="1"/>
  <c r="S67" i="18" s="1"/>
  <c r="S17" i="16" s="1"/>
  <c r="R27" i="20"/>
  <c r="R17" i="15"/>
  <c r="R51" i="15" s="1"/>
  <c r="R71" i="16"/>
  <c r="O42" i="16"/>
  <c r="R14" i="16"/>
  <c r="P10" i="16"/>
  <c r="Q30" i="18"/>
  <c r="P61" i="16"/>
  <c r="R20" i="18"/>
  <c r="R22" i="16" s="1"/>
  <c r="R41" i="16" s="1"/>
  <c r="R33" i="18"/>
  <c r="Q90" i="17" l="1"/>
  <c r="Q35" i="18"/>
  <c r="R30" i="18" s="1"/>
  <c r="R35" i="18" s="1"/>
  <c r="S90" i="17"/>
  <c r="R15" i="16"/>
  <c r="R17" i="16"/>
  <c r="P42" i="16"/>
  <c r="R90" i="17"/>
  <c r="R60" i="16"/>
  <c r="Q61" i="16"/>
  <c r="Q10" i="16" l="1"/>
  <c r="Q42" i="16" s="1"/>
  <c r="S61" i="16"/>
  <c r="S30" i="18"/>
  <c r="S35" i="18" s="1"/>
  <c r="S10" i="16" s="1"/>
  <c r="R10" i="16"/>
  <c r="R61" i="16"/>
  <c r="S42" i="16" l="1"/>
  <c r="R42" i="16"/>
  <c r="K89" i="17" l="1"/>
  <c r="K96" i="17" s="1"/>
  <c r="L89" i="17"/>
  <c r="L96" i="17" s="1"/>
  <c r="M89" i="17"/>
  <c r="M96" i="17" s="1"/>
  <c r="N89" i="17"/>
  <c r="N96" i="17" s="1"/>
  <c r="O89" i="17"/>
  <c r="O96" i="17" s="1"/>
  <c r="P89" i="17"/>
  <c r="P96" i="17" s="1"/>
  <c r="Q89" i="17"/>
  <c r="Q96" i="17" s="1"/>
  <c r="R89" i="17"/>
  <c r="R96" i="17" s="1"/>
  <c r="S89" i="17"/>
  <c r="S96" i="17" s="1"/>
  <c r="J6" i="16"/>
  <c r="K6" i="16"/>
  <c r="L6" i="16"/>
  <c r="M6" i="16"/>
  <c r="N6" i="16"/>
  <c r="O6" i="16"/>
  <c r="P6" i="16"/>
  <c r="Q6" i="16"/>
  <c r="R6" i="16"/>
  <c r="S6" i="16"/>
  <c r="J11" i="16"/>
  <c r="K11" i="16"/>
  <c r="L11" i="16"/>
  <c r="M11" i="16"/>
  <c r="N11" i="16"/>
  <c r="O11" i="16"/>
  <c r="P11" i="16"/>
  <c r="Q11" i="16"/>
  <c r="R11" i="16"/>
  <c r="S11" i="16"/>
  <c r="J19" i="16"/>
  <c r="K19" i="16"/>
  <c r="L19" i="16"/>
  <c r="M19" i="16"/>
  <c r="N19" i="16"/>
  <c r="O19" i="16"/>
  <c r="P19" i="16"/>
  <c r="Q19" i="16"/>
  <c r="R19" i="16"/>
  <c r="S19" i="16"/>
  <c r="J21" i="16"/>
  <c r="K21" i="16"/>
  <c r="L21" i="16"/>
  <c r="M21" i="16"/>
  <c r="N21" i="16"/>
  <c r="O21" i="16"/>
  <c r="P21" i="16"/>
  <c r="Q21" i="16"/>
  <c r="R21" i="16"/>
  <c r="S21" i="16"/>
  <c r="J24" i="16"/>
  <c r="K24" i="16"/>
  <c r="L24" i="16"/>
  <c r="M24" i="16"/>
  <c r="N24" i="16"/>
  <c r="O24" i="16"/>
  <c r="P24" i="16"/>
  <c r="Q24" i="16"/>
  <c r="R24" i="16"/>
  <c r="S24" i="16"/>
  <c r="J27" i="16"/>
  <c r="K27" i="16"/>
  <c r="L27" i="16"/>
  <c r="M27" i="16"/>
  <c r="N27" i="16"/>
  <c r="O27" i="16"/>
  <c r="P27" i="16"/>
  <c r="Q27" i="16"/>
  <c r="R27" i="16"/>
  <c r="S27" i="16"/>
  <c r="J29" i="16"/>
  <c r="K29" i="16"/>
  <c r="L29" i="16"/>
  <c r="M29" i="16"/>
  <c r="N29" i="16"/>
  <c r="O29" i="16"/>
  <c r="P29" i="16"/>
  <c r="Q29" i="16"/>
  <c r="R29" i="16"/>
  <c r="S29" i="16"/>
  <c r="J33" i="16"/>
  <c r="K33" i="16"/>
  <c r="L33" i="16"/>
  <c r="M33" i="16"/>
  <c r="N33" i="16"/>
  <c r="O33" i="16"/>
  <c r="P33" i="16"/>
  <c r="Q33" i="16"/>
  <c r="R33" i="16"/>
  <c r="S33" i="16"/>
  <c r="J35" i="16"/>
  <c r="K35" i="16"/>
  <c r="L35" i="16"/>
  <c r="M35" i="16"/>
  <c r="N35" i="16"/>
  <c r="O35" i="16"/>
  <c r="P35" i="16"/>
  <c r="Q35" i="16"/>
  <c r="R35" i="16"/>
  <c r="S35" i="16"/>
  <c r="J37" i="16"/>
  <c r="K37" i="16"/>
  <c r="L37" i="16"/>
  <c r="M37" i="16"/>
  <c r="N37" i="16"/>
  <c r="O37" i="16"/>
  <c r="P37" i="16"/>
  <c r="Q37" i="16"/>
  <c r="R37" i="16"/>
  <c r="S37" i="16"/>
  <c r="J39" i="16"/>
  <c r="K39" i="16"/>
  <c r="L39" i="16"/>
  <c r="M39" i="16"/>
  <c r="N39" i="16"/>
  <c r="O39" i="16"/>
  <c r="P39" i="16"/>
  <c r="Q39" i="16"/>
  <c r="R39" i="16"/>
  <c r="S39" i="16"/>
  <c r="J44" i="16"/>
  <c r="K44" i="16"/>
  <c r="L44" i="16"/>
  <c r="M44" i="16"/>
  <c r="N44" i="16"/>
  <c r="O44" i="16"/>
  <c r="P44" i="16"/>
  <c r="Q44" i="16"/>
  <c r="R44" i="16"/>
  <c r="S44" i="16"/>
  <c r="J45" i="16"/>
  <c r="K45" i="16"/>
  <c r="L45" i="16"/>
  <c r="M45" i="16"/>
  <c r="N45" i="16"/>
  <c r="O45" i="16"/>
  <c r="P45" i="16"/>
  <c r="Q45" i="16"/>
  <c r="R45" i="16"/>
  <c r="S45" i="16"/>
  <c r="J47" i="16"/>
  <c r="K47" i="16"/>
  <c r="L47" i="16"/>
  <c r="M47" i="16"/>
  <c r="N47" i="16"/>
  <c r="O47" i="16"/>
  <c r="P47" i="16"/>
  <c r="Q47" i="16"/>
  <c r="R47" i="16"/>
  <c r="S47" i="16"/>
  <c r="J48" i="16"/>
  <c r="K48" i="16"/>
  <c r="L48" i="16"/>
  <c r="M48" i="16"/>
  <c r="N48" i="16"/>
  <c r="O48" i="16"/>
  <c r="P48" i="16"/>
  <c r="Q48" i="16"/>
  <c r="R48" i="16"/>
  <c r="S48" i="16"/>
  <c r="J50" i="16"/>
  <c r="K50" i="16"/>
  <c r="L50" i="16"/>
  <c r="M50" i="16"/>
  <c r="N50" i="16"/>
  <c r="O50" i="16"/>
  <c r="P50" i="16"/>
  <c r="Q50" i="16"/>
  <c r="R50" i="16"/>
  <c r="S50" i="16"/>
  <c r="J52" i="16"/>
  <c r="K52" i="16"/>
  <c r="L52" i="16"/>
  <c r="M52" i="16"/>
  <c r="N52" i="16"/>
  <c r="O52" i="16"/>
  <c r="P52" i="16"/>
  <c r="Q52" i="16"/>
  <c r="R52" i="16"/>
  <c r="S52" i="16"/>
  <c r="J56" i="16"/>
  <c r="K56" i="16"/>
  <c r="L56" i="16"/>
  <c r="M56" i="16"/>
  <c r="N56" i="16"/>
  <c r="O56" i="16"/>
  <c r="P56" i="16"/>
  <c r="Q56" i="16"/>
  <c r="R56" i="16"/>
  <c r="S56" i="16"/>
  <c r="J63" i="16"/>
  <c r="K63" i="16"/>
  <c r="L63" i="16"/>
  <c r="M63" i="16"/>
  <c r="N63" i="16"/>
  <c r="O63" i="16"/>
  <c r="P63" i="16"/>
  <c r="Q63" i="16"/>
  <c r="R63" i="16"/>
  <c r="S63" i="16"/>
  <c r="J65" i="16"/>
  <c r="K65" i="16"/>
  <c r="L65" i="16"/>
  <c r="M65" i="16"/>
  <c r="N65" i="16"/>
  <c r="O65" i="16"/>
  <c r="P65" i="16"/>
  <c r="Q65" i="16"/>
  <c r="R65" i="16"/>
  <c r="S65" i="16"/>
  <c r="J73" i="16"/>
  <c r="K73" i="16"/>
  <c r="L73" i="16"/>
  <c r="M73" i="16"/>
  <c r="N73" i="16"/>
  <c r="O73" i="16"/>
  <c r="P73" i="16"/>
  <c r="Q73" i="16"/>
  <c r="R73" i="16"/>
  <c r="S73" i="16"/>
  <c r="J77" i="16"/>
  <c r="K77" i="16"/>
  <c r="L77" i="16"/>
  <c r="M77" i="16"/>
  <c r="N77" i="16"/>
  <c r="O77" i="16"/>
  <c r="P77" i="16"/>
  <c r="Q77" i="16"/>
  <c r="R77" i="16"/>
  <c r="S77" i="16"/>
  <c r="J79" i="16"/>
  <c r="K79" i="16"/>
  <c r="L79" i="16"/>
  <c r="M79" i="16"/>
  <c r="N79" i="16"/>
  <c r="O79" i="16"/>
  <c r="P79" i="16"/>
  <c r="Q79" i="16"/>
  <c r="R79" i="16"/>
  <c r="S79" i="16"/>
  <c r="J7" i="20"/>
  <c r="K7" i="20"/>
  <c r="L7" i="20"/>
  <c r="M7" i="20"/>
  <c r="N7" i="20"/>
  <c r="O7" i="20"/>
  <c r="P7" i="20"/>
  <c r="Q7" i="20"/>
  <c r="R7" i="20"/>
  <c r="S7" i="20"/>
  <c r="J8" i="20"/>
  <c r="K8" i="20"/>
  <c r="L8" i="20"/>
  <c r="M8" i="20"/>
  <c r="N8" i="20"/>
  <c r="O8" i="20"/>
  <c r="P8" i="20"/>
  <c r="Q8" i="20"/>
  <c r="R8" i="20"/>
  <c r="S8" i="20"/>
  <c r="J13" i="20"/>
  <c r="K13" i="20"/>
  <c r="L13" i="20"/>
  <c r="M13" i="20"/>
  <c r="N13" i="20"/>
  <c r="O13" i="20"/>
  <c r="P13" i="20"/>
  <c r="Q13" i="20"/>
  <c r="R13" i="20"/>
  <c r="S13" i="20"/>
  <c r="J22" i="20"/>
  <c r="K22" i="20"/>
  <c r="L22" i="20"/>
  <c r="M22" i="20"/>
  <c r="N22" i="20"/>
  <c r="O22" i="20"/>
  <c r="P22" i="20"/>
  <c r="Q22" i="20"/>
  <c r="R22" i="20"/>
  <c r="S22" i="20"/>
  <c r="J25" i="20"/>
  <c r="K25" i="20"/>
  <c r="L25" i="20"/>
  <c r="M25" i="20"/>
  <c r="N25" i="20"/>
  <c r="O25" i="20"/>
  <c r="P25" i="20"/>
  <c r="Q25" i="20"/>
  <c r="R25" i="20"/>
  <c r="S25" i="20"/>
  <c r="J26" i="20"/>
  <c r="K26" i="20"/>
  <c r="L26" i="20"/>
  <c r="M26" i="20"/>
  <c r="N26" i="20"/>
  <c r="O26" i="20"/>
  <c r="P26" i="20"/>
  <c r="Q26" i="20"/>
  <c r="R26" i="20"/>
  <c r="S26" i="20"/>
  <c r="J30" i="20"/>
  <c r="K30" i="20"/>
  <c r="L30" i="20"/>
  <c r="M30" i="20"/>
  <c r="N30" i="20"/>
  <c r="O30" i="20"/>
  <c r="P30" i="20"/>
  <c r="Q30" i="20"/>
  <c r="R30" i="20"/>
  <c r="S30" i="20"/>
  <c r="K32" i="20"/>
  <c r="L32" i="20"/>
  <c r="M32" i="20"/>
  <c r="N32" i="20"/>
  <c r="O32" i="20"/>
  <c r="P32" i="20"/>
  <c r="Q32" i="20"/>
  <c r="R32" i="20"/>
  <c r="S32" i="20"/>
  <c r="J34" i="20"/>
  <c r="K34" i="20"/>
  <c r="L34" i="20"/>
  <c r="M34" i="20"/>
  <c r="N34" i="20"/>
  <c r="O34" i="20"/>
  <c r="P34" i="20"/>
  <c r="Q34" i="20"/>
  <c r="R34" i="20"/>
  <c r="S34" i="20"/>
  <c r="K38" i="20"/>
  <c r="L38" i="20"/>
  <c r="M38" i="20"/>
  <c r="N38" i="20"/>
  <c r="O38" i="20"/>
  <c r="P38" i="20"/>
  <c r="Q38" i="20"/>
  <c r="R38" i="20"/>
  <c r="S38" i="20"/>
  <c r="J39" i="20"/>
  <c r="K39" i="20"/>
  <c r="L39" i="20"/>
  <c r="M39" i="20"/>
  <c r="N39" i="20"/>
  <c r="O39" i="20"/>
  <c r="P39" i="20"/>
  <c r="Q39" i="20"/>
  <c r="R39" i="20"/>
  <c r="S39" i="20"/>
  <c r="J40" i="20"/>
  <c r="K40" i="20"/>
  <c r="L40" i="20"/>
  <c r="M40" i="20"/>
  <c r="N40" i="20"/>
  <c r="O40" i="20"/>
  <c r="P40" i="20"/>
  <c r="Q40" i="20"/>
  <c r="R40" i="20"/>
  <c r="S40" i="20"/>
  <c r="J41" i="20"/>
  <c r="K41" i="20"/>
  <c r="L41" i="20"/>
  <c r="M41" i="20"/>
  <c r="N41" i="20"/>
  <c r="O41" i="20"/>
  <c r="P41" i="20"/>
  <c r="Q41" i="20"/>
  <c r="R41" i="20"/>
  <c r="S41" i="20"/>
  <c r="K44" i="20"/>
  <c r="L44" i="20"/>
  <c r="M44" i="20"/>
  <c r="N44" i="20"/>
  <c r="O44" i="20"/>
  <c r="P44" i="20"/>
  <c r="Q44" i="20"/>
  <c r="R44" i="20"/>
  <c r="S44" i="20"/>
  <c r="J45" i="20"/>
  <c r="K45" i="20"/>
  <c r="L45" i="20"/>
  <c r="M45" i="20"/>
  <c r="N45" i="20"/>
  <c r="O45" i="20"/>
  <c r="P45" i="20"/>
  <c r="Q45" i="20"/>
  <c r="R45" i="20"/>
  <c r="S45" i="20"/>
  <c r="J46" i="20"/>
  <c r="K46" i="20"/>
  <c r="L46" i="20"/>
  <c r="M46" i="20"/>
  <c r="N46" i="20"/>
  <c r="O46" i="20"/>
  <c r="P46" i="20"/>
  <c r="Q46" i="20"/>
  <c r="R46" i="20"/>
  <c r="S46" i="20"/>
  <c r="J47" i="20"/>
  <c r="K47" i="20"/>
  <c r="L47" i="20"/>
  <c r="M47" i="20"/>
  <c r="N47" i="20"/>
  <c r="O47" i="20"/>
  <c r="P47" i="20"/>
  <c r="Q47" i="20"/>
  <c r="R47" i="20"/>
  <c r="S47" i="20"/>
  <c r="K55" i="20"/>
  <c r="L55" i="20"/>
  <c r="M55" i="20"/>
  <c r="N55" i="20"/>
  <c r="O55" i="20"/>
  <c r="P55" i="20"/>
  <c r="Q55" i="20"/>
  <c r="R55" i="20"/>
  <c r="S55" i="20"/>
  <c r="J56" i="20"/>
  <c r="K56" i="20"/>
  <c r="L56" i="20"/>
  <c r="M56" i="20"/>
  <c r="N56" i="20"/>
  <c r="O56" i="20"/>
  <c r="P56" i="20"/>
  <c r="Q56" i="20"/>
  <c r="R56" i="20"/>
  <c r="S56" i="20"/>
  <c r="J57" i="20"/>
  <c r="K57" i="20"/>
  <c r="L57" i="20"/>
  <c r="M57" i="20"/>
  <c r="N57" i="20"/>
  <c r="O57" i="20"/>
  <c r="P57" i="20"/>
  <c r="Q57" i="20"/>
  <c r="R57" i="20"/>
  <c r="S57" i="20"/>
  <c r="J58" i="20"/>
  <c r="K58" i="20"/>
  <c r="L58" i="20"/>
  <c r="M58" i="20"/>
  <c r="N58" i="20"/>
  <c r="O58" i="20"/>
  <c r="P58" i="20"/>
  <c r="Q58" i="20"/>
  <c r="R58" i="20"/>
  <c r="S58" i="20"/>
  <c r="K68" i="20"/>
  <c r="L68" i="20"/>
  <c r="M68" i="20"/>
  <c r="N68" i="20"/>
  <c r="O68" i="20"/>
  <c r="P68" i="20"/>
  <c r="Q68" i="20"/>
  <c r="R68" i="20"/>
  <c r="S68" i="20"/>
  <c r="J69" i="20"/>
  <c r="K69" i="20"/>
  <c r="L69" i="20"/>
  <c r="M69" i="20"/>
  <c r="N69" i="20"/>
  <c r="O69" i="20"/>
  <c r="P69" i="20"/>
  <c r="Q69" i="20"/>
  <c r="R69" i="20"/>
  <c r="S69" i="20"/>
  <c r="J70" i="20"/>
  <c r="K70" i="20"/>
  <c r="L70" i="20"/>
  <c r="M70" i="20"/>
  <c r="N70" i="20"/>
  <c r="O70" i="20"/>
  <c r="P70" i="20"/>
  <c r="Q70" i="20"/>
  <c r="R70" i="20"/>
  <c r="S70" i="20"/>
  <c r="J71" i="20"/>
  <c r="K71" i="20"/>
  <c r="L71" i="20"/>
  <c r="M71" i="20"/>
  <c r="N71" i="20"/>
  <c r="O71" i="20"/>
  <c r="P71" i="20"/>
  <c r="Q71" i="20"/>
  <c r="R71" i="20"/>
  <c r="S71" i="20"/>
  <c r="J12" i="18"/>
  <c r="K12" i="18"/>
  <c r="L12" i="18"/>
  <c r="M12" i="18"/>
  <c r="N12" i="18"/>
  <c r="O12" i="18"/>
  <c r="P12" i="18"/>
  <c r="Q12" i="18"/>
  <c r="R12" i="18"/>
  <c r="S12" i="18"/>
  <c r="K74" i="18"/>
  <c r="L74" i="18"/>
  <c r="M74" i="18"/>
  <c r="N74" i="18"/>
  <c r="O74" i="18"/>
  <c r="P74" i="18"/>
  <c r="Q74" i="18"/>
  <c r="R74" i="18"/>
  <c r="S74" i="18"/>
  <c r="J75" i="18"/>
  <c r="K75" i="18"/>
  <c r="L75" i="18"/>
  <c r="M75" i="18"/>
  <c r="N75" i="18"/>
  <c r="O75" i="18"/>
  <c r="P75" i="18"/>
  <c r="Q75" i="18"/>
  <c r="R75" i="18"/>
  <c r="S75" i="18"/>
  <c r="J78" i="18"/>
  <c r="K78" i="18"/>
  <c r="L78" i="18"/>
  <c r="M78" i="18"/>
  <c r="N78" i="18"/>
  <c r="O78" i="18"/>
  <c r="P78" i="18"/>
  <c r="Q78" i="18"/>
  <c r="R78" i="18"/>
  <c r="S78" i="18"/>
  <c r="J107" i="18"/>
  <c r="K107" i="18"/>
  <c r="L107" i="18"/>
  <c r="M107" i="18"/>
  <c r="N107" i="18"/>
  <c r="O107" i="18"/>
  <c r="P107" i="18"/>
  <c r="Q107" i="18"/>
  <c r="R107" i="18"/>
  <c r="S107" i="18"/>
  <c r="K18" i="19"/>
  <c r="L18" i="19"/>
  <c r="M18" i="19"/>
  <c r="S18" i="19"/>
  <c r="T18" i="19"/>
  <c r="Q19" i="19"/>
  <c r="R19" i="19"/>
  <c r="S19" i="19"/>
  <c r="T19" i="19"/>
  <c r="K20" i="19"/>
  <c r="L20" i="19"/>
  <c r="M20" i="19"/>
  <c r="Q20" i="19"/>
  <c r="R20" i="19"/>
  <c r="S20" i="19"/>
  <c r="T20" i="19"/>
  <c r="R21" i="19"/>
  <c r="S21" i="19"/>
  <c r="T21" i="19"/>
  <c r="K22" i="19"/>
  <c r="L22" i="19"/>
  <c r="M22" i="19"/>
  <c r="R22" i="19"/>
  <c r="K24" i="19"/>
  <c r="L24" i="19"/>
  <c r="M24" i="19"/>
  <c r="K26" i="19"/>
  <c r="L26" i="19"/>
  <c r="M26" i="19"/>
  <c r="K28" i="19"/>
  <c r="L28" i="19"/>
  <c r="M28" i="19"/>
  <c r="K29" i="19"/>
  <c r="L29" i="19"/>
  <c r="M29" i="19"/>
  <c r="K33" i="19"/>
  <c r="L33" i="19"/>
  <c r="M33" i="19"/>
  <c r="K34" i="19"/>
  <c r="L34" i="19"/>
  <c r="M34" i="19"/>
  <c r="K35" i="19"/>
  <c r="L35" i="19"/>
  <c r="M35" i="19"/>
  <c r="K36" i="19"/>
  <c r="L36" i="19"/>
  <c r="M36" i="19"/>
  <c r="J22" i="15"/>
  <c r="K22" i="15"/>
  <c r="L22" i="15"/>
  <c r="M22" i="15"/>
  <c r="N22" i="15"/>
  <c r="O22" i="15"/>
  <c r="P22" i="15"/>
  <c r="Q22" i="15"/>
  <c r="R22" i="15"/>
  <c r="S22" i="15"/>
  <c r="J27" i="15"/>
  <c r="K27" i="15"/>
  <c r="L27" i="15"/>
  <c r="M27" i="15"/>
  <c r="N27" i="15"/>
  <c r="O27" i="15"/>
  <c r="P27" i="15"/>
  <c r="Q27" i="15"/>
  <c r="R27" i="15"/>
  <c r="S27" i="15"/>
  <c r="J28" i="15"/>
  <c r="K28" i="15"/>
  <c r="L28" i="15"/>
  <c r="M28" i="15"/>
  <c r="N28" i="15"/>
  <c r="O28" i="15"/>
  <c r="P28" i="15"/>
  <c r="Q28" i="15"/>
  <c r="R28" i="15"/>
  <c r="S28" i="15"/>
  <c r="J30" i="15"/>
  <c r="K30" i="15"/>
  <c r="L30" i="15"/>
  <c r="M30" i="15"/>
  <c r="N30" i="15"/>
  <c r="O30" i="15"/>
  <c r="P30" i="15"/>
  <c r="Q30" i="15"/>
  <c r="R30" i="15"/>
  <c r="S30" i="15"/>
  <c r="J32" i="15"/>
  <c r="K32" i="15"/>
  <c r="L32" i="15"/>
  <c r="M32" i="15"/>
  <c r="N32" i="15"/>
  <c r="O32" i="15"/>
  <c r="P32" i="15"/>
  <c r="Q32" i="15"/>
  <c r="R32" i="15"/>
  <c r="S32" i="15"/>
  <c r="J34" i="15"/>
  <c r="K34" i="15"/>
  <c r="L34" i="15"/>
  <c r="M34" i="15"/>
  <c r="N34" i="15"/>
  <c r="O34" i="15"/>
  <c r="P34" i="15"/>
  <c r="Q34" i="15"/>
  <c r="R34" i="15"/>
  <c r="S34" i="15"/>
  <c r="J36" i="15"/>
  <c r="K36" i="15"/>
  <c r="L36" i="15"/>
  <c r="M36" i="15"/>
  <c r="N36" i="15"/>
  <c r="O36" i="15"/>
  <c r="P36" i="15"/>
  <c r="Q36" i="15"/>
  <c r="R36" i="15"/>
  <c r="S36" i="15"/>
  <c r="J38" i="15"/>
  <c r="K38" i="15"/>
  <c r="L38" i="15"/>
  <c r="M38" i="15"/>
  <c r="N38" i="15"/>
  <c r="O38" i="15"/>
  <c r="P38" i="15"/>
  <c r="Q38" i="15"/>
  <c r="R38" i="15"/>
  <c r="S38" i="15"/>
  <c r="J39" i="15"/>
  <c r="K39" i="15"/>
  <c r="L39" i="15"/>
  <c r="M39" i="15"/>
  <c r="N39" i="15"/>
  <c r="O39" i="15"/>
  <c r="P39" i="15"/>
  <c r="Q39" i="15"/>
  <c r="R39" i="15"/>
  <c r="S39" i="15"/>
  <c r="J48" i="15"/>
  <c r="K48" i="15"/>
  <c r="L48" i="15"/>
  <c r="M48" i="15"/>
  <c r="N48" i="15"/>
  <c r="O48" i="15"/>
  <c r="P48" i="15"/>
  <c r="Q48" i="15"/>
  <c r="R48" i="15"/>
  <c r="S48" i="15"/>
  <c r="J49" i="15"/>
  <c r="K49" i="15"/>
  <c r="L49" i="15"/>
  <c r="M49" i="15"/>
  <c r="N49" i="15"/>
  <c r="O49" i="15"/>
  <c r="P49" i="15"/>
  <c r="Q49" i="15"/>
  <c r="R49" i="15"/>
  <c r="S49" i="15"/>
  <c r="J50" i="15"/>
  <c r="K50" i="15"/>
  <c r="L50" i="15"/>
  <c r="M50" i="15"/>
  <c r="N50" i="15"/>
  <c r="O50" i="15"/>
  <c r="P50" i="15"/>
  <c r="Q50" i="15"/>
  <c r="R50" i="15"/>
  <c r="S50" i="15"/>
  <c r="J56" i="15"/>
  <c r="K56" i="15"/>
  <c r="L56" i="15"/>
  <c r="M56" i="15"/>
  <c r="N56" i="15"/>
  <c r="O56" i="15"/>
  <c r="P56" i="15"/>
  <c r="Q56" i="15"/>
  <c r="R56" i="15"/>
  <c r="S56" i="15"/>
  <c r="J57" i="15"/>
  <c r="K57" i="15"/>
  <c r="L57" i="15"/>
  <c r="M57" i="15"/>
  <c r="N57" i="15"/>
  <c r="O57" i="15"/>
  <c r="P57" i="15"/>
  <c r="Q57" i="15"/>
  <c r="R57" i="15"/>
  <c r="S57" i="15"/>
  <c r="J59" i="15"/>
  <c r="K59" i="15"/>
  <c r="L59" i="15"/>
  <c r="M59" i="15"/>
  <c r="N59" i="15"/>
  <c r="O59" i="15"/>
  <c r="P59" i="15"/>
  <c r="Q59" i="15"/>
  <c r="R59" i="15"/>
  <c r="S59" i="15"/>
  <c r="J62" i="15"/>
  <c r="K62" i="15"/>
  <c r="L62" i="15"/>
  <c r="M62" i="15"/>
  <c r="N62" i="15"/>
  <c r="O62" i="15"/>
  <c r="P62" i="15"/>
  <c r="Q62" i="15"/>
  <c r="R62" i="15"/>
  <c r="S62" i="15"/>
  <c r="J63" i="15"/>
  <c r="K63" i="15"/>
  <c r="L63" i="15"/>
  <c r="M63" i="15"/>
  <c r="N63" i="15"/>
  <c r="O63" i="15"/>
  <c r="P63" i="15"/>
  <c r="Q63" i="15"/>
  <c r="R63" i="15"/>
  <c r="S63" i="15"/>
  <c r="J68" i="15"/>
  <c r="K68" i="15"/>
  <c r="L68" i="15"/>
  <c r="M68" i="15"/>
  <c r="N68" i="15"/>
  <c r="O68" i="15"/>
  <c r="P68" i="15"/>
  <c r="Q68" i="15"/>
  <c r="R68" i="15"/>
  <c r="S68" i="15"/>
  <c r="J69" i="15"/>
  <c r="K69" i="15"/>
  <c r="L69" i="15"/>
  <c r="M69" i="15"/>
  <c r="N69" i="15"/>
  <c r="O69" i="15"/>
  <c r="P69" i="15"/>
  <c r="Q69" i="15"/>
  <c r="R69" i="15"/>
  <c r="S69" i="15"/>
  <c r="J71" i="15"/>
  <c r="K71" i="15"/>
  <c r="L71" i="15"/>
  <c r="M71" i="15"/>
  <c r="N71" i="15"/>
  <c r="O71" i="15"/>
  <c r="P71" i="15"/>
  <c r="Q71" i="15"/>
  <c r="R71" i="15"/>
  <c r="S71" i="15"/>
  <c r="J72" i="15"/>
  <c r="K72" i="15"/>
  <c r="L72" i="15"/>
  <c r="M72" i="15"/>
  <c r="N72" i="15"/>
  <c r="O72" i="15"/>
  <c r="P72" i="15"/>
  <c r="Q72" i="15"/>
  <c r="R72" i="15"/>
  <c r="S72" i="15"/>
  <c r="F34" i="22"/>
  <c r="G34" i="22"/>
  <c r="H34" i="22"/>
  <c r="I34" i="22"/>
  <c r="J34" i="22"/>
  <c r="J17" i="21"/>
  <c r="K17" i="21"/>
  <c r="L17" i="21"/>
  <c r="M17" i="21"/>
  <c r="N17" i="21"/>
  <c r="O17" i="21"/>
  <c r="P17" i="21"/>
  <c r="Q17" i="21"/>
  <c r="R17" i="21"/>
  <c r="S17" i="21"/>
  <c r="J19" i="21"/>
  <c r="K19" i="21"/>
  <c r="L19" i="21"/>
  <c r="M19" i="21"/>
  <c r="N19" i="21"/>
  <c r="O19" i="21"/>
  <c r="P19" i="21"/>
  <c r="Q19" i="21"/>
  <c r="R19" i="21"/>
  <c r="S19" i="21"/>
  <c r="J20" i="21"/>
  <c r="K20" i="21"/>
  <c r="L20" i="21"/>
  <c r="M20" i="21"/>
  <c r="N20" i="21"/>
  <c r="O20" i="21"/>
  <c r="P20" i="21"/>
  <c r="Q20" i="21"/>
  <c r="R20" i="21"/>
  <c r="S20" i="21"/>
  <c r="J22" i="21"/>
  <c r="K22" i="21"/>
  <c r="L22" i="21"/>
  <c r="M22" i="21"/>
  <c r="N22" i="21"/>
  <c r="O22" i="21"/>
  <c r="P22" i="21"/>
  <c r="Q22" i="21"/>
  <c r="R22" i="21"/>
  <c r="S22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O19" authorId="0" shapeId="0" xr:uid="{FEE48D6A-158D-4466-A062-88D9CEA3D49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to get to proportionate EBITDA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H9" authorId="0" shapeId="0" xr:uid="{29EDD597-A6AA-4DAD-B8C6-1CAF06ACAD9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Dispute with former employee settlement</t>
        </r>
      </text>
    </comment>
    <comment ref="I39" authorId="0" shapeId="0" xr:uid="{D214980D-20F9-4634-8167-A9414E7750A0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Dilutive effect casues and adjusted net loss to common</t>
        </r>
      </text>
    </comment>
    <comment ref="B59" authorId="0" shapeId="0" xr:uid="{BFC8F6EE-8D2F-4BEB-B874-B39053A1EBE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Company defined
</t>
        </r>
      </text>
    </comment>
    <comment ref="H75" authorId="0" shapeId="0" xr:uid="{3E2FF151-0FB3-49BE-A93A-D17B40FF8849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I75" authorId="0" shapeId="0" xr:uid="{054ED7B9-C046-42E3-9D9B-C18A69138E5A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J75" authorId="0" shapeId="0" xr:uid="{473A5362-EB19-41CA-8C7A-4EA4F825F44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K75" authorId="0" shapeId="0" xr:uid="{39896C0E-C7CF-4DF5-BD05-1E15807ECED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L75" authorId="0" shapeId="0" xr:uid="{9095B9FB-12E4-4B34-A298-35982417AA4C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M75" authorId="0" shapeId="0" xr:uid="{C32AA053-D073-407C-B025-63FBBF7C697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N75" authorId="0" shapeId="0" xr:uid="{38EF50E7-E555-422A-ADA0-3AE5B788F47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O75" authorId="0" shapeId="0" xr:uid="{819BC11F-3B29-4F29-8A1B-AEBDFFC727FA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P75" authorId="0" shapeId="0" xr:uid="{CACF8F54-AA96-464F-A3F1-669DF600F067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Q75" authorId="0" shapeId="0" xr:uid="{9F5C0DC1-294B-45FD-9D1E-24D96573F438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R75" authorId="0" shapeId="0" xr:uid="{426EED7F-E978-454B-961E-9FB7411F5AA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S75" authorId="0" shapeId="0" xr:uid="{23E7E0C7-74C7-493C-8B1E-83BACABC5FD5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E39" authorId="0" shapeId="0" xr:uid="{77B46FF3-0F04-47C5-91C9-783BD7A49B6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F39" authorId="0" shapeId="0" xr:uid="{C861F1AB-BD87-4F3A-B8F4-2850E8369819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G39" authorId="0" shapeId="0" xr:uid="{42F4ABD9-0ED5-437E-B5A3-785AA4CCA542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
Elevated due to  lockdowns</t>
        </r>
      </text>
    </comment>
    <comment ref="H39" authorId="0" shapeId="0" xr:uid="{47DE5464-860B-4AC5-B000-C7D473A795D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I39" authorId="0" shapeId="0" xr:uid="{F1FB4CED-DA1F-4BFA-AAD8-1CAF6DB76BF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E68" authorId="0" shapeId="0" xr:uid="{D8A90A68-A0A0-4664-A0AB-A9CC5C4A712D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F68" authorId="0" shapeId="0" xr:uid="{C180B0B0-34B2-4763-98FE-B9A90E1597B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G68" authorId="0" shapeId="0" xr:uid="{4BB52053-95BE-4F72-88C0-06006416594C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H68" authorId="0" shapeId="0" xr:uid="{6162496D-DB7B-4B03-A1AE-5EE0460363F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I68" authorId="0" shapeId="0" xr:uid="{734D435A-1A61-436F-877D-26233564D501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B33" authorId="0" shapeId="0" xr:uid="{FEF30A8C-A42F-4910-B244-7681A7EC9A87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In TV and broadcasting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J19" authorId="0" shapeId="0" xr:uid="{283E3837-F9FF-4715-8F95-3EF59035446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 44 of Q4 2022 FS</t>
        </r>
      </text>
    </comment>
    <comment ref="J20" authorId="0" shapeId="0" xr:uid="{73F52E30-CA3F-4ABB-84CE-04B4685AC91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pg52 of Q4 2022 FS
</t>
        </r>
      </text>
    </comment>
    <comment ref="J33" authorId="0" shapeId="0" xr:uid="{2514C4EE-A255-479C-AC29-834E80CF1C0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yearly salaries and employee benefits of c.CAD69m; assume need to keep 2Q worth
</t>
        </r>
      </text>
    </comment>
    <comment ref="J48" authorId="0" shapeId="0" xr:uid="{9A936664-004D-4104-8C53-D321F63556F2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pg35 2022 Q4 FS
</t>
        </r>
      </text>
    </comment>
  </commentList>
</comments>
</file>

<file path=xl/sharedStrings.xml><?xml version="1.0" encoding="utf-8"?>
<sst xmlns="http://schemas.openxmlformats.org/spreadsheetml/2006/main" count="616" uniqueCount="365">
  <si>
    <t>in CADm unless otherwise stated</t>
  </si>
  <si>
    <t>Revenue</t>
  </si>
  <si>
    <t>Revenues</t>
  </si>
  <si>
    <t>FYE June</t>
  </si>
  <si>
    <t>% YoY</t>
  </si>
  <si>
    <t>Income from litigation settlement</t>
  </si>
  <si>
    <t>Amortization of property and equipment and intangible assets</t>
  </si>
  <si>
    <t>Selling, general and administrative</t>
  </si>
  <si>
    <t>Change in fair value of embedded derivatives</t>
  </si>
  <si>
    <t>Write-down of investment in film and television programs, acquired and library content, and property and equipment</t>
  </si>
  <si>
    <t>Amortization of acquired and library content</t>
  </si>
  <si>
    <t>Share-based compensation</t>
  </si>
  <si>
    <t>Finance costs, net</t>
  </si>
  <si>
    <t>Foreign exchange (loss) / gain</t>
  </si>
  <si>
    <t>Reorganization, development and other expense</t>
  </si>
  <si>
    <t>Direct production costs and expense of film and television produced</t>
  </si>
  <si>
    <t>% margin</t>
  </si>
  <si>
    <t xml:space="preserve">Total </t>
  </si>
  <si>
    <t>BoP acquired and library content</t>
  </si>
  <si>
    <t>Additions</t>
  </si>
  <si>
    <t>Write down</t>
  </si>
  <si>
    <t>Amortization</t>
  </si>
  <si>
    <t>EoP acquired and library content</t>
  </si>
  <si>
    <t>FX &amp; Other</t>
  </si>
  <si>
    <t>Net income</t>
  </si>
  <si>
    <t>Attributable to NCI</t>
  </si>
  <si>
    <t>Attributable to common</t>
  </si>
  <si>
    <t>Basic EPS (CAD)</t>
  </si>
  <si>
    <t>Diluted EPS (CAD)</t>
  </si>
  <si>
    <t>Content</t>
  </si>
  <si>
    <t>Content production and distribution</t>
  </si>
  <si>
    <t>WildBrain Spark</t>
  </si>
  <si>
    <t>Consumer Products</t>
  </si>
  <si>
    <t>Canadian Television Broadcasting</t>
  </si>
  <si>
    <t>Total content</t>
  </si>
  <si>
    <t>Total revenue</t>
  </si>
  <si>
    <t>x</t>
  </si>
  <si>
    <t>Basic - WASO</t>
  </si>
  <si>
    <t>Diluted - WASO</t>
  </si>
  <si>
    <t>Deferred income taxes (paid) / recovered</t>
  </si>
  <si>
    <t>Current income taxes (paid) / recovered</t>
  </si>
  <si>
    <t xml:space="preserve">P&amp;L </t>
  </si>
  <si>
    <t>Check</t>
  </si>
  <si>
    <t>Segmental Revenue</t>
  </si>
  <si>
    <t>Wildbrain Spark</t>
  </si>
  <si>
    <t>Views (billions)</t>
  </si>
  <si>
    <t>Youtube mobile CPM (USD)</t>
  </si>
  <si>
    <t>CPM (CAD)</t>
  </si>
  <si>
    <t>Youtube dekstop CPM (USD)</t>
  </si>
  <si>
    <t>Youtube mobile CPM (CAD)</t>
  </si>
  <si>
    <t>Youtube dekstop CPM (CAD)</t>
  </si>
  <si>
    <t>Base</t>
  </si>
  <si>
    <t>Downside</t>
  </si>
  <si>
    <t>Upside</t>
  </si>
  <si>
    <t>Operating case</t>
  </si>
  <si>
    <t>Cover</t>
  </si>
  <si>
    <t>Memo (based on Morgan Stanley analyst on Google)</t>
  </si>
  <si>
    <t>FX USDCAD (Bloomberg fwd)</t>
  </si>
  <si>
    <t>FX - USDCAD</t>
  </si>
  <si>
    <t>Peanuts franchise</t>
  </si>
  <si>
    <t>Other franchise</t>
  </si>
  <si>
    <t xml:space="preserve">% of total </t>
  </si>
  <si>
    <t>BS</t>
  </si>
  <si>
    <t>Cash &amp; Equivalents</t>
  </si>
  <si>
    <t>Restricted Cash</t>
  </si>
  <si>
    <t>Accounts Receivable</t>
  </si>
  <si>
    <t>Prepaid Expenses and Deposits</t>
  </si>
  <si>
    <t>Investment in Film and Television Programs</t>
  </si>
  <si>
    <t>Deferred Taxes</t>
  </si>
  <si>
    <t>Total Current Assets</t>
  </si>
  <si>
    <t>Property, Plant &amp; Equipment</t>
  </si>
  <si>
    <t>Intangible Assets</t>
  </si>
  <si>
    <t>Goodwill</t>
  </si>
  <si>
    <t>Total Assets</t>
  </si>
  <si>
    <t>Bank Indebtedness</t>
  </si>
  <si>
    <t>Current Portion of Long-Term Debt</t>
  </si>
  <si>
    <t>Current Portion of Lease Liabilities</t>
  </si>
  <si>
    <t>Production Financing</t>
  </si>
  <si>
    <t>Accounts Payable and Accrued Liabilities</t>
  </si>
  <si>
    <t>Deferred Revenue</t>
  </si>
  <si>
    <t>Total Current Liabilities</t>
  </si>
  <si>
    <t>Long-Term Debt</t>
  </si>
  <si>
    <t>Long-Term Lease Liabilities</t>
  </si>
  <si>
    <t>Derivative assets</t>
  </si>
  <si>
    <t>Other Long-Term Liabilities (incl. derivatives)</t>
  </si>
  <si>
    <t>Total Liabilities</t>
  </si>
  <si>
    <t>Equity to common</t>
  </si>
  <si>
    <t>NCI</t>
  </si>
  <si>
    <t>Total Equity</t>
  </si>
  <si>
    <t xml:space="preserve">Balance </t>
  </si>
  <si>
    <t>Canadian TV business</t>
  </si>
  <si>
    <t>Gross profit</t>
  </si>
  <si>
    <t xml:space="preserve">Adjustments </t>
  </si>
  <si>
    <t>Total cash excl restricted cash</t>
  </si>
  <si>
    <t>Total cash incl restricted cash</t>
  </si>
  <si>
    <t>Total debt excl lease</t>
  </si>
  <si>
    <t>Total debt incl lease</t>
  </si>
  <si>
    <t>Net debt (excl restricted cash, incl leases)</t>
  </si>
  <si>
    <t>Net income to NCI</t>
  </si>
  <si>
    <t>WC items</t>
  </si>
  <si>
    <t>Account receivables</t>
  </si>
  <si>
    <t>AR days</t>
  </si>
  <si>
    <t>Prepaid expense and deposits</t>
  </si>
  <si>
    <t>BoP investment in film and TV</t>
  </si>
  <si>
    <t>EoP investment in film and TV</t>
  </si>
  <si>
    <t>AP days</t>
  </si>
  <si>
    <t>COGS</t>
  </si>
  <si>
    <t>Circularity</t>
  </si>
  <si>
    <t>Total gross profit</t>
  </si>
  <si>
    <t>Gross profit analysis</t>
  </si>
  <si>
    <t>Direct production and new media cost</t>
  </si>
  <si>
    <t>Segmental gross profit</t>
  </si>
  <si>
    <t>Total COGS</t>
  </si>
  <si>
    <t>Expense of film and TV</t>
  </si>
  <si>
    <t>Expense of film and broadcast risghts for broadcasting</t>
  </si>
  <si>
    <t>LT assets</t>
  </si>
  <si>
    <t>BoP PPE</t>
  </si>
  <si>
    <t>Impairement</t>
  </si>
  <si>
    <t>FX</t>
  </si>
  <si>
    <t>FX &amp; other</t>
  </si>
  <si>
    <t>Additions as a % of revenue</t>
  </si>
  <si>
    <t>CFS (based on FS)</t>
  </si>
  <si>
    <t>Depreciation as a % of additions</t>
  </si>
  <si>
    <t>LT acccount receivables</t>
  </si>
  <si>
    <t>Net income for the year</t>
  </si>
  <si>
    <t>Amortization of property and equipment</t>
  </si>
  <si>
    <t>Amortization of intangible assets</t>
  </si>
  <si>
    <t>Accretion expense and amortization of deferred financing fees</t>
  </si>
  <si>
    <t>Unrealized foreign exchange loss (gain)</t>
  </si>
  <si>
    <t>Change in fair value of interest rate swap</t>
  </si>
  <si>
    <t>Interest income</t>
  </si>
  <si>
    <t>Interest expense</t>
  </si>
  <si>
    <t>Deferred tax recovery</t>
  </si>
  <si>
    <t>Write-down of investment in film and television programs</t>
  </si>
  <si>
    <t>Write-down of acquired and library content</t>
  </si>
  <si>
    <t>Reversal of right-of-use asset impairment (note 21)</t>
  </si>
  <si>
    <t>Net investment in film and television programs (note 25)</t>
  </si>
  <si>
    <t>Net change in non-cash balances related to operations (note 25)</t>
  </si>
  <si>
    <t>OCF</t>
  </si>
  <si>
    <t>Net income to common and NCI</t>
  </si>
  <si>
    <t>Accounts payables and accrued liabilities</t>
  </si>
  <si>
    <t>Deferred revenue</t>
  </si>
  <si>
    <t>% of total revenue</t>
  </si>
  <si>
    <t>BoP intangibles</t>
  </si>
  <si>
    <t xml:space="preserve">Addition </t>
  </si>
  <si>
    <t>EoP intangibles</t>
  </si>
  <si>
    <t>Equity</t>
  </si>
  <si>
    <t>BoP common equity</t>
  </si>
  <si>
    <t>Dividends</t>
  </si>
  <si>
    <t>Others</t>
  </si>
  <si>
    <t>EoP common equity</t>
  </si>
  <si>
    <t>Dividend to common</t>
  </si>
  <si>
    <t>BoP NCI</t>
  </si>
  <si>
    <t>EoP NCI</t>
  </si>
  <si>
    <t>Expense</t>
  </si>
  <si>
    <t>Development cost</t>
  </si>
  <si>
    <t>LT receivables</t>
  </si>
  <si>
    <t>Acquired and library content</t>
  </si>
  <si>
    <t>EoP PPE</t>
  </si>
  <si>
    <t>Depreciation</t>
  </si>
  <si>
    <t>P&amp;L</t>
  </si>
  <si>
    <t>SG&amp;A</t>
  </si>
  <si>
    <t>% of revenue</t>
  </si>
  <si>
    <t xml:space="preserve">ETR </t>
  </si>
  <si>
    <t>Current taxes</t>
  </si>
  <si>
    <t>Deferred taxes</t>
  </si>
  <si>
    <t>Distribution to NCI</t>
  </si>
  <si>
    <t>Peanuts ownership</t>
  </si>
  <si>
    <t>Charles M Schulz</t>
  </si>
  <si>
    <t>WILD</t>
  </si>
  <si>
    <t>Sony</t>
  </si>
  <si>
    <t>Peanuts revenue</t>
  </si>
  <si>
    <t>Peanuts total expense</t>
  </si>
  <si>
    <t>Peanuts net income</t>
  </si>
  <si>
    <t xml:space="preserve">Revenue growth </t>
  </si>
  <si>
    <t>Expense % of revenue</t>
  </si>
  <si>
    <t>NI to NCI</t>
  </si>
  <si>
    <t>% of total</t>
  </si>
  <si>
    <t>Distributions</t>
  </si>
  <si>
    <t>Current debt</t>
  </si>
  <si>
    <t>LT debt</t>
  </si>
  <si>
    <t>Common shares issued, net of issuance costs</t>
  </si>
  <si>
    <t>Payroll taxes remitted on net share settlement</t>
  </si>
  <si>
    <t>Common share purchased held in trust, net</t>
  </si>
  <si>
    <t>Distributions to non-controlling interests</t>
  </si>
  <si>
    <t>Proceeds from (repayment of) bank indebtedness</t>
  </si>
  <si>
    <t>(Repayment of) proceeds from long-term debt</t>
  </si>
  <si>
    <t>Interest paid on long-term debt</t>
  </si>
  <si>
    <t>Realized foreign exchange on long term debt repayment</t>
  </si>
  <si>
    <t>Repayment of obligations under finance leases</t>
  </si>
  <si>
    <t>Proceeds from (repayment of) interim production financing, net (note 25)</t>
  </si>
  <si>
    <t>Acquisition of acquired and library content (note 5)</t>
  </si>
  <si>
    <t>Acquisition of property and equipment</t>
  </si>
  <si>
    <t>Acquisition of intangible assets</t>
  </si>
  <si>
    <t>Financing cash flow</t>
  </si>
  <si>
    <t>Investing cash flow</t>
  </si>
  <si>
    <t>FX impact</t>
  </si>
  <si>
    <t>Net change in cash</t>
  </si>
  <si>
    <t>Bank indebtedness</t>
  </si>
  <si>
    <t>Depreciation of PPE</t>
  </si>
  <si>
    <t>Amort of intangibles</t>
  </si>
  <si>
    <t>Amort of acquired and library content</t>
  </si>
  <si>
    <t>Net investment in TV and film programs</t>
  </si>
  <si>
    <t>Chg in NWC</t>
  </si>
  <si>
    <t>Writedown and impairements</t>
  </si>
  <si>
    <t>Addition of intangibles</t>
  </si>
  <si>
    <t>Addition of content</t>
  </si>
  <si>
    <t>Adjustments</t>
  </si>
  <si>
    <t>Direct production and new media cost as % of content revenue ex Spark</t>
  </si>
  <si>
    <t>ST assets</t>
  </si>
  <si>
    <t>NWC (excl. investment in film and TV)</t>
  </si>
  <si>
    <t>NWC (incl. investment in film and TV)</t>
  </si>
  <si>
    <t>Debt draw / (repayments)</t>
  </si>
  <si>
    <t>Dictribution to NCI</t>
  </si>
  <si>
    <t>Lease repayments</t>
  </si>
  <si>
    <t>EBT</t>
  </si>
  <si>
    <t>Finance cost</t>
  </si>
  <si>
    <t>Adj of finance cost, net</t>
  </si>
  <si>
    <t>Distributions to NCI growth</t>
  </si>
  <si>
    <t>Expense of film, TV and broadcasting rights</t>
  </si>
  <si>
    <t>Expense as a % of COGS</t>
  </si>
  <si>
    <t>Finance costs</t>
  </si>
  <si>
    <t>Capex, addition of content and intangibles</t>
  </si>
  <si>
    <t>FCF</t>
  </si>
  <si>
    <t>BoP cash</t>
  </si>
  <si>
    <t>Minimum cash</t>
  </si>
  <si>
    <t>CFADS</t>
  </si>
  <si>
    <t>Dicstribution to NCI</t>
  </si>
  <si>
    <t>BoP bank indebtedness</t>
  </si>
  <si>
    <t>Canadian prime rate</t>
  </si>
  <si>
    <t>Repayment</t>
  </si>
  <si>
    <t>EoP bank indebtedness</t>
  </si>
  <si>
    <t>Mandatory payments</t>
  </si>
  <si>
    <t>Interest</t>
  </si>
  <si>
    <t>Draw / (repayment)</t>
  </si>
  <si>
    <t>Credit limit</t>
  </si>
  <si>
    <t>Blended production financing rate</t>
  </si>
  <si>
    <t>BoP production financing</t>
  </si>
  <si>
    <t>EoP production fianncing</t>
  </si>
  <si>
    <t>Blended LT debt rate</t>
  </si>
  <si>
    <t>BoP curent portion of LT debt</t>
  </si>
  <si>
    <t>Mandatory payment</t>
  </si>
  <si>
    <t>EoP curent portion of LT debt</t>
  </si>
  <si>
    <t>Net cash flow</t>
  </si>
  <si>
    <t>EoP cash</t>
  </si>
  <si>
    <t>BoP LT debt</t>
  </si>
  <si>
    <t>Draw / repayment</t>
  </si>
  <si>
    <t>EoP LT debt</t>
  </si>
  <si>
    <t>EoP lease liabilities</t>
  </si>
  <si>
    <t>BoP lease liabilities</t>
  </si>
  <si>
    <t>Addition</t>
  </si>
  <si>
    <t>Net finance cost</t>
  </si>
  <si>
    <t>Blended lease liability rate</t>
  </si>
  <si>
    <t>Lease liability repayment</t>
  </si>
  <si>
    <t>Debt calcs</t>
  </si>
  <si>
    <t>Lease calcs</t>
  </si>
  <si>
    <t>Cash calcs</t>
  </si>
  <si>
    <t>Addition of PPE incl leases</t>
  </si>
  <si>
    <t>ND / EBITDA</t>
  </si>
  <si>
    <t>Tax expense</t>
  </si>
  <si>
    <t>D&amp;A</t>
  </si>
  <si>
    <t>Writedowns</t>
  </si>
  <si>
    <t>Adj EBITDA (company defined)</t>
  </si>
  <si>
    <t>SBC</t>
  </si>
  <si>
    <t>Derivatives, FX</t>
  </si>
  <si>
    <t>Reorg, dev and other</t>
  </si>
  <si>
    <t>Adj. EBITDA reconcillation</t>
  </si>
  <si>
    <t>Adj EBITDA (Danial Azmi defined)</t>
  </si>
  <si>
    <t>(-) SBC</t>
  </si>
  <si>
    <t>(-) Derivatives, FX</t>
  </si>
  <si>
    <t>(-) Reorg, dev and other</t>
  </si>
  <si>
    <t>FY2022</t>
  </si>
  <si>
    <t>FY2023</t>
  </si>
  <si>
    <t>Street view</t>
  </si>
  <si>
    <t>Proportionate Adj. EBITDA (DA defined)</t>
  </si>
  <si>
    <t>% attributable</t>
  </si>
  <si>
    <t>Capitalization</t>
  </si>
  <si>
    <t>Current share price (CAD)</t>
  </si>
  <si>
    <t>Shares outstanding (mm)</t>
  </si>
  <si>
    <t>Market cap (CADm)</t>
  </si>
  <si>
    <t>Profit model</t>
  </si>
  <si>
    <t>Canadian TV</t>
  </si>
  <si>
    <t>Content business</t>
  </si>
  <si>
    <t>TV business</t>
  </si>
  <si>
    <t>Gross margin %</t>
  </si>
  <si>
    <t>Cash SG&amp;A</t>
  </si>
  <si>
    <t>EBITDA margin %</t>
  </si>
  <si>
    <t>EV (CADm)</t>
  </si>
  <si>
    <t>Canadian Television</t>
  </si>
  <si>
    <t>Q1/FY23</t>
  </si>
  <si>
    <t>Gross profits</t>
  </si>
  <si>
    <t>Gross margins %</t>
  </si>
  <si>
    <t>(+) Net debt (incl leases)</t>
  </si>
  <si>
    <t>Mgmt guidance</t>
  </si>
  <si>
    <t>CAD525 - 575m</t>
  </si>
  <si>
    <t>Midpoint</t>
  </si>
  <si>
    <t>CAD95 - 105m</t>
  </si>
  <si>
    <t>CAD87 - 93m</t>
  </si>
  <si>
    <t>CAD480 - 500m</t>
  </si>
  <si>
    <t>Actual / forecast</t>
  </si>
  <si>
    <t>Proportionate Adj EBITDA (company defined)</t>
  </si>
  <si>
    <t>Proportionate Adj EBITDA (co defined)</t>
  </si>
  <si>
    <t>Q2/FY23</t>
  </si>
  <si>
    <t>Q3/FY23</t>
  </si>
  <si>
    <t>Q4/FY23</t>
  </si>
  <si>
    <t>Benchmark</t>
  </si>
  <si>
    <t>RBC</t>
  </si>
  <si>
    <t>NBC</t>
  </si>
  <si>
    <t>Average revenue</t>
  </si>
  <si>
    <t>Median revenue</t>
  </si>
  <si>
    <t>BMO</t>
  </si>
  <si>
    <t>Cannacord</t>
  </si>
  <si>
    <t>Comark</t>
  </si>
  <si>
    <t>Average porportionate Adj EBITDA</t>
  </si>
  <si>
    <t>Median porportionate Adj EBITDA</t>
  </si>
  <si>
    <t>FY2024</t>
  </si>
  <si>
    <t>FY2025</t>
  </si>
  <si>
    <t>FY2026</t>
  </si>
  <si>
    <t>FY2027</t>
  </si>
  <si>
    <t>Content GM %</t>
  </si>
  <si>
    <t>TV GM %</t>
  </si>
  <si>
    <t>Youtube mobile CPM (CAD) growth %</t>
  </si>
  <si>
    <t>Youtube dekstop CPM (CAD) growth %</t>
  </si>
  <si>
    <t>Development cost as a % of content revenue</t>
  </si>
  <si>
    <t>(+) NCI</t>
  </si>
  <si>
    <t>TV EBITDA</t>
  </si>
  <si>
    <t>TV</t>
  </si>
  <si>
    <t>Total proportionate Adj. EBITDA</t>
  </si>
  <si>
    <t>TV SG&amp;A</t>
  </si>
  <si>
    <t>TV gross margin</t>
  </si>
  <si>
    <t>EV (excl. NCI)</t>
  </si>
  <si>
    <t>Implied multiple</t>
  </si>
  <si>
    <t>Equity value</t>
  </si>
  <si>
    <t>(-) Net debt (incl leases)</t>
  </si>
  <si>
    <t>Shares out (mm)</t>
  </si>
  <si>
    <t>Price per share (CAD)</t>
  </si>
  <si>
    <t>Upside %</t>
  </si>
  <si>
    <t>IRR %</t>
  </si>
  <si>
    <t>MOIC</t>
  </si>
  <si>
    <t>Adj. EBITDA</t>
  </si>
  <si>
    <t>Proportionate Adj. EBITDA</t>
  </si>
  <si>
    <t xml:space="preserve">Margin </t>
  </si>
  <si>
    <t>Multiple</t>
  </si>
  <si>
    <t>Value</t>
  </si>
  <si>
    <t>2026 Exit</t>
  </si>
  <si>
    <t>LTM EBITDA</t>
  </si>
  <si>
    <t>Total</t>
  </si>
  <si>
    <t>EV excl NCI (CADm)</t>
  </si>
  <si>
    <t>2022 Entry</t>
  </si>
  <si>
    <t>% margin to common</t>
  </si>
  <si>
    <t>Total value per share</t>
  </si>
  <si>
    <t>% of value</t>
  </si>
  <si>
    <t>Bridge to TP</t>
  </si>
  <si>
    <t>Bridge</t>
  </si>
  <si>
    <t>Valuation</t>
  </si>
  <si>
    <t>Salaries &amp; benefits</t>
  </si>
  <si>
    <t>Termination and other</t>
  </si>
  <si>
    <t>% SBC</t>
  </si>
  <si>
    <t>Mgmt compensation analysis</t>
  </si>
  <si>
    <t>Exit multiple (Content business)</t>
  </si>
  <si>
    <t>'22-'26 CAGR</t>
  </si>
  <si>
    <t>'18-'22 CAGR</t>
  </si>
  <si>
    <t>Entry</t>
  </si>
  <si>
    <t>Model Drivers</t>
  </si>
  <si>
    <t>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</si>
</sst>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_);\(#,##0.0\);0.0_);@_)"/>
    <numFmt numFmtId="169" formatCode="0.0%_);\(0.0%\)"/>
    <numFmt numFmtId="170" formatCode="dd\-mmm\-yy_)"/>
    <numFmt numFmtId="171" formatCode=";;;"/>
    <numFmt numFmtId="172" formatCode="0.0\ \x_);\(0.0\ \x\)"/>
    <numFmt numFmtId="173" formatCode="###0.00_)"/>
    <numFmt numFmtId="174" formatCode="General\A"/>
    <numFmt numFmtId="175" formatCode="General\E"/>
    <numFmt numFmtId="176" formatCode="General\F"/>
    <numFmt numFmtId="177" formatCode="#,##0.00_);\(#,##0.00\);0.00_);@_)"/>
    <numFmt numFmtId="178" formatCode="#,##0_);\(#,##0\);0_);@_)"/>
    <numFmt numFmtId="179" formatCode="#,##0.000_);\(#,##0.000\);0.000_);@_)"/>
    <numFmt numFmtId="180" formatCode="#,##0.00000_);\(#,##0.00000\);0.00000_);@_)"/>
  </numFmts>
  <fonts count="56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6"/>
      <color rgb="FF006100"/>
      <name val="Arial"/>
      <family val="2"/>
    </font>
    <font>
      <sz val="16"/>
      <color rgb="FF9C0006"/>
      <name val="Arial"/>
      <family val="2"/>
    </font>
    <font>
      <sz val="16"/>
      <color rgb="FF9C6500"/>
      <name val="Arial"/>
      <family val="2"/>
    </font>
    <font>
      <b/>
      <sz val="16"/>
      <color rgb="FF3F3F3F"/>
      <name val="Arial"/>
      <family val="2"/>
    </font>
    <font>
      <b/>
      <sz val="16"/>
      <color rgb="FFFA7D00"/>
      <name val="Arial"/>
      <family val="2"/>
    </font>
    <font>
      <sz val="16"/>
      <color rgb="FFFA7D0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0"/>
      <name val="Arial"/>
      <family val="2"/>
    </font>
    <font>
      <i/>
      <sz val="16"/>
      <color rgb="FF7F7F7F"/>
      <name val="Arial"/>
      <family val="2"/>
    </font>
    <font>
      <b/>
      <sz val="16"/>
      <color theme="1"/>
      <name val="Arial"/>
      <family val="2"/>
    </font>
    <font>
      <sz val="16"/>
      <color theme="0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name val="Helv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B05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rgb="FF0000FF"/>
      <name val="Calibri"/>
      <family val="2"/>
    </font>
    <font>
      <b/>
      <u/>
      <sz val="10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4">
    <xf numFmtId="168" fontId="0" fillId="0" borderId="0"/>
    <xf numFmtId="168" fontId="3" fillId="2" borderId="1" applyNumberFormat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6" borderId="6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16" fillId="8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19" fillId="32" borderId="0" applyNumberFormat="0" applyBorder="0" applyAlignment="0" applyProtection="0"/>
    <xf numFmtId="169" fontId="26" fillId="33" borderId="1" applyNumberFormat="0" applyFill="0" applyBorder="0" applyAlignment="0" applyProtection="0"/>
    <xf numFmtId="170" fontId="16" fillId="0" borderId="0" applyFont="0" applyFill="0" applyBorder="0" applyAlignment="0" applyProtection="0"/>
    <xf numFmtId="171" fontId="25" fillId="0" borderId="0"/>
    <xf numFmtId="167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9" fontId="16" fillId="0" borderId="0" applyFont="0" applyFill="0" applyBorder="0" applyAlignment="0" applyProtection="0"/>
    <xf numFmtId="168" fontId="27" fillId="34" borderId="1" applyNumberFormat="0" applyAlignment="0" applyProtection="0"/>
    <xf numFmtId="172" fontId="22" fillId="0" borderId="0" applyFont="0" applyFill="0" applyBorder="0" applyAlignment="0" applyProtection="0"/>
    <xf numFmtId="168" fontId="23" fillId="0" borderId="0" applyNumberFormat="0" applyFill="0" applyBorder="0" applyAlignment="0" applyProtection="0"/>
    <xf numFmtId="168" fontId="24" fillId="0" borderId="0" applyNumberFormat="0" applyFill="0" applyBorder="0" applyAlignment="0" applyProtection="0"/>
    <xf numFmtId="0" fontId="30" fillId="0" borderId="0"/>
    <xf numFmtId="0" fontId="29" fillId="0" borderId="0" applyNumberFormat="0" applyFill="0" applyBorder="0" applyAlignment="0" applyProtection="0"/>
    <xf numFmtId="9" fontId="30" fillId="0" borderId="0" applyFont="0" applyFill="0" applyBorder="0" applyAlignment="0" applyProtection="0"/>
    <xf numFmtId="173" fontId="31" fillId="0" borderId="11" applyNumberFormat="0" applyFill="0">
      <alignment horizontal="right"/>
    </xf>
    <xf numFmtId="0" fontId="32" fillId="0" borderId="0">
      <alignment horizontal="right"/>
    </xf>
    <xf numFmtId="0" fontId="33" fillId="0" borderId="0">
      <alignment horizontal="left"/>
    </xf>
    <xf numFmtId="168" fontId="34" fillId="0" borderId="0"/>
    <xf numFmtId="174" fontId="30" fillId="0" borderId="0"/>
    <xf numFmtId="175" fontId="30" fillId="0" borderId="0"/>
    <xf numFmtId="176" fontId="30" fillId="0" borderId="0"/>
  </cellStyleXfs>
  <cellXfs count="124">
    <xf numFmtId="168" fontId="0" fillId="0" borderId="0" xfId="0"/>
    <xf numFmtId="168" fontId="28" fillId="0" borderId="0" xfId="0" applyFont="1"/>
    <xf numFmtId="174" fontId="36" fillId="35" borderId="0" xfId="61" applyFont="1" applyFill="1"/>
    <xf numFmtId="175" fontId="37" fillId="36" borderId="0" xfId="62" applyFont="1" applyFill="1"/>
    <xf numFmtId="168" fontId="26" fillId="0" borderId="0" xfId="42" applyNumberFormat="1" applyFill="1" applyBorder="1"/>
    <xf numFmtId="168" fontId="26" fillId="37" borderId="0" xfId="42" applyNumberFormat="1" applyFill="1" applyBorder="1"/>
    <xf numFmtId="169" fontId="0" fillId="0" borderId="0" xfId="49" applyFont="1"/>
    <xf numFmtId="168" fontId="38" fillId="0" borderId="0" xfId="0" applyFont="1"/>
    <xf numFmtId="168" fontId="39" fillId="0" borderId="0" xfId="42" applyNumberFormat="1" applyFont="1" applyFill="1" applyBorder="1"/>
    <xf numFmtId="168" fontId="40" fillId="0" borderId="0" xfId="0" applyFont="1"/>
    <xf numFmtId="168" fontId="41" fillId="0" borderId="0" xfId="42" applyNumberFormat="1" applyFont="1" applyFill="1" applyBorder="1"/>
    <xf numFmtId="168" fontId="2" fillId="0" borderId="0" xfId="0" applyFont="1"/>
    <xf numFmtId="169" fontId="35" fillId="0" borderId="0" xfId="49" applyFont="1" applyFill="1" applyBorder="1"/>
    <xf numFmtId="168" fontId="0" fillId="0" borderId="12" xfId="0" applyBorder="1"/>
    <xf numFmtId="168" fontId="0" fillId="0" borderId="0" xfId="0" applyAlignment="1">
      <alignment horizontal="left" indent="1"/>
    </xf>
    <xf numFmtId="177" fontId="0" fillId="0" borderId="0" xfId="0" applyNumberFormat="1"/>
    <xf numFmtId="168" fontId="38" fillId="0" borderId="0" xfId="0" applyFont="1" applyAlignment="1">
      <alignment horizontal="left" indent="1"/>
    </xf>
    <xf numFmtId="177" fontId="26" fillId="0" borderId="0" xfId="42" applyNumberFormat="1" applyFill="1" applyBorder="1"/>
    <xf numFmtId="174" fontId="36" fillId="0" borderId="0" xfId="61" applyFont="1"/>
    <xf numFmtId="175" fontId="37" fillId="0" borderId="0" xfId="62" applyFont="1"/>
    <xf numFmtId="168" fontId="44" fillId="0" borderId="0" xfId="0" applyFont="1"/>
    <xf numFmtId="168" fontId="45" fillId="0" borderId="0" xfId="0" applyFont="1"/>
    <xf numFmtId="168" fontId="46" fillId="0" borderId="0" xfId="0" applyFont="1"/>
    <xf numFmtId="169" fontId="27" fillId="34" borderId="1" xfId="49" applyFont="1" applyFill="1" applyBorder="1"/>
    <xf numFmtId="169" fontId="46" fillId="0" borderId="0" xfId="49" applyFont="1"/>
    <xf numFmtId="168" fontId="27" fillId="34" borderId="1" xfId="50" applyNumberFormat="1"/>
    <xf numFmtId="178" fontId="27" fillId="34" borderId="1" xfId="50" applyNumberFormat="1"/>
    <xf numFmtId="168" fontId="47" fillId="0" borderId="0" xfId="0" applyFont="1"/>
    <xf numFmtId="177" fontId="46" fillId="0" borderId="0" xfId="0" applyNumberFormat="1" applyFont="1"/>
    <xf numFmtId="168" fontId="34" fillId="0" borderId="0" xfId="60"/>
    <xf numFmtId="179" fontId="34" fillId="0" borderId="0" xfId="60" applyNumberFormat="1"/>
    <xf numFmtId="168" fontId="0" fillId="38" borderId="0" xfId="0" applyFill="1"/>
    <xf numFmtId="168" fontId="38" fillId="38" borderId="0" xfId="0" applyFont="1" applyFill="1"/>
    <xf numFmtId="168" fontId="48" fillId="0" borderId="0" xfId="42" applyNumberFormat="1" applyFont="1" applyFill="1" applyBorder="1"/>
    <xf numFmtId="168" fontId="49" fillId="0" borderId="0" xfId="60" applyFont="1"/>
    <xf numFmtId="169" fontId="26" fillId="0" borderId="0" xfId="49" applyFont="1" applyFill="1" applyBorder="1"/>
    <xf numFmtId="169" fontId="25" fillId="0" borderId="0" xfId="49" applyFont="1" applyFill="1" applyBorder="1"/>
    <xf numFmtId="168" fontId="26" fillId="0" borderId="1" xfId="42" applyNumberFormat="1" applyFill="1" applyBorder="1"/>
    <xf numFmtId="168" fontId="0" fillId="39" borderId="0" xfId="0" applyFill="1"/>
    <xf numFmtId="169" fontId="0" fillId="37" borderId="0" xfId="49" applyFont="1" applyFill="1"/>
    <xf numFmtId="168" fontId="50" fillId="0" borderId="0" xfId="0" applyFont="1"/>
    <xf numFmtId="168" fontId="38" fillId="39" borderId="0" xfId="0" applyFont="1" applyFill="1"/>
    <xf numFmtId="168" fontId="34" fillId="0" borderId="12" xfId="60" applyBorder="1"/>
    <xf numFmtId="168" fontId="38" fillId="0" borderId="12" xfId="0" applyFont="1" applyBorder="1"/>
    <xf numFmtId="168" fontId="38" fillId="0" borderId="13" xfId="0" applyFont="1" applyBorder="1"/>
    <xf numFmtId="168" fontId="25" fillId="0" borderId="0" xfId="42" applyNumberFormat="1" applyFont="1" applyFill="1" applyBorder="1"/>
    <xf numFmtId="168" fontId="27" fillId="34" borderId="1" xfId="50"/>
    <xf numFmtId="169" fontId="51" fillId="0" borderId="0" xfId="49" applyFont="1"/>
    <xf numFmtId="168" fontId="51" fillId="0" borderId="12" xfId="60" applyFont="1" applyBorder="1"/>
    <xf numFmtId="169" fontId="51" fillId="0" borderId="0" xfId="49" applyFont="1" applyBorder="1"/>
    <xf numFmtId="169" fontId="1" fillId="0" borderId="0" xfId="49" applyFont="1" applyBorder="1"/>
    <xf numFmtId="168" fontId="51" fillId="0" borderId="0" xfId="60" applyFont="1"/>
    <xf numFmtId="168" fontId="0" fillId="0" borderId="0" xfId="0" applyAlignment="1">
      <alignment horizontal="left" indent="2"/>
    </xf>
    <xf numFmtId="168" fontId="0" fillId="40" borderId="0" xfId="0" applyFill="1"/>
    <xf numFmtId="168" fontId="52" fillId="0" borderId="0" xfId="0" applyFont="1"/>
    <xf numFmtId="180" fontId="0" fillId="0" borderId="0" xfId="0" applyNumberFormat="1"/>
    <xf numFmtId="169" fontId="26" fillId="0" borderId="0" xfId="42" applyFill="1" applyBorder="1"/>
    <xf numFmtId="169" fontId="38" fillId="0" borderId="0" xfId="49" applyFont="1" applyBorder="1"/>
    <xf numFmtId="168" fontId="0" fillId="0" borderId="0" xfId="0" applyAlignment="1">
      <alignment horizontal="left"/>
    </xf>
    <xf numFmtId="169" fontId="39" fillId="0" borderId="0" xfId="42" applyFont="1" applyFill="1" applyBorder="1"/>
    <xf numFmtId="168" fontId="38" fillId="0" borderId="0" xfId="0" applyFont="1" applyAlignment="1">
      <alignment horizontal="left"/>
    </xf>
    <xf numFmtId="168" fontId="38" fillId="0" borderId="12" xfId="0" applyFont="1" applyBorder="1" applyAlignment="1">
      <alignment horizontal="left"/>
    </xf>
    <xf numFmtId="168" fontId="49" fillId="0" borderId="12" xfId="60" applyFont="1" applyBorder="1"/>
    <xf numFmtId="169" fontId="0" fillId="0" borderId="0" xfId="49" applyFont="1" applyBorder="1"/>
    <xf numFmtId="169" fontId="51" fillId="0" borderId="0" xfId="49" applyFont="1" applyFill="1" applyBorder="1"/>
    <xf numFmtId="169" fontId="27" fillId="0" borderId="0" xfId="49" applyFont="1" applyFill="1" applyBorder="1"/>
    <xf numFmtId="169" fontId="0" fillId="0" borderId="0" xfId="49" applyFont="1" applyFill="1"/>
    <xf numFmtId="168" fontId="38" fillId="0" borderId="12" xfId="60" applyFont="1" applyBorder="1"/>
    <xf numFmtId="168" fontId="52" fillId="0" borderId="12" xfId="0" applyFont="1" applyBorder="1"/>
    <xf numFmtId="168" fontId="38" fillId="0" borderId="0" xfId="60" applyFont="1"/>
    <xf numFmtId="168" fontId="46" fillId="0" borderId="12" xfId="0" applyFont="1" applyBorder="1"/>
    <xf numFmtId="169" fontId="51" fillId="0" borderId="0" xfId="49" applyFont="1" applyFill="1"/>
    <xf numFmtId="168" fontId="27" fillId="0" borderId="0" xfId="50" applyNumberFormat="1" applyFill="1" applyBorder="1"/>
    <xf numFmtId="168" fontId="53" fillId="0" borderId="0" xfId="0" applyFont="1"/>
    <xf numFmtId="172" fontId="38" fillId="0" borderId="13" xfId="51" applyFont="1" applyBorder="1"/>
    <xf numFmtId="168" fontId="25" fillId="0" borderId="0" xfId="0" applyFont="1"/>
    <xf numFmtId="179" fontId="39" fillId="0" borderId="0" xfId="42" applyNumberFormat="1" applyFont="1" applyFill="1" applyBorder="1"/>
    <xf numFmtId="169" fontId="36" fillId="0" borderId="0" xfId="49" applyFont="1" applyFill="1"/>
    <xf numFmtId="169" fontId="28" fillId="0" borderId="0" xfId="49" applyFont="1" applyBorder="1"/>
    <xf numFmtId="168" fontId="0" fillId="37" borderId="0" xfId="0" applyFill="1"/>
    <xf numFmtId="169" fontId="28" fillId="0" borderId="0" xfId="49" applyFont="1"/>
    <xf numFmtId="168" fontId="28" fillId="0" borderId="12" xfId="0" applyFont="1" applyBorder="1"/>
    <xf numFmtId="168" fontId="54" fillId="0" borderId="0" xfId="42" applyNumberFormat="1" applyFont="1" applyFill="1" applyBorder="1" applyAlignment="1">
      <alignment horizontal="center"/>
    </xf>
    <xf numFmtId="168" fontId="26" fillId="0" borderId="0" xfId="42" quotePrefix="1" applyNumberFormat="1" applyFill="1" applyBorder="1"/>
    <xf numFmtId="169" fontId="38" fillId="0" borderId="0" xfId="49" applyFont="1"/>
    <xf numFmtId="168" fontId="38" fillId="0" borderId="14" xfId="0" applyFont="1" applyBorder="1"/>
    <xf numFmtId="168" fontId="38" fillId="0" borderId="14" xfId="0" applyFont="1" applyBorder="1" applyAlignment="1">
      <alignment horizontal="left"/>
    </xf>
    <xf numFmtId="177" fontId="28" fillId="0" borderId="0" xfId="0" applyNumberFormat="1" applyFont="1"/>
    <xf numFmtId="170" fontId="26" fillId="40" borderId="0" xfId="42" applyNumberFormat="1" applyFill="1" applyBorder="1"/>
    <xf numFmtId="170" fontId="0" fillId="40" borderId="0" xfId="43" applyFont="1" applyFill="1"/>
    <xf numFmtId="168" fontId="44" fillId="40" borderId="0" xfId="0" applyFont="1" applyFill="1"/>
    <xf numFmtId="168" fontId="0" fillId="40" borderId="0" xfId="0" applyFill="1" applyAlignment="1">
      <alignment horizontal="left" indent="1"/>
    </xf>
    <xf numFmtId="168" fontId="34" fillId="40" borderId="0" xfId="60" applyFill="1"/>
    <xf numFmtId="168" fontId="38" fillId="40" borderId="12" xfId="0" applyFont="1" applyFill="1" applyBorder="1"/>
    <xf numFmtId="172" fontId="27" fillId="40" borderId="1" xfId="51" applyFont="1" applyFill="1" applyBorder="1"/>
    <xf numFmtId="168" fontId="28" fillId="40" borderId="0" xfId="0" applyFont="1" applyFill="1"/>
    <xf numFmtId="172" fontId="28" fillId="40" borderId="0" xfId="51" applyFont="1" applyFill="1"/>
    <xf numFmtId="172" fontId="0" fillId="40" borderId="0" xfId="51" applyFont="1" applyFill="1"/>
    <xf numFmtId="168" fontId="38" fillId="40" borderId="0" xfId="0" applyFont="1" applyFill="1"/>
    <xf numFmtId="172" fontId="38" fillId="40" borderId="12" xfId="51" applyFont="1" applyFill="1" applyBorder="1"/>
    <xf numFmtId="177" fontId="38" fillId="40" borderId="12" xfId="0" applyNumberFormat="1" applyFont="1" applyFill="1" applyBorder="1"/>
    <xf numFmtId="172" fontId="38" fillId="40" borderId="0" xfId="51" applyFont="1" applyFill="1" applyBorder="1"/>
    <xf numFmtId="169" fontId="38" fillId="40" borderId="0" xfId="49" applyFont="1" applyFill="1" applyBorder="1"/>
    <xf numFmtId="168" fontId="38" fillId="40" borderId="13" xfId="0" applyFont="1" applyFill="1" applyBorder="1"/>
    <xf numFmtId="169" fontId="38" fillId="40" borderId="13" xfId="49" applyFont="1" applyFill="1" applyBorder="1"/>
    <xf numFmtId="177" fontId="26" fillId="40" borderId="0" xfId="42" applyNumberFormat="1" applyFill="1" applyBorder="1"/>
    <xf numFmtId="168" fontId="26" fillId="40" borderId="0" xfId="42" applyNumberFormat="1" applyFill="1" applyBorder="1"/>
    <xf numFmtId="168" fontId="0" fillId="40" borderId="12" xfId="0" applyFill="1" applyBorder="1"/>
    <xf numFmtId="168" fontId="51" fillId="40" borderId="12" xfId="0" applyFont="1" applyFill="1" applyBorder="1"/>
    <xf numFmtId="168" fontId="51" fillId="40" borderId="0" xfId="0" applyFont="1" applyFill="1"/>
    <xf numFmtId="172" fontId="34" fillId="0" borderId="0" xfId="51" applyFont="1"/>
    <xf numFmtId="172" fontId="34" fillId="40" borderId="0" xfId="51" applyFont="1" applyFill="1"/>
    <xf numFmtId="168" fontId="51" fillId="40" borderId="0" xfId="60" applyFont="1" applyFill="1"/>
    <xf numFmtId="169" fontId="0" fillId="40" borderId="0" xfId="49" applyFont="1" applyFill="1"/>
    <xf numFmtId="177" fontId="0" fillId="40" borderId="0" xfId="0" applyNumberFormat="1" applyFill="1"/>
    <xf numFmtId="169" fontId="34" fillId="40" borderId="0" xfId="49" applyFont="1" applyFill="1"/>
    <xf numFmtId="177" fontId="0" fillId="40" borderId="12" xfId="0" applyNumberFormat="1" applyFill="1" applyBorder="1"/>
    <xf numFmtId="0" fontId="55" fillId="38" borderId="0" xfId="54" applyFont="1" applyFill="1" applyAlignment="1">
      <alignment horizontal="center"/>
    </xf>
    <xf numFmtId="172" fontId="27" fillId="34" borderId="1" xfId="51" applyFont="1" applyFill="1" applyBorder="1"/>
    <xf numFmtId="172" fontId="51" fillId="40" borderId="1" xfId="51" applyFont="1" applyFill="1" applyBorder="1"/>
    <xf numFmtId="168" fontId="0" fillId="0" borderId="0" xfId="0" applyAlignment="1">
      <alignment horizontal="center"/>
    </xf>
    <xf numFmtId="169" fontId="0" fillId="0" borderId="0" xfId="49" applyFont="1" applyAlignment="1">
      <alignment horizontal="center"/>
    </xf>
    <xf numFmtId="168" fontId="38" fillId="0" borderId="0" xfId="0" quotePrefix="1" applyFont="1" applyAlignment="1">
      <alignment horizontal="center"/>
    </xf>
    <xf numFmtId="168" fontId="44" fillId="40" borderId="0" xfId="0" applyFont="1" applyFill="1" applyAlignment="1">
      <alignment horizontal="center"/>
    </xf>
  </cellXfs>
  <cellStyles count="64">
    <cellStyle name="20% - Accent1" xfId="19" builtinId="30" hidden="1"/>
    <cellStyle name="20% - Accent2" xfId="23" builtinId="34" hidden="1"/>
    <cellStyle name="20% - Accent3" xfId="27" builtinId="38" hidden="1"/>
    <cellStyle name="20% - Accent4" xfId="31" builtinId="42" hidden="1"/>
    <cellStyle name="20% - Accent5" xfId="35" builtinId="46" hidden="1"/>
    <cellStyle name="20% - Accent6" xfId="39" builtinId="50" hidden="1"/>
    <cellStyle name="40% - Accent1" xfId="20" builtinId="31" hidden="1"/>
    <cellStyle name="40% - Accent2" xfId="24" builtinId="35" hidden="1"/>
    <cellStyle name="40% - Accent3" xfId="28" builtinId="39" hidden="1"/>
    <cellStyle name="40% - Accent4" xfId="32" builtinId="43" hidden="1"/>
    <cellStyle name="40% - Accent5" xfId="36" builtinId="47" hidden="1"/>
    <cellStyle name="40% - Accent6" xfId="40" builtinId="51" hidden="1"/>
    <cellStyle name="60% - Accent1" xfId="21" builtinId="32" hidden="1"/>
    <cellStyle name="60% - Accent2" xfId="25" builtinId="36" hidden="1"/>
    <cellStyle name="60% - Accent3" xfId="29" builtinId="40" hidden="1"/>
    <cellStyle name="60% - Accent4" xfId="33" builtinId="44" hidden="1"/>
    <cellStyle name="60% - Accent5" xfId="37" builtinId="48" hidden="1"/>
    <cellStyle name="60% - Accent6" xfId="41" builtinId="52" hidden="1"/>
    <cellStyle name="Accent1" xfId="18" builtinId="29" hidden="1"/>
    <cellStyle name="Accent2" xfId="22" builtinId="33" hidden="1"/>
    <cellStyle name="Accent3" xfId="26" builtinId="37" hidden="1"/>
    <cellStyle name="Accent4" xfId="30" builtinId="41" hidden="1"/>
    <cellStyle name="Accent5" xfId="34" builtinId="45" hidden="1"/>
    <cellStyle name="Accent6" xfId="38" builtinId="49" hidden="1"/>
    <cellStyle name="Bad" xfId="8" builtinId="27" hidden="1"/>
    <cellStyle name="Blank" xfId="44" xr:uid="{00000000-0005-0000-0000-000019000000}"/>
    <cellStyle name="Blue" xfId="42" xr:uid="{00000000-0005-0000-0000-00001A000000}"/>
    <cellStyle name="Calculation" xfId="11" builtinId="22" hidden="1"/>
    <cellStyle name="Check Cell" xfId="13" builtinId="23" hidden="1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Data" xfId="57" xr:uid="{0A79D64B-2B60-403D-8078-15B4686A2A21}"/>
    <cellStyle name="Date" xfId="43" xr:uid="{00000000-0005-0000-0000-000021000000}"/>
    <cellStyle name="Diff Tab" xfId="60" xr:uid="{AA092CCF-6B77-4B86-B3A2-D636368C5372}"/>
    <cellStyle name="Explanatory Text" xfId="16" builtinId="53" hidden="1"/>
    <cellStyle name="Followed Hyperlink" xfId="53" builtinId="9" hidden="1"/>
    <cellStyle name="Good" xfId="7" builtinId="26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Hyperlink" xfId="52" builtinId="8" hidden="1"/>
    <cellStyle name="Hyperlink 2" xfId="55" xr:uid="{9909F660-3FB5-46B9-9E85-21C7D6DFD9A4}"/>
    <cellStyle name="I" xfId="50" xr:uid="{00000000-0005-0000-0000-00002A000000}"/>
    <cellStyle name="Input" xfId="1" builtinId="20" hidden="1" customBuiltin="1"/>
    <cellStyle name="Linked Cell" xfId="12" builtinId="24" hidden="1"/>
    <cellStyle name="Multiple" xfId="51" xr:uid="{00000000-0005-0000-0000-00002D000000}"/>
    <cellStyle name="Neutral" xfId="9" builtinId="28" hidden="1"/>
    <cellStyle name="Normal" xfId="0" builtinId="0" customBuiltin="1"/>
    <cellStyle name="Normal 2" xfId="54" xr:uid="{4639C9A5-C64B-4825-B3BC-926F3EF9970E}"/>
    <cellStyle name="Note" xfId="15" builtinId="10" hidden="1"/>
    <cellStyle name="Output" xfId="10" builtinId="21" hidden="1"/>
    <cellStyle name="Percent" xfId="49" builtinId="5" customBuiltin="1"/>
    <cellStyle name="Percent 2" xfId="56" xr:uid="{C3D4BFED-A4CC-4A25-BEA8-F8A5CFC3D2E0}"/>
    <cellStyle name="Source Superscript" xfId="58" xr:uid="{3C695E52-D672-4736-84BE-5F57A61DA3F9}"/>
    <cellStyle name="Source Text" xfId="59" xr:uid="{51FF992F-AACC-419C-8DB6-D4F145C161CA}"/>
    <cellStyle name="Title" xfId="2" builtinId="15" hidden="1"/>
    <cellStyle name="Total" xfId="17" builtinId="25" hidden="1"/>
    <cellStyle name="Warning Text" xfId="14" builtinId="11" hidden="1"/>
    <cellStyle name="Year Actual" xfId="61" xr:uid="{0B3253BA-17D9-43A7-A490-86E4A4A8F5FB}"/>
    <cellStyle name="Year Estimate" xfId="62" xr:uid="{54779C49-FAAB-47DB-9195-05BA31585D44}"/>
    <cellStyle name="Year Forecast" xfId="63" xr:uid="{E8818E40-BEE2-4775-8F04-466F6665D9FF}"/>
  </cellStyles>
  <dxfs count="0"/>
  <tableStyles count="0" defaultTableStyle="TableStyleMedium9" defaultPivotStyle="PivotStyleLight16"/>
  <colors>
    <mruColors>
      <color rgb="FFFFFFCC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11206</xdr:rowOff>
    </xdr:from>
    <xdr:to>
      <xdr:col>9</xdr:col>
      <xdr:colOff>0</xdr:colOff>
      <xdr:row>125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0480A2A-4BCC-4DCE-947F-55E1DBD5DA6C}"/>
            </a:ext>
          </a:extLst>
        </xdr:cNvPr>
        <xdr:cNvCxnSpPr/>
      </xdr:nvCxnSpPr>
      <xdr:spPr>
        <a:xfrm>
          <a:off x="7597588" y="582706"/>
          <a:ext cx="0" cy="233340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11207</xdr:rowOff>
    </xdr:from>
    <xdr:to>
      <xdr:col>9</xdr:col>
      <xdr:colOff>0</xdr:colOff>
      <xdr:row>120</xdr:row>
      <xdr:rowOff>104207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78B1959-3002-472E-8336-7419D13B1BC8}"/>
            </a:ext>
          </a:extLst>
        </xdr:cNvPr>
        <xdr:cNvCxnSpPr/>
      </xdr:nvCxnSpPr>
      <xdr:spPr>
        <a:xfrm>
          <a:off x="8538882" y="582707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1053352</xdr:colOff>
      <xdr:row>3</xdr:row>
      <xdr:rowOff>22412</xdr:rowOff>
    </xdr:from>
    <xdr:to>
      <xdr:col>8</xdr:col>
      <xdr:colOff>1053352</xdr:colOff>
      <xdr:row>128</xdr:row>
      <xdr:rowOff>115412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DE89738-1E9B-4F25-A597-D2D55B0379B2}"/>
            </a:ext>
          </a:extLst>
        </xdr:cNvPr>
        <xdr:cNvCxnSpPr/>
      </xdr:nvCxnSpPr>
      <xdr:spPr>
        <a:xfrm>
          <a:off x="8538881" y="593912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190499</xdr:rowOff>
    </xdr:from>
    <xdr:to>
      <xdr:col>9</xdr:col>
      <xdr:colOff>0</xdr:colOff>
      <xdr:row>104</xdr:row>
      <xdr:rowOff>92999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E8606D8-A9A3-D82C-EA64-7A9D7181E60A}"/>
            </a:ext>
          </a:extLst>
        </xdr:cNvPr>
        <xdr:cNvCxnSpPr/>
      </xdr:nvCxnSpPr>
      <xdr:spPr>
        <a:xfrm>
          <a:off x="8538882" y="761999"/>
          <a:ext cx="0" cy="180000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1032621</xdr:colOff>
      <xdr:row>4</xdr:row>
      <xdr:rowOff>11206</xdr:rowOff>
    </xdr:from>
    <xdr:to>
      <xdr:col>8</xdr:col>
      <xdr:colOff>1032621</xdr:colOff>
      <xdr:row>157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6B0D949-0EA0-488A-8BA8-9E1D60D205BE}"/>
            </a:ext>
          </a:extLst>
        </xdr:cNvPr>
        <xdr:cNvCxnSpPr/>
      </xdr:nvCxnSpPr>
      <xdr:spPr>
        <a:xfrm>
          <a:off x="8518150" y="773206"/>
          <a:ext cx="0" cy="27334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11206</xdr:rowOff>
    </xdr:from>
    <xdr:to>
      <xdr:col>9</xdr:col>
      <xdr:colOff>0</xdr:colOff>
      <xdr:row>119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DCAE7C4-240B-4A84-88D3-287EF9A87EAD}"/>
            </a:ext>
          </a:extLst>
        </xdr:cNvPr>
        <xdr:cNvCxnSpPr/>
      </xdr:nvCxnSpPr>
      <xdr:spPr>
        <a:xfrm>
          <a:off x="7597588" y="773206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0</xdr:colOff>
      <xdr:row>115</xdr:row>
      <xdr:rowOff>93000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36B54EC-49DB-400B-B494-7A59A55A1814}"/>
            </a:ext>
          </a:extLst>
        </xdr:cNvPr>
        <xdr:cNvCxnSpPr/>
      </xdr:nvCxnSpPr>
      <xdr:spPr>
        <a:xfrm>
          <a:off x="4325471" y="0"/>
          <a:ext cx="0" cy="22000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F258-42EE-4F3A-A994-0B9AD83BABAE}">
  <sheetPr>
    <tabColor rgb="FF7030A0"/>
  </sheetPr>
  <dimension ref="A1:T38"/>
  <sheetViews>
    <sheetView showGridLines="0" topLeftCell="A8" zoomScale="85" zoomScaleNormal="85" workbookViewId="0">
      <selection activeCell="T21" sqref="T21"/>
    </sheetView>
  </sheetViews>
  <sheetFormatPr defaultColWidth="15.73046875" defaultRowHeight="14.25" x14ac:dyDescent="0.45"/>
  <cols>
    <col min="1" max="1" width="1.73046875" customWidth="1"/>
    <col min="7" max="7" width="1.73046875" customWidth="1"/>
  </cols>
  <sheetData>
    <row r="1" spans="1:20" x14ac:dyDescent="0.45">
      <c r="A1" s="1" t="s">
        <v>0</v>
      </c>
    </row>
    <row r="2" spans="1:20" x14ac:dyDescent="0.45">
      <c r="A2" s="1" t="s">
        <v>3</v>
      </c>
    </row>
    <row r="3" spans="1:20" x14ac:dyDescent="0.45">
      <c r="E3" s="2"/>
      <c r="F3" s="2"/>
      <c r="G3" s="2"/>
      <c r="H3" s="2"/>
      <c r="I3" s="2"/>
      <c r="J3" s="3"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4" spans="1:20" x14ac:dyDescent="0.45">
      <c r="B4" s="20"/>
    </row>
    <row r="5" spans="1:20" x14ac:dyDescent="0.45">
      <c r="A5" t="s">
        <v>36</v>
      </c>
      <c r="B5" s="20" t="s">
        <v>55</v>
      </c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20" x14ac:dyDescent="0.45">
      <c r="B6" s="7" t="s">
        <v>54</v>
      </c>
      <c r="C6" s="26">
        <v>1</v>
      </c>
      <c r="D6" s="27" t="str">
        <f>+CHOOSE(Case, "Base", "Upside", "Downside")</f>
        <v>Base</v>
      </c>
      <c r="F6" s="54"/>
    </row>
    <row r="7" spans="1:20" x14ac:dyDescent="0.45">
      <c r="B7" s="7" t="s">
        <v>107</v>
      </c>
      <c r="C7" s="26">
        <v>1</v>
      </c>
    </row>
    <row r="8" spans="1:20" s="7" customFormat="1" x14ac:dyDescent="0.45">
      <c r="B8" s="7" t="s">
        <v>57</v>
      </c>
      <c r="J8" s="76">
        <v>1.3503000000000001</v>
      </c>
      <c r="K8" s="76">
        <v>1.3440000000000001</v>
      </c>
      <c r="L8" s="76">
        <v>1.3365</v>
      </c>
      <c r="M8" s="76">
        <v>1.3303</v>
      </c>
      <c r="N8" s="76">
        <v>1.3236000000000001</v>
      </c>
      <c r="O8" s="76">
        <v>1.3171999999999999</v>
      </c>
      <c r="P8" s="76">
        <v>1.3128</v>
      </c>
      <c r="Q8" s="76">
        <v>1.3102</v>
      </c>
      <c r="R8" s="76">
        <v>1.3098000000000001</v>
      </c>
      <c r="S8" s="76">
        <v>1.3089</v>
      </c>
    </row>
    <row r="9" spans="1:20" s="7" customFormat="1" x14ac:dyDescent="0.45">
      <c r="J9" s="76"/>
      <c r="K9" s="76"/>
      <c r="L9" s="76"/>
      <c r="M9" s="76"/>
      <c r="N9" s="76"/>
      <c r="O9" s="76"/>
      <c r="P9" s="76"/>
      <c r="Q9" s="76"/>
      <c r="R9" s="76"/>
      <c r="S9" s="76"/>
    </row>
    <row r="10" spans="1:20" s="7" customFormat="1" x14ac:dyDescent="0.45">
      <c r="B10" s="20" t="s">
        <v>359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</row>
    <row r="11" spans="1:20" s="7" customFormat="1" x14ac:dyDescent="0.45">
      <c r="B11" t="s">
        <v>51</v>
      </c>
      <c r="C11" s="118">
        <v>15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</row>
    <row r="12" spans="1:20" s="7" customFormat="1" x14ac:dyDescent="0.45">
      <c r="B12" t="s">
        <v>53</v>
      </c>
      <c r="C12" s="118">
        <v>15</v>
      </c>
      <c r="J12" s="76"/>
      <c r="K12" s="76"/>
      <c r="L12" s="76"/>
      <c r="M12" s="76"/>
      <c r="N12" s="76"/>
      <c r="O12" s="76"/>
      <c r="P12" s="76"/>
      <c r="Q12" s="76"/>
      <c r="R12" s="76"/>
      <c r="S12" s="76"/>
    </row>
    <row r="13" spans="1:20" s="7" customFormat="1" x14ac:dyDescent="0.45">
      <c r="B13" t="s">
        <v>52</v>
      </c>
      <c r="C13" s="118">
        <v>11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</row>
    <row r="15" spans="1:20" x14ac:dyDescent="0.45">
      <c r="A15" t="s">
        <v>36</v>
      </c>
      <c r="B15" s="20" t="s">
        <v>362</v>
      </c>
      <c r="G15" t="s">
        <v>36</v>
      </c>
      <c r="H15" s="20" t="s">
        <v>354</v>
      </c>
    </row>
    <row r="16" spans="1:20" x14ac:dyDescent="0.45">
      <c r="B16" s="53"/>
      <c r="C16" s="53"/>
      <c r="D16" s="88">
        <v>44958</v>
      </c>
      <c r="H16" s="53"/>
      <c r="I16" s="53"/>
      <c r="J16" s="88"/>
      <c r="K16" s="88">
        <v>45473</v>
      </c>
      <c r="L16" s="89">
        <f>+EDATE(K16,12)</f>
        <v>45838</v>
      </c>
      <c r="M16" s="89">
        <f>+EDATE(L16,12)</f>
        <v>46203</v>
      </c>
      <c r="O16" s="53"/>
      <c r="P16" s="53"/>
      <c r="Q16" s="53"/>
      <c r="R16" s="53"/>
      <c r="S16" s="53"/>
      <c r="T16" s="53"/>
    </row>
    <row r="17" spans="2:20" x14ac:dyDescent="0.45">
      <c r="B17" s="90" t="s">
        <v>276</v>
      </c>
      <c r="C17" s="53"/>
      <c r="D17" s="53"/>
      <c r="H17" s="90"/>
      <c r="I17" s="53"/>
      <c r="J17" s="53"/>
      <c r="K17" s="123" t="s">
        <v>315</v>
      </c>
      <c r="L17" s="123" t="s">
        <v>316</v>
      </c>
      <c r="M17" s="123" t="s">
        <v>317</v>
      </c>
      <c r="O17" s="90" t="s">
        <v>353</v>
      </c>
      <c r="P17" s="98" t="s">
        <v>348</v>
      </c>
      <c r="Q17" s="98" t="s">
        <v>344</v>
      </c>
      <c r="R17" s="98" t="s">
        <v>343</v>
      </c>
      <c r="S17" s="98" t="s">
        <v>351</v>
      </c>
      <c r="T17" s="98" t="s">
        <v>352</v>
      </c>
    </row>
    <row r="18" spans="2:20" x14ac:dyDescent="0.45">
      <c r="B18" s="53" t="s">
        <v>277</v>
      </c>
      <c r="C18" s="53"/>
      <c r="D18" s="105">
        <v>2.81</v>
      </c>
      <c r="H18" s="91" t="s">
        <v>29</v>
      </c>
      <c r="I18" s="53"/>
      <c r="J18" s="53"/>
      <c r="K18" s="53">
        <f ca="1">+K20-K19</f>
        <v>90.973135194093985</v>
      </c>
      <c r="L18" s="53">
        <f ca="1">+L20-L19</f>
        <v>106.26102816640517</v>
      </c>
      <c r="M18" s="53">
        <f ca="1">+M20-M19</f>
        <v>118.34244071591533</v>
      </c>
      <c r="O18" s="112" t="s">
        <v>1</v>
      </c>
      <c r="P18" s="92">
        <f>+'P&amp;L'!I6</f>
        <v>507.22300000000001</v>
      </c>
      <c r="Q18" s="92">
        <f>+'P&amp;L'!M6</f>
        <v>706.85888657798569</v>
      </c>
      <c r="R18" s="53">
        <f>+(Q18-P18)*P19*P20/$M$31</f>
        <v>2.5559884809557141</v>
      </c>
      <c r="S18" s="113">
        <f ca="1">+R18/$R$22</f>
        <v>0.66618286130297255</v>
      </c>
      <c r="T18" s="114">
        <f ca="1">+$R$22*S18</f>
        <v>2.5559884809557141</v>
      </c>
    </row>
    <row r="19" spans="2:20" x14ac:dyDescent="0.45">
      <c r="B19" s="53" t="s">
        <v>278</v>
      </c>
      <c r="C19" s="53"/>
      <c r="D19" s="106">
        <v>173.11699999999999</v>
      </c>
      <c r="H19" s="91" t="s">
        <v>326</v>
      </c>
      <c r="I19" s="92"/>
      <c r="J19" s="92"/>
      <c r="K19" s="92">
        <f>+'P&amp;L'!K76</f>
        <v>14.97038336</v>
      </c>
      <c r="L19" s="92">
        <f>+'P&amp;L'!L76</f>
        <v>13.9715680256</v>
      </c>
      <c r="M19" s="92">
        <f>+'P&amp;L'!M76</f>
        <v>13.012705304575995</v>
      </c>
      <c r="O19" s="53" t="s">
        <v>341</v>
      </c>
      <c r="P19" s="115">
        <f>+'P&amp;L'!I72</f>
        <v>0.1425904256851421</v>
      </c>
      <c r="Q19" s="115">
        <f ca="1">+'P&amp;L'!M72</f>
        <v>0.18582937629376647</v>
      </c>
      <c r="R19" s="53">
        <f ca="1">+(Q19-P19)*Q18*P20/$M$31</f>
        <v>2.7443391516781102</v>
      </c>
      <c r="S19" s="113">
        <f ca="1">+R19/$R$22</f>
        <v>0.71527384496157764</v>
      </c>
      <c r="T19" s="114">
        <f ca="1">+$R$22*S19</f>
        <v>2.7443391516781102</v>
      </c>
    </row>
    <row r="20" spans="2:20" x14ac:dyDescent="0.45">
      <c r="B20" s="107" t="s">
        <v>279</v>
      </c>
      <c r="C20" s="107"/>
      <c r="D20" s="108">
        <f>+D18*D19</f>
        <v>486.45876999999996</v>
      </c>
      <c r="H20" s="93" t="s">
        <v>327</v>
      </c>
      <c r="I20" s="93"/>
      <c r="J20" s="93"/>
      <c r="K20" s="93">
        <f ca="1">+'P&amp;L'!K71</f>
        <v>105.94351855409401</v>
      </c>
      <c r="L20" s="93">
        <f ca="1">+'P&amp;L'!L71</f>
        <v>120.23259619200498</v>
      </c>
      <c r="M20" s="93">
        <f ca="1">+'P&amp;L'!M71</f>
        <v>131.35514602049329</v>
      </c>
      <c r="O20" s="53" t="s">
        <v>342</v>
      </c>
      <c r="P20" s="97">
        <f>+D28</f>
        <v>15.543885788453187</v>
      </c>
      <c r="Q20" s="97">
        <f ca="1">+M26</f>
        <v>14.009349408927189</v>
      </c>
      <c r="R20" s="53">
        <f ca="1">+(Q20-P20)*Q19*Q18/$M$31</f>
        <v>-1.1643796260615695</v>
      </c>
      <c r="S20" s="113">
        <f ca="1">+R20/$R$22</f>
        <v>-0.30347936100343542</v>
      </c>
      <c r="T20" s="114">
        <f ca="1">+$R$22*S20</f>
        <v>-1.1643796260615695</v>
      </c>
    </row>
    <row r="21" spans="2:20" x14ac:dyDescent="0.45">
      <c r="B21" s="53"/>
      <c r="C21" s="53"/>
      <c r="D21" s="109"/>
      <c r="H21" s="53"/>
      <c r="I21" s="53"/>
      <c r="J21" s="53"/>
      <c r="K21" s="53"/>
      <c r="L21" s="53"/>
      <c r="M21" s="53"/>
      <c r="O21" s="53" t="s">
        <v>223</v>
      </c>
      <c r="P21" s="53"/>
      <c r="Q21" s="53"/>
      <c r="R21" s="53">
        <f ca="1">+R22-SUM(R18:R20)</f>
        <v>-0.29918091238956768</v>
      </c>
      <c r="S21" s="113">
        <f ca="1">+R21/$R$22</f>
        <v>-7.7977345261114828E-2</v>
      </c>
      <c r="T21" s="114">
        <f ca="1">+$R$22*S21</f>
        <v>-0.29918091238956768</v>
      </c>
    </row>
    <row r="22" spans="2:20" x14ac:dyDescent="0.45">
      <c r="B22" s="53" t="s">
        <v>292</v>
      </c>
      <c r="C22" s="53"/>
      <c r="D22" s="92">
        <f>+Quarterly!E96</f>
        <v>637.75499999999988</v>
      </c>
      <c r="H22" s="91" t="s">
        <v>29</v>
      </c>
      <c r="I22" s="119">
        <f>+CHOOSE(Case,C11,C12,C13)</f>
        <v>15</v>
      </c>
      <c r="J22" s="53"/>
      <c r="K22" s="53">
        <f t="shared" ref="K22:M23" ca="1" si="1">+K18*$I22</f>
        <v>1364.5970279114097</v>
      </c>
      <c r="L22" s="53">
        <f t="shared" ca="1" si="1"/>
        <v>1593.9154224960776</v>
      </c>
      <c r="M22" s="53">
        <f t="shared" ca="1" si="1"/>
        <v>1775.13661073873</v>
      </c>
      <c r="O22" s="107" t="s">
        <v>350</v>
      </c>
      <c r="P22" s="107"/>
      <c r="Q22" s="107"/>
      <c r="R22" s="116">
        <f ca="1">+M33-D18</f>
        <v>3.8367670941868171</v>
      </c>
      <c r="S22" s="53"/>
      <c r="T22" s="53"/>
    </row>
    <row r="23" spans="2:20" x14ac:dyDescent="0.45">
      <c r="B23" s="53" t="s">
        <v>324</v>
      </c>
      <c r="C23" s="53"/>
      <c r="D23" s="92">
        <f>+Quarterly!E82</f>
        <v>260.50299999999999</v>
      </c>
      <c r="H23" s="91" t="s">
        <v>326</v>
      </c>
      <c r="I23" s="94">
        <v>5</v>
      </c>
      <c r="J23" s="53"/>
      <c r="K23" s="53">
        <f t="shared" si="1"/>
        <v>74.851916799999998</v>
      </c>
      <c r="L23" s="53">
        <f t="shared" si="1"/>
        <v>69.857840127999992</v>
      </c>
      <c r="M23" s="53">
        <f t="shared" si="1"/>
        <v>65.063526522879982</v>
      </c>
    </row>
    <row r="24" spans="2:20" x14ac:dyDescent="0.45">
      <c r="B24" s="107" t="s">
        <v>287</v>
      </c>
      <c r="C24" s="107"/>
      <c r="D24" s="107">
        <f>+D22+D20+D23</f>
        <v>1384.7167699999998</v>
      </c>
      <c r="H24" s="93" t="s">
        <v>330</v>
      </c>
      <c r="I24" s="93"/>
      <c r="J24" s="93"/>
      <c r="K24" s="93">
        <f ca="1">SUM(K22:K23)</f>
        <v>1439.4489447114097</v>
      </c>
      <c r="L24" s="93">
        <f ca="1">SUM(L22:L23)</f>
        <v>1663.7732626240775</v>
      </c>
      <c r="M24" s="93">
        <f ca="1">SUM(M22:M23)</f>
        <v>1840.2001372616101</v>
      </c>
    </row>
    <row r="25" spans="2:20" x14ac:dyDescent="0.45">
      <c r="B25" s="53" t="s">
        <v>345</v>
      </c>
      <c r="C25" s="53"/>
      <c r="D25" s="111">
        <f>+D24/Summary!I19</f>
        <v>14.469500935223971</v>
      </c>
      <c r="H25" s="53"/>
      <c r="I25" s="53"/>
      <c r="J25" s="53"/>
      <c r="K25" s="53"/>
      <c r="L25" s="53"/>
      <c r="M25" s="53"/>
    </row>
    <row r="26" spans="2:20" x14ac:dyDescent="0.45">
      <c r="H26" s="95" t="s">
        <v>331</v>
      </c>
      <c r="I26" s="95"/>
      <c r="J26" s="96"/>
      <c r="K26" s="96">
        <f ca="1">+K24/K20</f>
        <v>13.586946746312162</v>
      </c>
      <c r="L26" s="96">
        <f ca="1">+L24/L20</f>
        <v>13.837955058103555</v>
      </c>
      <c r="M26" s="96">
        <f ca="1">+M24/M20</f>
        <v>14.009349408926182</v>
      </c>
    </row>
    <row r="27" spans="2:20" x14ac:dyDescent="0.45">
      <c r="B27" t="s">
        <v>347</v>
      </c>
      <c r="D27">
        <f>+D24-D23</f>
        <v>1124.2137699999998</v>
      </c>
      <c r="H27" s="53"/>
      <c r="I27" s="53"/>
      <c r="J27" s="97"/>
      <c r="K27" s="97"/>
      <c r="L27" s="97"/>
      <c r="M27" s="97"/>
    </row>
    <row r="28" spans="2:20" x14ac:dyDescent="0.45">
      <c r="B28" t="s">
        <v>345</v>
      </c>
      <c r="D28" s="110">
        <f>+D27/Summary!I22</f>
        <v>15.543885788453187</v>
      </c>
      <c r="H28" s="53" t="s">
        <v>333</v>
      </c>
      <c r="I28" s="53"/>
      <c r="J28" s="92"/>
      <c r="K28" s="92">
        <f ca="1">+'BS &amp; CFS'!K50</f>
        <v>636.68536841585171</v>
      </c>
      <c r="L28" s="92">
        <f ca="1">+'BS &amp; CFS'!L50</f>
        <v>666.69109982550151</v>
      </c>
      <c r="M28" s="92">
        <f ca="1">+'BS &amp; CFS'!M50</f>
        <v>689.55834528584705</v>
      </c>
    </row>
    <row r="29" spans="2:20" x14ac:dyDescent="0.45">
      <c r="H29" s="93" t="s">
        <v>332</v>
      </c>
      <c r="I29" s="93"/>
      <c r="J29" s="93"/>
      <c r="K29" s="93">
        <f ca="1">+K24-K28</f>
        <v>802.76357629555798</v>
      </c>
      <c r="L29" s="93">
        <f ca="1">+L24-L28</f>
        <v>997.08216279857595</v>
      </c>
      <c r="M29" s="93">
        <f ca="1">+M24-M28</f>
        <v>1150.641791975763</v>
      </c>
    </row>
    <row r="30" spans="2:20" x14ac:dyDescent="0.45">
      <c r="H30" s="98"/>
      <c r="I30" s="98"/>
      <c r="J30" s="98"/>
      <c r="K30" s="98"/>
      <c r="L30" s="98"/>
      <c r="M30" s="98"/>
    </row>
    <row r="31" spans="2:20" x14ac:dyDescent="0.45">
      <c r="H31" s="53" t="s">
        <v>334</v>
      </c>
      <c r="I31" s="97"/>
      <c r="J31" s="92"/>
      <c r="K31" s="92">
        <f>+'P&amp;L'!K41</f>
        <v>173.113</v>
      </c>
      <c r="L31" s="92">
        <f>+'P&amp;L'!L41</f>
        <v>173.113</v>
      </c>
      <c r="M31" s="92">
        <f>+'P&amp;L'!M41</f>
        <v>173.113</v>
      </c>
    </row>
    <row r="32" spans="2:20" x14ac:dyDescent="0.45">
      <c r="H32" s="53"/>
      <c r="I32" s="97"/>
      <c r="J32" s="97"/>
      <c r="K32" s="97"/>
      <c r="L32" s="97"/>
      <c r="M32" s="97"/>
    </row>
    <row r="33" spans="2:17" x14ac:dyDescent="0.45">
      <c r="H33" s="93" t="s">
        <v>335</v>
      </c>
      <c r="I33" s="99"/>
      <c r="J33" s="100"/>
      <c r="K33" s="100">
        <f ca="1">+K29/K31</f>
        <v>4.6372229485686107</v>
      </c>
      <c r="L33" s="100">
        <f ca="1">+L29/L31</f>
        <v>5.7597185814963403</v>
      </c>
      <c r="M33" s="100">
        <f ca="1">+M29/M31</f>
        <v>6.6467670941856651</v>
      </c>
    </row>
    <row r="34" spans="2:17" x14ac:dyDescent="0.45">
      <c r="H34" s="98" t="s">
        <v>336</v>
      </c>
      <c r="I34" s="101"/>
      <c r="J34" s="102"/>
      <c r="K34" s="102">
        <f ca="1">+K33/$D$18-1</f>
        <v>0.65025727707068004</v>
      </c>
      <c r="L34" s="102">
        <f ca="1">+L33/$D$18-1</f>
        <v>1.0497219151232526</v>
      </c>
      <c r="M34" s="102">
        <f ca="1">+M33/$D$18-1</f>
        <v>1.3653975424148275</v>
      </c>
    </row>
    <row r="35" spans="2:17" x14ac:dyDescent="0.45">
      <c r="H35" s="98" t="s">
        <v>338</v>
      </c>
      <c r="I35" s="101"/>
      <c r="J35" s="101"/>
      <c r="K35" s="101">
        <f ca="1">+K33/$D$18</f>
        <v>1.65025727707068</v>
      </c>
      <c r="L35" s="101">
        <f ca="1">+L33/$D$18</f>
        <v>2.0497219151232526</v>
      </c>
      <c r="M35" s="101">
        <f ca="1">+M33/$D$18</f>
        <v>2.3653975424148275</v>
      </c>
      <c r="Q35" s="15"/>
    </row>
    <row r="36" spans="2:17" x14ac:dyDescent="0.45">
      <c r="H36" s="103" t="s">
        <v>337</v>
      </c>
      <c r="I36" s="103"/>
      <c r="J36" s="104"/>
      <c r="K36" s="104">
        <f ca="1">+K35^(1/(YEARFRAC($D$16,K16)))-1</f>
        <v>0.42517296817210237</v>
      </c>
      <c r="L36" s="104">
        <f ca="1">+L35^(1/(YEARFRAC($D$16,L16)))-1</f>
        <v>0.34624975940816571</v>
      </c>
      <c r="M36" s="104">
        <f ca="1">+M35^(1/(YEARFRAC($D$16,M16)))-1</f>
        <v>0.28683955744303025</v>
      </c>
      <c r="O36" s="6"/>
    </row>
    <row r="38" spans="2:17" x14ac:dyDescent="0.45">
      <c r="B38" s="20"/>
    </row>
  </sheetData>
  <dataValidations count="2">
    <dataValidation type="list" allowBlank="1" showInputMessage="1" showErrorMessage="1" sqref="C6" xr:uid="{24C9F896-6285-4682-A0C2-7F7AFC93D7C3}">
      <formula1>"1,2,3"</formula1>
    </dataValidation>
    <dataValidation type="list" allowBlank="1" showInputMessage="1" showErrorMessage="1" sqref="C7" xr:uid="{B76DF7D5-DF6F-42BD-9AC0-BBAC45E59C2F}">
      <formula1>"0,1"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51F-D2E7-499C-A857-C0B47AE8F022}">
  <sheetPr>
    <tabColor rgb="FF7030A0"/>
  </sheetPr>
  <dimension ref="A1:V32"/>
  <sheetViews>
    <sheetView showGridLines="0" zoomScale="85" zoomScaleNormal="85" workbookViewId="0">
      <selection activeCell="J5" sqref="J5"/>
    </sheetView>
  </sheetViews>
  <sheetFormatPr defaultColWidth="15.73046875" defaultRowHeight="14.25" x14ac:dyDescent="0.45"/>
  <cols>
    <col min="1" max="1" width="1.73046875" customWidth="1"/>
    <col min="2" max="2" width="15.73046875" customWidth="1"/>
    <col min="20" max="20" width="1.73046875" customWidth="1"/>
  </cols>
  <sheetData>
    <row r="1" spans="1:22" x14ac:dyDescent="0.45">
      <c r="A1" s="1" t="s">
        <v>0</v>
      </c>
    </row>
    <row r="2" spans="1:22" x14ac:dyDescent="0.45">
      <c r="A2" s="1" t="s">
        <v>3</v>
      </c>
    </row>
    <row r="3" spans="1:22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  <c r="U3" s="122" t="s">
        <v>361</v>
      </c>
      <c r="V3" s="122" t="s">
        <v>360</v>
      </c>
    </row>
    <row r="4" spans="1:22" x14ac:dyDescent="0.45">
      <c r="A4" t="s">
        <v>36</v>
      </c>
      <c r="B4" s="20" t="s">
        <v>280</v>
      </c>
      <c r="V4" s="120"/>
    </row>
    <row r="5" spans="1:22" x14ac:dyDescent="0.45">
      <c r="B5" s="14" t="str">
        <f>+'RevBuild Calcs'!B7</f>
        <v>Content production and distribution</v>
      </c>
      <c r="E5">
        <f>+'RevBuild Calcs'!E7</f>
        <v>164.374</v>
      </c>
      <c r="F5">
        <f>+'RevBuild Calcs'!F7</f>
        <v>143.76300000000001</v>
      </c>
      <c r="G5">
        <f>+'RevBuild Calcs'!G7</f>
        <v>145.22499999999999</v>
      </c>
      <c r="H5">
        <f>+'RevBuild Calcs'!H7</f>
        <v>185.084</v>
      </c>
      <c r="I5">
        <f>+'RevBuild Calcs'!I7</f>
        <v>206.572</v>
      </c>
      <c r="J5">
        <f>+'RevBuild Calcs'!J7</f>
        <v>216.90060000000003</v>
      </c>
      <c r="K5">
        <f>+'RevBuild Calcs'!K7</f>
        <v>238.59066000000004</v>
      </c>
      <c r="L5">
        <f>+'RevBuild Calcs'!L7</f>
        <v>262.44972600000006</v>
      </c>
      <c r="M5">
        <f>+'RevBuild Calcs'!M7</f>
        <v>275.57221230000005</v>
      </c>
      <c r="N5">
        <f>+'RevBuild Calcs'!N7</f>
        <v>283.83937866900004</v>
      </c>
      <c r="O5">
        <f>+'RevBuild Calcs'!O7</f>
        <v>292.35456002907006</v>
      </c>
      <c r="P5">
        <f>+'RevBuild Calcs'!P7</f>
        <v>301.12519682994218</v>
      </c>
      <c r="Q5">
        <f>+'RevBuild Calcs'!Q7</f>
        <v>310.15895273484045</v>
      </c>
      <c r="R5">
        <f>+'RevBuild Calcs'!R7</f>
        <v>319.46372131688565</v>
      </c>
      <c r="S5">
        <f>+'RevBuild Calcs'!S7</f>
        <v>329.04763295639225</v>
      </c>
      <c r="U5" s="121">
        <f>+(I5/E5)^(0.166666666666667)-1</f>
        <v>3.8818611274490156E-2</v>
      </c>
      <c r="V5" s="121">
        <f>+(M5/I5)^(0.166666666666667)-1</f>
        <v>4.9205748562267893E-2</v>
      </c>
    </row>
    <row r="6" spans="1:22" x14ac:dyDescent="0.45">
      <c r="B6" s="14" t="str">
        <f>+'RevBuild Calcs'!B8</f>
        <v>WildBrain Spark</v>
      </c>
      <c r="E6">
        <f>+'RevBuild Calcs'!E8</f>
        <v>57.281999999999996</v>
      </c>
      <c r="F6">
        <f>+'RevBuild Calcs'!F8</f>
        <v>68.995999999999995</v>
      </c>
      <c r="G6">
        <f>+'RevBuild Calcs'!G8</f>
        <v>62.277999999999999</v>
      </c>
      <c r="H6">
        <f>+'RevBuild Calcs'!H8</f>
        <v>45.753999999999998</v>
      </c>
      <c r="I6">
        <f>+'RevBuild Calcs'!I8</f>
        <v>55.41</v>
      </c>
      <c r="J6">
        <f>+'RevBuild Calcs'!J8</f>
        <v>45.657840000000007</v>
      </c>
      <c r="K6">
        <f>+'RevBuild Calcs'!K8</f>
        <v>54.081711480000003</v>
      </c>
      <c r="L6">
        <f>+'RevBuild Calcs'!L8</f>
        <v>69.630203530499998</v>
      </c>
      <c r="M6">
        <f>+'RevBuild Calcs'!M8</f>
        <v>75.30506511823576</v>
      </c>
      <c r="N6">
        <f>+'RevBuild Calcs'!N8</f>
        <v>81.054606840013051</v>
      </c>
      <c r="O6">
        <f>+'RevBuild Calcs'!O8</f>
        <v>86.825694847021992</v>
      </c>
      <c r="P6">
        <f>+'RevBuild Calcs'!P8</f>
        <v>92.560531991667801</v>
      </c>
      <c r="Q6">
        <f>+'RevBuild Calcs'!Q8</f>
        <v>98.197468389960349</v>
      </c>
      <c r="R6">
        <f>+'RevBuild Calcs'!R8</f>
        <v>103.16626029049236</v>
      </c>
      <c r="S6">
        <f>+'RevBuild Calcs'!S8</f>
        <v>108.38647306119128</v>
      </c>
      <c r="U6" s="121">
        <f>+(I6/E6)^(0.166666666666667)-1</f>
        <v>-5.5224209546288483E-3</v>
      </c>
      <c r="V6" s="121">
        <f>+(M6/I6)^(0.166666666666667)-1</f>
        <v>5.2460987366010015E-2</v>
      </c>
    </row>
    <row r="7" spans="1:22" x14ac:dyDescent="0.45">
      <c r="B7" s="14" t="str">
        <f>+'RevBuild Calcs'!B9</f>
        <v>Consumer Products</v>
      </c>
      <c r="E7">
        <f>+'RevBuild Calcs'!E9</f>
        <v>157.74600000000001</v>
      </c>
      <c r="F7">
        <f>+'RevBuild Calcs'!F9</f>
        <v>174.572</v>
      </c>
      <c r="G7">
        <f>+'RevBuild Calcs'!G9</f>
        <v>168.60400000000001</v>
      </c>
      <c r="H7">
        <f>+'RevBuild Calcs'!H9</f>
        <v>175.19399999999999</v>
      </c>
      <c r="I7">
        <f>+'RevBuild Calcs'!I9</f>
        <v>203.55699999999999</v>
      </c>
      <c r="J7">
        <f>+'RevBuild Calcs'!J9</f>
        <v>223.9127</v>
      </c>
      <c r="K7">
        <f>+'RevBuild Calcs'!K9</f>
        <v>252.34961289999998</v>
      </c>
      <c r="L7">
        <f>+'RevBuild Calcs'!L9</f>
        <v>284.41615066699995</v>
      </c>
      <c r="M7">
        <f>+'RevBuild Calcs'!M9</f>
        <v>320.57744715270991</v>
      </c>
      <c r="N7">
        <f>+'RevBuild Calcs'!N9</f>
        <v>352.63519186798095</v>
      </c>
      <c r="O7">
        <f>+'RevBuild Calcs'!O9</f>
        <v>379.08283125807947</v>
      </c>
      <c r="P7">
        <f>+'RevBuild Calcs'!P9</f>
        <v>404.91379369039458</v>
      </c>
      <c r="Q7">
        <f>+'RevBuild Calcs'!Q9</f>
        <v>431.7776041616462</v>
      </c>
      <c r="R7">
        <f>+'RevBuild Calcs'!R9</f>
        <v>460.47747671327306</v>
      </c>
      <c r="S7">
        <f>+'RevBuild Calcs'!S9</f>
        <v>491.14060355132324</v>
      </c>
      <c r="U7" s="121">
        <f>+(I7/E7)^(0.166666666666667)-1</f>
        <v>4.3409086276763986E-2</v>
      </c>
      <c r="V7" s="121">
        <f>+(M7/I7)^(0.166666666666667)-1</f>
        <v>7.8634948012077377E-2</v>
      </c>
    </row>
    <row r="8" spans="1:22" x14ac:dyDescent="0.45">
      <c r="B8" s="14" t="s">
        <v>281</v>
      </c>
      <c r="E8">
        <f>+'RevBuild Calcs'!E12</f>
        <v>55.014000000000003</v>
      </c>
      <c r="F8">
        <f>+'RevBuild Calcs'!F12</f>
        <v>52.469000000000001</v>
      </c>
      <c r="G8">
        <f>+'RevBuild Calcs'!G12</f>
        <v>49.527000000000001</v>
      </c>
      <c r="H8">
        <f>+'RevBuild Calcs'!H12</f>
        <v>46.502000000000002</v>
      </c>
      <c r="I8">
        <f>+'RevBuild Calcs'!I12</f>
        <v>41.683999999999997</v>
      </c>
      <c r="J8">
        <f>+'RevBuild Calcs'!J12</f>
        <v>40.016639999999995</v>
      </c>
      <c r="K8">
        <f>+'RevBuild Calcs'!K12</f>
        <v>38.415974399999996</v>
      </c>
      <c r="L8">
        <f>+'RevBuild Calcs'!L12</f>
        <v>36.879335423999997</v>
      </c>
      <c r="M8">
        <f>+'RevBuild Calcs'!M12</f>
        <v>35.404162007039993</v>
      </c>
      <c r="N8">
        <f>+'RevBuild Calcs'!N12</f>
        <v>33.98799552675839</v>
      </c>
      <c r="O8">
        <f>+'RevBuild Calcs'!O12</f>
        <v>32.628475705688054</v>
      </c>
      <c r="P8">
        <f>+'RevBuild Calcs'!P12</f>
        <v>31.323336677460532</v>
      </c>
      <c r="Q8">
        <f>+'RevBuild Calcs'!Q12</f>
        <v>30.070403210362109</v>
      </c>
      <c r="R8">
        <f>+'RevBuild Calcs'!R12</f>
        <v>28.867587081947622</v>
      </c>
      <c r="S8">
        <f>+'RevBuild Calcs'!S12</f>
        <v>28.867587081947622</v>
      </c>
      <c r="U8" s="121">
        <f>+(I8/E8)^(0.166666666666667)-1</f>
        <v>-4.5192047924771495E-2</v>
      </c>
      <c r="V8" s="121">
        <f>+(M8/I8)^(0.166666666666667)-1</f>
        <v>-2.684768070825605E-2</v>
      </c>
    </row>
    <row r="9" spans="1:22" x14ac:dyDescent="0.45">
      <c r="B9" s="43" t="s">
        <v>35</v>
      </c>
      <c r="C9" s="43"/>
      <c r="D9" s="43"/>
      <c r="E9" s="43">
        <f>SUM(E5:E8)</f>
        <v>434.41600000000005</v>
      </c>
      <c r="F9" s="43">
        <f t="shared" ref="F9:S9" si="1">SUM(F5:F8)</f>
        <v>439.8</v>
      </c>
      <c r="G9" s="43">
        <f t="shared" si="1"/>
        <v>425.63399999999996</v>
      </c>
      <c r="H9" s="43">
        <f t="shared" si="1"/>
        <v>452.53399999999999</v>
      </c>
      <c r="I9" s="43">
        <f t="shared" si="1"/>
        <v>507.22299999999996</v>
      </c>
      <c r="J9" s="43">
        <f t="shared" si="1"/>
        <v>526.48777999999993</v>
      </c>
      <c r="K9" s="43">
        <f t="shared" si="1"/>
        <v>583.43795878000003</v>
      </c>
      <c r="L9" s="43">
        <f t="shared" si="1"/>
        <v>653.37541562150011</v>
      </c>
      <c r="M9" s="43">
        <f t="shared" si="1"/>
        <v>706.85888657798569</v>
      </c>
      <c r="N9" s="43">
        <f t="shared" si="1"/>
        <v>751.51717290375245</v>
      </c>
      <c r="O9" s="43">
        <f t="shared" si="1"/>
        <v>790.89156183985961</v>
      </c>
      <c r="P9" s="43">
        <f t="shared" si="1"/>
        <v>829.92285918946504</v>
      </c>
      <c r="Q9" s="43">
        <f t="shared" si="1"/>
        <v>870.2044284968091</v>
      </c>
      <c r="R9" s="43">
        <f t="shared" si="1"/>
        <v>911.97504540259865</v>
      </c>
      <c r="S9" s="43">
        <f t="shared" si="1"/>
        <v>957.44229665085436</v>
      </c>
      <c r="U9" s="121">
        <f>+(I9/E9)^(0.166666666666667)-1</f>
        <v>2.6161037907889151E-2</v>
      </c>
      <c r="V9" s="121">
        <f>+(M9/I9)^(0.166666666666667)-1</f>
        <v>5.6871769172644582E-2</v>
      </c>
    </row>
    <row r="10" spans="1:22" x14ac:dyDescent="0.45">
      <c r="B10" s="1" t="s">
        <v>4</v>
      </c>
      <c r="F10" s="6">
        <f>+F9/E9-1</f>
        <v>1.2393650325954741E-2</v>
      </c>
      <c r="G10" s="6">
        <f t="shared" ref="G10:S10" si="2">+G9/F9-1</f>
        <v>-3.2210095497953728E-2</v>
      </c>
      <c r="H10" s="6">
        <f t="shared" si="2"/>
        <v>6.3199838358777738E-2</v>
      </c>
      <c r="I10" s="6">
        <f t="shared" si="2"/>
        <v>0.12085058802211535</v>
      </c>
      <c r="J10" s="6">
        <f t="shared" si="2"/>
        <v>3.7980888090642484E-2</v>
      </c>
      <c r="K10" s="6">
        <f t="shared" si="2"/>
        <v>0.10816999167578034</v>
      </c>
      <c r="L10" s="6">
        <f t="shared" si="2"/>
        <v>0.11987128329418795</v>
      </c>
      <c r="M10" s="6">
        <f t="shared" si="2"/>
        <v>8.1857182988146704E-2</v>
      </c>
      <c r="N10" s="6">
        <f t="shared" si="2"/>
        <v>6.3178503055913326E-2</v>
      </c>
      <c r="O10" s="6">
        <f t="shared" si="2"/>
        <v>5.2393199191936413E-2</v>
      </c>
      <c r="P10" s="6">
        <f t="shared" si="2"/>
        <v>4.9351009965015402E-2</v>
      </c>
      <c r="Q10" s="6">
        <f t="shared" si="2"/>
        <v>4.8536522233746604E-2</v>
      </c>
      <c r="R10" s="6">
        <f t="shared" si="2"/>
        <v>4.8000924309181014E-2</v>
      </c>
      <c r="S10" s="6">
        <f t="shared" si="2"/>
        <v>4.9855806337534059E-2</v>
      </c>
    </row>
    <row r="12" spans="1:22" x14ac:dyDescent="0.45">
      <c r="B12" s="14" t="s">
        <v>282</v>
      </c>
      <c r="E12" s="79"/>
      <c r="F12" s="79"/>
      <c r="G12" s="79"/>
      <c r="H12">
        <f>+'RevBuild Calcs'!H18</f>
        <v>162.69200000000001</v>
      </c>
      <c r="I12">
        <f>+'RevBuild Calcs'!I18</f>
        <v>193.45500000000001</v>
      </c>
      <c r="J12">
        <f>+'RevBuild Calcs'!J18</f>
        <v>194.58845600000001</v>
      </c>
      <c r="K12">
        <f>+'RevBuild Calcs'!K18</f>
        <v>223.4590135958</v>
      </c>
      <c r="L12">
        <f>+'RevBuild Calcs'!L18</f>
        <v>252.763392880975</v>
      </c>
      <c r="M12">
        <f>+'RevBuild Calcs'!M18</f>
        <v>275.29643707408775</v>
      </c>
      <c r="N12">
        <f>+'RevBuild Calcs'!N18</f>
        <v>294.18696272456754</v>
      </c>
      <c r="O12">
        <f>+'RevBuild Calcs'!O18</f>
        <v>310.88786531501029</v>
      </c>
      <c r="P12">
        <f>+'RevBuild Calcs'!P18</f>
        <v>327.42580422992188</v>
      </c>
      <c r="Q12">
        <f>+'RevBuild Calcs'!Q18</f>
        <v>344.45495036744325</v>
      </c>
      <c r="R12">
        <f>+'RevBuild Calcs'!R18</f>
        <v>362.07405791146692</v>
      </c>
      <c r="S12">
        <f>+'RevBuild Calcs'!S18</f>
        <v>380.71563092325175</v>
      </c>
    </row>
    <row r="13" spans="1:22" x14ac:dyDescent="0.45">
      <c r="B13" s="14" t="s">
        <v>283</v>
      </c>
      <c r="E13" s="79"/>
      <c r="F13" s="79"/>
      <c r="G13" s="79"/>
      <c r="H13">
        <f>+'RevBuild Calcs'!H21</f>
        <v>32.195</v>
      </c>
      <c r="I13">
        <f>+'RevBuild Calcs'!I21</f>
        <v>28.106000000000002</v>
      </c>
      <c r="J13">
        <f>+'RevBuild Calcs'!J21</f>
        <v>26.010815999999998</v>
      </c>
      <c r="K13">
        <f>+'RevBuild Calcs'!K21</f>
        <v>24.97038336</v>
      </c>
      <c r="L13">
        <f>+'RevBuild Calcs'!L21</f>
        <v>23.9715680256</v>
      </c>
      <c r="M13">
        <f>+'RevBuild Calcs'!M21</f>
        <v>23.012705304575995</v>
      </c>
      <c r="N13">
        <f>+'RevBuild Calcs'!N21</f>
        <v>22.092197092392954</v>
      </c>
      <c r="O13">
        <f>+'RevBuild Calcs'!O21</f>
        <v>21.208509208697237</v>
      </c>
      <c r="P13">
        <f>+'RevBuild Calcs'!P21</f>
        <v>20.360168840349345</v>
      </c>
      <c r="Q13">
        <f>+'RevBuild Calcs'!Q21</f>
        <v>19.545762086735373</v>
      </c>
      <c r="R13">
        <f>+'RevBuild Calcs'!R21</f>
        <v>18.763931603265956</v>
      </c>
      <c r="S13">
        <f>+'RevBuild Calcs'!S21</f>
        <v>18.763931603265956</v>
      </c>
    </row>
    <row r="14" spans="1:22" x14ac:dyDescent="0.45">
      <c r="B14" s="43" t="s">
        <v>108</v>
      </c>
      <c r="C14" s="43"/>
      <c r="D14" s="43"/>
      <c r="E14" s="43">
        <f>+'P&amp;L'!E13</f>
        <v>190.172</v>
      </c>
      <c r="F14" s="43">
        <f>+'P&amp;L'!F13</f>
        <v>186.79700000000003</v>
      </c>
      <c r="G14" s="43">
        <f>+'P&amp;L'!G13</f>
        <v>187.84500000000003</v>
      </c>
      <c r="H14" s="43">
        <f>+'P&amp;L'!H13</f>
        <v>199.25900000000001</v>
      </c>
      <c r="I14" s="43">
        <f>+'P&amp;L'!I13</f>
        <v>221.56100000000004</v>
      </c>
      <c r="J14" s="43">
        <f>+'P&amp;L'!J13</f>
        <v>220.59927200000001</v>
      </c>
      <c r="K14" s="43">
        <f>+'P&amp;L'!K13</f>
        <v>248.4293969558</v>
      </c>
      <c r="L14" s="43">
        <f>+'P&amp;L'!L13</f>
        <v>276.734960906575</v>
      </c>
      <c r="M14" s="43">
        <f>+'P&amp;L'!M13</f>
        <v>298.30914237866375</v>
      </c>
      <c r="N14" s="43">
        <f>+'P&amp;L'!N13</f>
        <v>316.27915981696049</v>
      </c>
      <c r="O14" s="43">
        <f>+'P&amp;L'!O13</f>
        <v>332.09637452370754</v>
      </c>
      <c r="P14" s="43">
        <f>+'P&amp;L'!P13</f>
        <v>347.78597307027121</v>
      </c>
      <c r="Q14" s="43">
        <f>+'P&amp;L'!Q13</f>
        <v>364.0007124541786</v>
      </c>
      <c r="R14" s="43">
        <f>+'P&amp;L'!R13</f>
        <v>380.8379895147329</v>
      </c>
      <c r="S14" s="43">
        <f>+'P&amp;L'!S13</f>
        <v>399.47956252651773</v>
      </c>
    </row>
    <row r="15" spans="1:22" s="1" customFormat="1" x14ac:dyDescent="0.45">
      <c r="B15" s="1" t="s">
        <v>284</v>
      </c>
      <c r="E15" s="80">
        <f>+'P&amp;L'!E14</f>
        <v>0.43776472321461457</v>
      </c>
      <c r="F15" s="80">
        <f>+'P&amp;L'!F14</f>
        <v>0.42473169622555712</v>
      </c>
      <c r="G15" s="80">
        <f>+'P&amp;L'!G14</f>
        <v>0.44132987496299642</v>
      </c>
      <c r="H15" s="80">
        <f>+'P&amp;L'!H14</f>
        <v>0.44031829652578597</v>
      </c>
      <c r="I15" s="80">
        <f>+'P&amp;L'!I14</f>
        <v>0.43681181649885759</v>
      </c>
      <c r="J15" s="80">
        <f>+'P&amp;L'!J14</f>
        <v>0.41900169458823916</v>
      </c>
      <c r="K15" s="80">
        <f>+'P&amp;L'!K14</f>
        <v>0.42580259514701296</v>
      </c>
      <c r="L15" s="80">
        <f>+'P&amp;L'!L14</f>
        <v>0.4235466384105388</v>
      </c>
      <c r="M15" s="80">
        <f>+'P&amp;L'!M14</f>
        <v>0.42202078525577419</v>
      </c>
      <c r="N15" s="80">
        <f>+'P&amp;L'!N14</f>
        <v>0.42085420163441384</v>
      </c>
      <c r="O15" s="80">
        <f>+'P&amp;L'!O14</f>
        <v>0.41990127414072814</v>
      </c>
      <c r="P15" s="80">
        <f>+'P&amp;L'!P14</f>
        <v>0.41905819223961671</v>
      </c>
      <c r="Q15" s="80">
        <f>+'P&amp;L'!Q14</f>
        <v>0.41829333491551329</v>
      </c>
      <c r="R15" s="80">
        <f>+'P&amp;L'!R14</f>
        <v>0.41759694131390285</v>
      </c>
      <c r="S15" s="80">
        <f>+'P&amp;L'!S14</f>
        <v>0.41723617592820211</v>
      </c>
    </row>
    <row r="17" spans="1:19" x14ac:dyDescent="0.45">
      <c r="B17" t="s">
        <v>285</v>
      </c>
      <c r="E17">
        <f>+(E14-E19)*-1</f>
        <v>-91.712000000000003</v>
      </c>
      <c r="F17">
        <f t="shared" ref="F17:S17" si="3">+(F14-F19)*-1</f>
        <v>-74.515999999999991</v>
      </c>
      <c r="G17">
        <f t="shared" si="3"/>
        <v>-111.44500000000006</v>
      </c>
      <c r="H17">
        <f t="shared" si="3"/>
        <v>-95.453000000000003</v>
      </c>
      <c r="I17">
        <f t="shared" si="3"/>
        <v>-125.86199999999997</v>
      </c>
      <c r="J17">
        <f t="shared" ca="1" si="3"/>
        <v>-114.23814509421751</v>
      </c>
      <c r="K17">
        <f t="shared" ca="1" si="3"/>
        <v>-110.45500660203396</v>
      </c>
      <c r="L17">
        <f t="shared" ca="1" si="3"/>
        <v>-120.15134553635124</v>
      </c>
      <c r="M17">
        <f t="shared" ca="1" si="3"/>
        <v>-127.24019508148979</v>
      </c>
      <c r="N17">
        <f t="shared" ca="1" si="3"/>
        <v>-133.63962293062403</v>
      </c>
      <c r="O17">
        <f t="shared" ca="1" si="3"/>
        <v>-139.16544103282629</v>
      </c>
      <c r="P17">
        <f t="shared" ca="1" si="3"/>
        <v>-144.53692559632668</v>
      </c>
      <c r="Q17">
        <f t="shared" ca="1" si="3"/>
        <v>-149.98447671109284</v>
      </c>
      <c r="R17">
        <f t="shared" ca="1" si="3"/>
        <v>-155.9139657159013</v>
      </c>
      <c r="S17">
        <f t="shared" ca="1" si="3"/>
        <v>-162.21340319426071</v>
      </c>
    </row>
    <row r="19" spans="1:19" s="7" customFormat="1" x14ac:dyDescent="0.45">
      <c r="A19"/>
      <c r="B19" s="7" t="s">
        <v>339</v>
      </c>
      <c r="E19" s="7">
        <f>+'P&amp;L'!E68</f>
        <v>98.46</v>
      </c>
      <c r="F19" s="7">
        <f>+'P&amp;L'!F68</f>
        <v>112.28100000000003</v>
      </c>
      <c r="G19" s="7">
        <f>+'P&amp;L'!G68</f>
        <v>76.399999999999963</v>
      </c>
      <c r="H19" s="7">
        <f>+'P&amp;L'!H68</f>
        <v>103.80600000000001</v>
      </c>
      <c r="I19" s="7">
        <f>+'P&amp;L'!I68</f>
        <v>95.699000000000069</v>
      </c>
      <c r="J19" s="7">
        <f ca="1">+'P&amp;L'!J68</f>
        <v>106.3611269057825</v>
      </c>
      <c r="K19" s="7">
        <f ca="1">+'P&amp;L'!K68</f>
        <v>137.97439035376601</v>
      </c>
      <c r="L19" s="7">
        <f ca="1">+'P&amp;L'!L68</f>
        <v>156.58361537022381</v>
      </c>
      <c r="M19" s="7">
        <f ca="1">+'P&amp;L'!M68</f>
        <v>171.06894729717325</v>
      </c>
      <c r="N19" s="7">
        <f ca="1">+'P&amp;L'!N68</f>
        <v>182.6395368863426</v>
      </c>
      <c r="O19" s="7">
        <f ca="1">+'P&amp;L'!O68</f>
        <v>192.93093349083716</v>
      </c>
      <c r="P19" s="7">
        <f ca="1">+'P&amp;L'!P68</f>
        <v>203.24904747421024</v>
      </c>
      <c r="Q19" s="7">
        <f ca="1">+'P&amp;L'!Q68</f>
        <v>214.01623574157031</v>
      </c>
      <c r="R19" s="7">
        <f ca="1">+'P&amp;L'!R68</f>
        <v>224.92402380441055</v>
      </c>
      <c r="S19" s="7">
        <f ca="1">+'P&amp;L'!S68</f>
        <v>237.26615931171079</v>
      </c>
    </row>
    <row r="20" spans="1:19" s="1" customFormat="1" x14ac:dyDescent="0.45">
      <c r="A20"/>
      <c r="B20" s="1" t="s">
        <v>286</v>
      </c>
      <c r="E20" s="80">
        <f>+E19/E9</f>
        <v>0.22664911052999887</v>
      </c>
      <c r="F20" s="80">
        <f t="shared" ref="F20:S20" si="4">+F19/F9</f>
        <v>0.25530013642564808</v>
      </c>
      <c r="G20" s="80">
        <f t="shared" si="4"/>
        <v>0.17949693868440955</v>
      </c>
      <c r="H20" s="80">
        <f t="shared" si="4"/>
        <v>0.22938828905673389</v>
      </c>
      <c r="I20" s="80">
        <f t="shared" si="4"/>
        <v>0.18867243796121247</v>
      </c>
      <c r="J20" s="80">
        <f t="shared" ca="1" si="4"/>
        <v>0.20202012458063606</v>
      </c>
      <c r="K20" s="80">
        <f t="shared" ca="1" si="4"/>
        <v>0.23648511084585214</v>
      </c>
      <c r="L20" s="80">
        <f t="shared" ca="1" si="4"/>
        <v>0.23965336256381672</v>
      </c>
      <c r="M20" s="80">
        <f t="shared" ca="1" si="4"/>
        <v>0.24201286925222765</v>
      </c>
      <c r="N20" s="80">
        <f t="shared" ca="1" si="4"/>
        <v>0.2430277623339599</v>
      </c>
      <c r="O20" s="80">
        <f t="shared" ca="1" si="4"/>
        <v>0.24394106954690456</v>
      </c>
      <c r="P20" s="80">
        <f t="shared" ca="1" si="4"/>
        <v>0.24490113174218525</v>
      </c>
      <c r="Q20" s="80">
        <f t="shared" ca="1" si="4"/>
        <v>0.24593788394212368</v>
      </c>
      <c r="R20" s="80">
        <f t="shared" ca="1" si="4"/>
        <v>0.24663396760501932</v>
      </c>
      <c r="S20" s="80">
        <f t="shared" ca="1" si="4"/>
        <v>0.2478124897361135</v>
      </c>
    </row>
    <row r="22" spans="1:19" x14ac:dyDescent="0.45">
      <c r="B22" s="7" t="s">
        <v>340</v>
      </c>
      <c r="E22" s="7">
        <f>+'P&amp;L'!E71</f>
        <v>89.649639778879788</v>
      </c>
      <c r="F22" s="7">
        <f>+'P&amp;L'!F71</f>
        <v>83.105747539649528</v>
      </c>
      <c r="G22" s="7">
        <f>+'P&amp;L'!G71</f>
        <v>56.018389336138917</v>
      </c>
      <c r="H22" s="7">
        <f>+'P&amp;L'!H71</f>
        <v>72.621355542452847</v>
      </c>
      <c r="I22" s="7">
        <f>+'P&amp;L'!I71</f>
        <v>72.325143487294838</v>
      </c>
      <c r="J22" s="7">
        <f ca="1">+'P&amp;L'!J71</f>
        <v>81.669301041195325</v>
      </c>
      <c r="K22" s="7">
        <f ca="1">+'P&amp;L'!K71</f>
        <v>105.94351855409398</v>
      </c>
      <c r="L22" s="7">
        <f ca="1">+'P&amp;L'!L71</f>
        <v>120.23259619200503</v>
      </c>
      <c r="M22" s="7">
        <f ca="1">+'P&amp;L'!M71</f>
        <v>131.35514602049275</v>
      </c>
      <c r="N22" s="7">
        <f ca="1">+'P&amp;L'!N71</f>
        <v>140.23961341823914</v>
      </c>
      <c r="O22" s="7">
        <f ca="1">+'P&amp;L'!O71</f>
        <v>148.14185356817035</v>
      </c>
      <c r="P22" s="7">
        <f ca="1">+'P&amp;L'!P71</f>
        <v>156.06460863480223</v>
      </c>
      <c r="Q22" s="7">
        <f ca="1">+'P&amp;L'!Q71</f>
        <v>164.33218500932864</v>
      </c>
      <c r="R22" s="7">
        <f ca="1">+'P&amp;L'!R71</f>
        <v>172.70772081750769</v>
      </c>
      <c r="S22" s="7">
        <f ca="1">+'P&amp;L'!S71</f>
        <v>182.1846190937907</v>
      </c>
    </row>
    <row r="24" spans="1:19" x14ac:dyDescent="0.45">
      <c r="A24" t="s">
        <v>36</v>
      </c>
      <c r="B24" s="20" t="s">
        <v>358</v>
      </c>
    </row>
    <row r="25" spans="1:19" x14ac:dyDescent="0.45">
      <c r="B25" s="31"/>
      <c r="C25" s="31"/>
      <c r="D25" s="31"/>
      <c r="E25" s="117">
        <v>2018</v>
      </c>
      <c r="F25" s="117">
        <f>+E25+1</f>
        <v>2019</v>
      </c>
      <c r="G25" s="117">
        <f>+F25+1</f>
        <v>2020</v>
      </c>
      <c r="H25" s="117">
        <f>+G25+1</f>
        <v>2021</v>
      </c>
      <c r="I25" s="117">
        <f>+H25+1</f>
        <v>2022</v>
      </c>
    </row>
    <row r="26" spans="1:19" x14ac:dyDescent="0.45">
      <c r="B26" t="s">
        <v>355</v>
      </c>
      <c r="E26" s="4">
        <v>4.2050000000000001</v>
      </c>
      <c r="F26" s="4">
        <v>3.3919999999999999</v>
      </c>
      <c r="G26" s="4">
        <v>4.7089999999999996</v>
      </c>
      <c r="H26" s="4">
        <v>4.4429999999999996</v>
      </c>
      <c r="I26" s="4">
        <v>4.0709999999999997</v>
      </c>
    </row>
    <row r="27" spans="1:19" x14ac:dyDescent="0.45">
      <c r="B27" t="s">
        <v>263</v>
      </c>
      <c r="E27" s="4">
        <v>2.1459999999999999</v>
      </c>
      <c r="F27" s="4">
        <v>1.8380000000000001</v>
      </c>
      <c r="G27" s="4">
        <v>3.798</v>
      </c>
      <c r="H27" s="4">
        <v>2.895</v>
      </c>
      <c r="I27" s="4">
        <v>2.74</v>
      </c>
    </row>
    <row r="28" spans="1:19" x14ac:dyDescent="0.45">
      <c r="B28" t="s">
        <v>356</v>
      </c>
      <c r="E28" s="4">
        <v>2.899</v>
      </c>
      <c r="F28" s="4">
        <v>0.73199999999999998</v>
      </c>
      <c r="G28" s="4">
        <v>1.3879999999999999</v>
      </c>
      <c r="H28" s="4">
        <v>0</v>
      </c>
      <c r="I28" s="4">
        <v>0</v>
      </c>
    </row>
    <row r="29" spans="1:19" x14ac:dyDescent="0.45">
      <c r="B29" s="13" t="s">
        <v>346</v>
      </c>
      <c r="C29" s="13"/>
      <c r="D29" s="13"/>
      <c r="E29" s="13">
        <f>+SUM(E26:E28)</f>
        <v>9.25</v>
      </c>
      <c r="F29" s="13">
        <f>+SUM(F26:F28)</f>
        <v>5.9620000000000006</v>
      </c>
      <c r="G29" s="13">
        <f>+SUM(G26:G28)</f>
        <v>9.8949999999999996</v>
      </c>
      <c r="H29" s="13">
        <f>+SUM(H26:H28)</f>
        <v>7.3379999999999992</v>
      </c>
      <c r="I29" s="13">
        <f>+SUM(I26:I28)</f>
        <v>6.8109999999999999</v>
      </c>
    </row>
    <row r="30" spans="1:19" x14ac:dyDescent="0.45">
      <c r="B30" s="6" t="s">
        <v>357</v>
      </c>
      <c r="C30" s="6"/>
      <c r="E30" s="6">
        <f>+E27/E29</f>
        <v>0.23199999999999998</v>
      </c>
      <c r="F30" s="6">
        <f>+F27/F29</f>
        <v>0.30828581013082856</v>
      </c>
      <c r="G30" s="6">
        <f>+G27/G29</f>
        <v>0.38383021728145528</v>
      </c>
      <c r="H30" s="6">
        <f>+H27/H29</f>
        <v>0.39452166802943583</v>
      </c>
      <c r="I30" s="6">
        <f>+I27/I29</f>
        <v>0.40229041256790488</v>
      </c>
    </row>
    <row r="32" spans="1:19" x14ac:dyDescent="0.45">
      <c r="A32" t="s">
        <v>36</v>
      </c>
      <c r="B32" t="s">
        <v>363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E5D0-833F-4610-A2EC-FAECDB54FE73}">
  <sheetPr>
    <tabColor theme="9" tint="0.79998168889431442"/>
  </sheetPr>
  <dimension ref="A1:T76"/>
  <sheetViews>
    <sheetView showGridLines="0" view="pageBreakPreview" zoomScale="85" zoomScaleNormal="85" zoomScaleSheetLayoutView="85" workbookViewId="0">
      <pane xSplit="4" ySplit="3" topLeftCell="F4" activePane="bottomRight" state="frozen"/>
      <selection activeCell="B6" sqref="B6"/>
      <selection pane="topRight" activeCell="B6" sqref="B6"/>
      <selection pane="bottomLeft" activeCell="B6" sqref="B6"/>
      <selection pane="bottomRight" activeCell="J6" sqref="J6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3" spans="1:19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5" spans="1:19" x14ac:dyDescent="0.45">
      <c r="A5" t="s">
        <v>36</v>
      </c>
      <c r="B5" s="20" t="s">
        <v>41</v>
      </c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s="7" customFormat="1" x14ac:dyDescent="0.45">
      <c r="A6"/>
      <c r="B6" s="7" t="s">
        <v>2</v>
      </c>
      <c r="E6" s="8">
        <v>434.416</v>
      </c>
      <c r="F6" s="8">
        <v>439.8</v>
      </c>
      <c r="G6" s="8">
        <v>425.63400000000001</v>
      </c>
      <c r="H6" s="8">
        <v>452.53399999999999</v>
      </c>
      <c r="I6" s="8">
        <v>507.22300000000001</v>
      </c>
      <c r="J6" s="34">
        <f>+'RevBuild Calcs'!J14</f>
        <v>526.48777999999993</v>
      </c>
      <c r="K6" s="34">
        <f>+'RevBuild Calcs'!K14</f>
        <v>583.43795878000003</v>
      </c>
      <c r="L6" s="34">
        <f>+'RevBuild Calcs'!L14</f>
        <v>653.37541562150011</v>
      </c>
      <c r="M6" s="34">
        <f>+'RevBuild Calcs'!M14</f>
        <v>706.85888657798569</v>
      </c>
      <c r="N6" s="34">
        <f>+'RevBuild Calcs'!N14</f>
        <v>751.51717290375245</v>
      </c>
      <c r="O6" s="34">
        <f>+'RevBuild Calcs'!O14</f>
        <v>790.89156183985961</v>
      </c>
      <c r="P6" s="34">
        <f>+'RevBuild Calcs'!P14</f>
        <v>829.92285918946504</v>
      </c>
      <c r="Q6" s="34">
        <f>+'RevBuild Calcs'!Q14</f>
        <v>870.2044284968091</v>
      </c>
      <c r="R6" s="34">
        <f>+'RevBuild Calcs'!R14</f>
        <v>911.97504540259865</v>
      </c>
      <c r="S6" s="34">
        <f>+'RevBuild Calcs'!S14</f>
        <v>957.44229665085436</v>
      </c>
    </row>
    <row r="7" spans="1:19" x14ac:dyDescent="0.45">
      <c r="B7" t="s">
        <v>4</v>
      </c>
      <c r="F7" s="6">
        <f t="shared" ref="F7:S7" si="1">+F6/E6-1</f>
        <v>1.2393650325954964E-2</v>
      </c>
      <c r="G7" s="6">
        <f t="shared" si="1"/>
        <v>-3.2210095497953617E-2</v>
      </c>
      <c r="H7" s="6">
        <f t="shared" si="1"/>
        <v>6.3199838358777738E-2</v>
      </c>
      <c r="I7" s="6">
        <f t="shared" si="1"/>
        <v>0.12085058802211557</v>
      </c>
      <c r="J7" s="6">
        <f t="shared" si="1"/>
        <v>3.7980888090642484E-2</v>
      </c>
      <c r="K7" s="6">
        <f t="shared" si="1"/>
        <v>0.10816999167578034</v>
      </c>
      <c r="L7" s="6">
        <f t="shared" si="1"/>
        <v>0.11987128329418795</v>
      </c>
      <c r="M7" s="6">
        <f t="shared" si="1"/>
        <v>8.1857182988146704E-2</v>
      </c>
      <c r="N7" s="6">
        <f t="shared" si="1"/>
        <v>6.3178503055913326E-2</v>
      </c>
      <c r="O7" s="6">
        <f t="shared" si="1"/>
        <v>5.2393199191936413E-2</v>
      </c>
      <c r="P7" s="6">
        <f t="shared" si="1"/>
        <v>4.9351009965015402E-2</v>
      </c>
      <c r="Q7" s="6">
        <f t="shared" si="1"/>
        <v>4.8536522233746604E-2</v>
      </c>
      <c r="R7" s="6">
        <f t="shared" si="1"/>
        <v>4.8000924309181014E-2</v>
      </c>
      <c r="S7" s="6">
        <f t="shared" si="1"/>
        <v>4.9855806337534059E-2</v>
      </c>
    </row>
    <row r="8" spans="1:19" x14ac:dyDescent="0.45">
      <c r="H8" s="4"/>
      <c r="I8" s="4"/>
    </row>
    <row r="9" spans="1:19" x14ac:dyDescent="0.45">
      <c r="B9" t="s">
        <v>5</v>
      </c>
      <c r="E9" s="5"/>
      <c r="F9" s="5"/>
      <c r="G9" s="5"/>
      <c r="H9" s="4">
        <v>4.3719999999999999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45">
      <c r="H10" s="4"/>
      <c r="I10" s="4"/>
    </row>
    <row r="11" spans="1:19" x14ac:dyDescent="0.45">
      <c r="B11" t="s">
        <v>15</v>
      </c>
      <c r="E11" s="4">
        <v>-244.244</v>
      </c>
      <c r="F11" s="4">
        <v>-253.00299999999999</v>
      </c>
      <c r="G11" s="4">
        <v>-237.78899999999999</v>
      </c>
      <c r="H11" s="4">
        <v>-257.64699999999999</v>
      </c>
      <c r="I11" s="4">
        <v>-285.66199999999998</v>
      </c>
      <c r="J11">
        <f>+J13-J6</f>
        <v>-305.88850799999989</v>
      </c>
      <c r="K11">
        <f t="shared" ref="K11:S11" si="2">+K13-K6</f>
        <v>-335.0085618242</v>
      </c>
      <c r="L11">
        <f t="shared" si="2"/>
        <v>-376.64045471492511</v>
      </c>
      <c r="M11">
        <f t="shared" si="2"/>
        <v>-408.54974419932194</v>
      </c>
      <c r="N11">
        <f t="shared" si="2"/>
        <v>-435.23801308679197</v>
      </c>
      <c r="O11">
        <f t="shared" si="2"/>
        <v>-458.79518731615207</v>
      </c>
      <c r="P11">
        <f t="shared" si="2"/>
        <v>-482.13688611919383</v>
      </c>
      <c r="Q11">
        <f t="shared" si="2"/>
        <v>-506.2037160426305</v>
      </c>
      <c r="R11">
        <f t="shared" si="2"/>
        <v>-531.1370558878657</v>
      </c>
      <c r="S11">
        <f t="shared" si="2"/>
        <v>-557.96273412433663</v>
      </c>
    </row>
    <row r="12" spans="1:19" x14ac:dyDescent="0.45">
      <c r="H12" s="4"/>
      <c r="I12" s="4"/>
    </row>
    <row r="13" spans="1:19" s="9" customFormat="1" x14ac:dyDescent="0.45">
      <c r="B13" s="9" t="s">
        <v>91</v>
      </c>
      <c r="E13" s="10">
        <f>+E6+E9+E11</f>
        <v>190.172</v>
      </c>
      <c r="F13" s="10">
        <f>+F6+F9+F11</f>
        <v>186.79700000000003</v>
      </c>
      <c r="G13" s="10">
        <f>+G6+G9+G11</f>
        <v>187.84500000000003</v>
      </c>
      <c r="H13" s="10">
        <f>+H6+H9+H11</f>
        <v>199.25900000000001</v>
      </c>
      <c r="I13" s="10">
        <f>+I6+I9+I11</f>
        <v>221.56100000000004</v>
      </c>
      <c r="J13" s="34">
        <f>+'RevBuild Calcs'!J26</f>
        <v>220.59927200000001</v>
      </c>
      <c r="K13" s="34">
        <f>+'RevBuild Calcs'!K26</f>
        <v>248.4293969558</v>
      </c>
      <c r="L13" s="34">
        <f>+'RevBuild Calcs'!L26</f>
        <v>276.734960906575</v>
      </c>
      <c r="M13" s="34">
        <f>+'RevBuild Calcs'!M26</f>
        <v>298.30914237866375</v>
      </c>
      <c r="N13" s="34">
        <f>+'RevBuild Calcs'!N26</f>
        <v>316.27915981696049</v>
      </c>
      <c r="O13" s="34">
        <f>+'RevBuild Calcs'!O26</f>
        <v>332.09637452370754</v>
      </c>
      <c r="P13" s="34">
        <f>+'RevBuild Calcs'!P26</f>
        <v>347.78597307027121</v>
      </c>
      <c r="Q13" s="34">
        <f>+'RevBuild Calcs'!Q26</f>
        <v>364.0007124541786</v>
      </c>
      <c r="R13" s="34">
        <f>+'RevBuild Calcs'!R26</f>
        <v>380.8379895147329</v>
      </c>
      <c r="S13" s="34">
        <f>+'RevBuild Calcs'!S26</f>
        <v>399.47956252651773</v>
      </c>
    </row>
    <row r="14" spans="1:19" s="11" customFormat="1" x14ac:dyDescent="0.45">
      <c r="B14" s="11" t="s">
        <v>16</v>
      </c>
      <c r="E14" s="12">
        <f>+E13/E6</f>
        <v>0.43776472321461457</v>
      </c>
      <c r="F14" s="12">
        <f>+F13/F6</f>
        <v>0.42473169622555712</v>
      </c>
      <c r="G14" s="12">
        <f>+G13/G6</f>
        <v>0.44132987496299642</v>
      </c>
      <c r="H14" s="12">
        <f>+H13/H6</f>
        <v>0.44031829652578597</v>
      </c>
      <c r="I14" s="12">
        <f>+I13/I6</f>
        <v>0.43681181649885759</v>
      </c>
      <c r="J14" s="12">
        <f t="shared" ref="J14:S14" si="3">+J13/J6</f>
        <v>0.41900169458823916</v>
      </c>
      <c r="K14" s="12">
        <f t="shared" si="3"/>
        <v>0.42580259514701296</v>
      </c>
      <c r="L14" s="12">
        <f t="shared" si="3"/>
        <v>0.4235466384105388</v>
      </c>
      <c r="M14" s="12">
        <f t="shared" si="3"/>
        <v>0.42202078525577419</v>
      </c>
      <c r="N14" s="12">
        <f t="shared" si="3"/>
        <v>0.42085420163441384</v>
      </c>
      <c r="O14" s="12">
        <f t="shared" si="3"/>
        <v>0.41990127414072814</v>
      </c>
      <c r="P14" s="12">
        <f t="shared" si="3"/>
        <v>0.41905819223961671</v>
      </c>
      <c r="Q14" s="12">
        <f t="shared" si="3"/>
        <v>0.41829333491551329</v>
      </c>
      <c r="R14" s="12">
        <f t="shared" si="3"/>
        <v>0.41759694131390285</v>
      </c>
      <c r="S14" s="12">
        <f t="shared" si="3"/>
        <v>0.41723617592820211</v>
      </c>
    </row>
    <row r="15" spans="1:19" x14ac:dyDescent="0.45"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45">
      <c r="B16" t="s">
        <v>10</v>
      </c>
      <c r="E16" s="4">
        <v>-15.916</v>
      </c>
      <c r="F16" s="4">
        <v>-14.430999999999999</v>
      </c>
      <c r="G16" s="4">
        <v>-12.082000000000001</v>
      </c>
      <c r="H16" s="4">
        <v>-11.1</v>
      </c>
      <c r="I16" s="4">
        <v>-10.241</v>
      </c>
      <c r="J16" s="34">
        <f>+'FS Calcs'!J44</f>
        <v>-10</v>
      </c>
      <c r="K16" s="34">
        <f>+'FS Calcs'!K44</f>
        <v>-10</v>
      </c>
      <c r="L16" s="34">
        <f>+'FS Calcs'!L44</f>
        <v>-10</v>
      </c>
      <c r="M16" s="34">
        <f>+'FS Calcs'!M44</f>
        <v>-10</v>
      </c>
      <c r="N16" s="34">
        <f>+'FS Calcs'!N44</f>
        <v>-10</v>
      </c>
      <c r="O16" s="34">
        <f>+'FS Calcs'!O44</f>
        <v>-10</v>
      </c>
      <c r="P16" s="34">
        <f>+'FS Calcs'!P44</f>
        <v>-10</v>
      </c>
      <c r="Q16" s="34">
        <f>+'FS Calcs'!Q44</f>
        <v>-10</v>
      </c>
      <c r="R16" s="34">
        <f>+'FS Calcs'!R44</f>
        <v>-10</v>
      </c>
      <c r="S16" s="34">
        <f>+'FS Calcs'!S44</f>
        <v>-10</v>
      </c>
    </row>
    <row r="17" spans="2:19" x14ac:dyDescent="0.45">
      <c r="B17" t="s">
        <v>6</v>
      </c>
      <c r="E17" s="4">
        <v>-24.173999999999999</v>
      </c>
      <c r="F17" s="4">
        <v>-22.651</v>
      </c>
      <c r="G17" s="4">
        <v>-24.170999999999999</v>
      </c>
      <c r="H17" s="4">
        <v>-22.923999999999999</v>
      </c>
      <c r="I17" s="4">
        <v>-23.978999999999999</v>
      </c>
      <c r="J17" s="34">
        <f>+'FS Calcs'!J53+'FS Calcs'!J64</f>
        <v>-31.589266799999997</v>
      </c>
      <c r="K17" s="34">
        <f>+'FS Calcs'!K53+'FS Calcs'!K64</f>
        <v>-29.797010037692857</v>
      </c>
      <c r="L17" s="34">
        <f>+'FS Calcs'!L53+'FS Calcs'!L64</f>
        <v>-29.985264609772415</v>
      </c>
      <c r="M17" s="34">
        <f>+'FS Calcs'!M53+'FS Calcs'!M64</f>
        <v>-28.779254667817984</v>
      </c>
      <c r="N17" s="34">
        <f>+'FS Calcs'!N53+'FS Calcs'!N64</f>
        <v>-29.523888935504566</v>
      </c>
      <c r="O17" s="34">
        <f>+'FS Calcs'!O53+'FS Calcs'!O64</f>
        <v>-29.9408948410804</v>
      </c>
      <c r="P17" s="34">
        <f>+'FS Calcs'!P53+'FS Calcs'!P64</f>
        <v>-30.232904156187651</v>
      </c>
      <c r="Q17" s="34">
        <f>+'FS Calcs'!Q53+'FS Calcs'!Q64</f>
        <v>-30.457154997388315</v>
      </c>
      <c r="R17" s="34">
        <f>+'FS Calcs'!R53+'FS Calcs'!R64</f>
        <v>-31.919126589090951</v>
      </c>
      <c r="S17" s="34">
        <f>+'FS Calcs'!S53+'FS Calcs'!S64</f>
        <v>-33.510480382779903</v>
      </c>
    </row>
    <row r="18" spans="2:19" x14ac:dyDescent="0.45">
      <c r="B18" t="s">
        <v>9</v>
      </c>
      <c r="E18" s="4">
        <v>-12.026999999999999</v>
      </c>
      <c r="F18" s="4">
        <v>-104.871</v>
      </c>
      <c r="G18" s="4">
        <v>-196.12200000000001</v>
      </c>
      <c r="H18" s="4">
        <v>-7.8319999999999999</v>
      </c>
      <c r="I18" s="4">
        <v>-0.78800000000000003</v>
      </c>
      <c r="J18" s="34">
        <f>+'FS Calcs'!J32+'FS Calcs'!J43+'FS Calcs'!J54+'FS Calcs'!J65</f>
        <v>0</v>
      </c>
      <c r="K18" s="34">
        <f>+'FS Calcs'!K32+'FS Calcs'!K43+'FS Calcs'!K54+'FS Calcs'!K65</f>
        <v>0</v>
      </c>
      <c r="L18" s="34">
        <f>+'FS Calcs'!L32+'FS Calcs'!L43+'FS Calcs'!L54+'FS Calcs'!L65</f>
        <v>0</v>
      </c>
      <c r="M18" s="34">
        <f>+'FS Calcs'!M32+'FS Calcs'!M43+'FS Calcs'!M54+'FS Calcs'!M65</f>
        <v>0</v>
      </c>
      <c r="N18" s="34">
        <f>+'FS Calcs'!N32+'FS Calcs'!N43+'FS Calcs'!N54+'FS Calcs'!N65</f>
        <v>0</v>
      </c>
      <c r="O18" s="34">
        <f>+'FS Calcs'!O32+'FS Calcs'!O43+'FS Calcs'!O54+'FS Calcs'!O65</f>
        <v>0</v>
      </c>
      <c r="P18" s="34">
        <f>+'FS Calcs'!P32+'FS Calcs'!P43+'FS Calcs'!P54+'FS Calcs'!P65</f>
        <v>0</v>
      </c>
      <c r="Q18" s="34">
        <f>+'FS Calcs'!Q32+'FS Calcs'!Q43+'FS Calcs'!Q54+'FS Calcs'!Q65</f>
        <v>0</v>
      </c>
      <c r="R18" s="34">
        <f>+'FS Calcs'!R32+'FS Calcs'!R43+'FS Calcs'!R54+'FS Calcs'!R65</f>
        <v>0</v>
      </c>
      <c r="S18" s="34">
        <f>+'FS Calcs'!S32+'FS Calcs'!S43+'FS Calcs'!S54+'FS Calcs'!S65</f>
        <v>0</v>
      </c>
    </row>
    <row r="19" spans="2:19" x14ac:dyDescent="0.45">
      <c r="E19" s="4"/>
      <c r="F19" s="4"/>
      <c r="G19" s="4"/>
      <c r="I19" s="4"/>
    </row>
    <row r="20" spans="2:19" x14ac:dyDescent="0.45">
      <c r="B20" t="s">
        <v>7</v>
      </c>
      <c r="E20" s="4">
        <v>-86.2</v>
      </c>
      <c r="F20" s="4">
        <v>-81.120999999999995</v>
      </c>
      <c r="G20" s="4">
        <v>-83.097999999999999</v>
      </c>
      <c r="H20" s="4">
        <v>-80.539000000000001</v>
      </c>
      <c r="I20" s="4">
        <v>-104.129</v>
      </c>
      <c r="J20" s="29">
        <f>+'FS Calcs'!J104</f>
        <v>-101.23056865749827</v>
      </c>
      <c r="K20" s="29">
        <f>+'FS Calcs'!K104</f>
        <v>-112.18067842651438</v>
      </c>
      <c r="L20" s="29">
        <f>+'FS Calcs'!L104</f>
        <v>-125.62792031031327</v>
      </c>
      <c r="M20" s="29">
        <f>+'FS Calcs'!M104</f>
        <v>-135.91146797157489</v>
      </c>
      <c r="N20" s="29">
        <f>+'FS Calcs'!N104</f>
        <v>-144.49815106615071</v>
      </c>
      <c r="O20" s="29">
        <f>+'FS Calcs'!O104</f>
        <v>-152.06887147782606</v>
      </c>
      <c r="P20" s="29">
        <f>+'FS Calcs'!P104</f>
        <v>-159.57362386949688</v>
      </c>
      <c r="Q20" s="29">
        <f>+'FS Calcs'!Q104</f>
        <v>-167.31877261235823</v>
      </c>
      <c r="R20" s="29">
        <f>+'FS Calcs'!R104</f>
        <v>-175.35022835202915</v>
      </c>
      <c r="S20" s="29">
        <f>+'FS Calcs'!S104</f>
        <v>-184.09245537799026</v>
      </c>
    </row>
    <row r="21" spans="2:19" x14ac:dyDescent="0.45">
      <c r="B21" t="s">
        <v>11</v>
      </c>
      <c r="E21" s="5"/>
      <c r="F21" s="5"/>
      <c r="G21" s="5"/>
      <c r="H21" s="4">
        <v>-5.0750000000000002</v>
      </c>
      <c r="I21" s="4">
        <v>-7.4139999999999997</v>
      </c>
      <c r="J21" s="25">
        <v>-5</v>
      </c>
      <c r="K21" s="25">
        <v>-5</v>
      </c>
      <c r="L21" s="25">
        <v>-5</v>
      </c>
      <c r="M21" s="25">
        <v>-5</v>
      </c>
      <c r="N21" s="25">
        <v>-5</v>
      </c>
      <c r="O21" s="25">
        <v>-5</v>
      </c>
      <c r="P21" s="25">
        <v>-5</v>
      </c>
      <c r="Q21" s="25">
        <v>-5</v>
      </c>
      <c r="R21" s="25">
        <v>-5</v>
      </c>
      <c r="S21" s="25">
        <v>-5</v>
      </c>
    </row>
    <row r="22" spans="2:19" x14ac:dyDescent="0.45">
      <c r="B22" t="s">
        <v>12</v>
      </c>
      <c r="E22" s="4">
        <v>-50.109000000000002</v>
      </c>
      <c r="F22" s="4">
        <v>-52.235999999999997</v>
      </c>
      <c r="G22" s="4">
        <v>-49.404000000000003</v>
      </c>
      <c r="H22" s="4">
        <v>-42.139000000000003</v>
      </c>
      <c r="I22" s="4">
        <v>-30.486000000000001</v>
      </c>
      <c r="J22">
        <f ca="1">+IF(Circ=1, 'Debt Calcs'!J22, 0)</f>
        <v>-33.667631151878524</v>
      </c>
      <c r="K22">
        <f ca="1">+IF(Circ=1, 'Debt Calcs'!K22, 0)</f>
        <v>-34.897667717522367</v>
      </c>
      <c r="L22">
        <f ca="1">+IF(Circ=1, 'Debt Calcs'!L22, 0)</f>
        <v>-36.633587110757944</v>
      </c>
      <c r="M22">
        <f ca="1">+IF(Circ=1, 'Debt Calcs'!M22, 0)</f>
        <v>-38.114030463117082</v>
      </c>
      <c r="N22">
        <f ca="1">+IF(Circ=1, 'Debt Calcs'!N22, 0)</f>
        <v>-39.21047107209457</v>
      </c>
      <c r="O22">
        <f ca="1">+IF(Circ=1, 'Debt Calcs'!O22, 0)</f>
        <v>-39.988572187667351</v>
      </c>
      <c r="P22">
        <f ca="1">+IF(Circ=1, 'Debt Calcs'!P22, 0)</f>
        <v>-40.525313067510162</v>
      </c>
      <c r="Q22">
        <f ca="1">+IF(Circ=1, 'Debt Calcs'!Q22, 0)</f>
        <v>-40.847902429928148</v>
      </c>
      <c r="R22">
        <f ca="1">+IF(Circ=1, 'Debt Calcs'!R22, 0)</f>
        <v>-40.943590988015046</v>
      </c>
      <c r="S22">
        <f ca="1">+IF(Circ=1, 'Debt Calcs'!S22, 0)</f>
        <v>-40.828171005781357</v>
      </c>
    </row>
    <row r="23" spans="2:19" x14ac:dyDescent="0.45">
      <c r="B23" t="s">
        <v>8</v>
      </c>
      <c r="E23" s="4">
        <v>11.250999999999999</v>
      </c>
      <c r="F23" s="4">
        <v>7.1849999999999996</v>
      </c>
      <c r="G23" s="4">
        <v>1.9550000000000001</v>
      </c>
      <c r="H23" s="4">
        <v>-26.206</v>
      </c>
      <c r="I23" s="4">
        <v>13.715999999999999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</row>
    <row r="24" spans="2:19" x14ac:dyDescent="0.45">
      <c r="B24" t="s">
        <v>13</v>
      </c>
      <c r="E24" s="4">
        <v>-7.7</v>
      </c>
      <c r="F24" s="4">
        <v>1.081</v>
      </c>
      <c r="G24" s="4">
        <v>-14.047000000000001</v>
      </c>
      <c r="H24" s="4">
        <v>24.978999999999999</v>
      </c>
      <c r="I24" s="4">
        <v>-21.754000000000001</v>
      </c>
      <c r="J24" s="25">
        <v>-12.5</v>
      </c>
      <c r="K24" s="25">
        <v>-5</v>
      </c>
      <c r="L24" s="25">
        <v>-5</v>
      </c>
      <c r="M24" s="25">
        <v>-5</v>
      </c>
      <c r="N24" s="25">
        <v>-5</v>
      </c>
      <c r="O24" s="25">
        <v>-5</v>
      </c>
      <c r="P24" s="25">
        <v>-5</v>
      </c>
      <c r="Q24" s="25">
        <v>-5</v>
      </c>
      <c r="R24" s="25">
        <v>-5</v>
      </c>
      <c r="S24" s="25">
        <v>-5</v>
      </c>
    </row>
    <row r="25" spans="2:19" x14ac:dyDescent="0.45">
      <c r="B25" t="s">
        <v>14</v>
      </c>
      <c r="E25" s="4">
        <v>-10.554</v>
      </c>
      <c r="F25" s="4">
        <v>-1.661</v>
      </c>
      <c r="G25" s="4">
        <v>-17.960999999999999</v>
      </c>
      <c r="H25" s="4">
        <v>-8.6120000000000001</v>
      </c>
      <c r="I25" s="4">
        <v>-6.2809999999999997</v>
      </c>
      <c r="J25" s="46">
        <v>-2.5</v>
      </c>
      <c r="K25" s="46">
        <v>-2.5</v>
      </c>
      <c r="L25" s="46">
        <v>-2.5</v>
      </c>
      <c r="M25" s="46">
        <v>-2.5</v>
      </c>
      <c r="N25" s="46">
        <v>-2.5</v>
      </c>
      <c r="O25" s="46">
        <v>-2.5</v>
      </c>
      <c r="P25" s="46">
        <v>-2.5</v>
      </c>
      <c r="Q25" s="46">
        <v>-2.5</v>
      </c>
      <c r="R25" s="46">
        <v>-2.5</v>
      </c>
      <c r="S25" s="46">
        <v>-2.5</v>
      </c>
    </row>
    <row r="27" spans="2:19" s="7" customFormat="1" x14ac:dyDescent="0.45">
      <c r="B27" s="7" t="s">
        <v>215</v>
      </c>
      <c r="E27" s="7">
        <f>+E13+SUM(E16:E18,E20:E25)</f>
        <v>-5.257000000000005</v>
      </c>
      <c r="F27" s="7">
        <f>+F13+SUM(F16:F18,F20:F25)</f>
        <v>-81.907999999999959</v>
      </c>
      <c r="G27" s="7">
        <f>+G13+SUM(G16:G18,G20:G25)</f>
        <v>-207.08500000000004</v>
      </c>
      <c r="H27" s="7">
        <f>+H13+SUM(H16:H18,H20:H25)</f>
        <v>19.811000000000007</v>
      </c>
      <c r="I27" s="7">
        <f>+I13+SUM(I16:I18,I20:I25)</f>
        <v>30.205000000000069</v>
      </c>
      <c r="J27" s="7">
        <f t="shared" ref="J27:S27" ca="1" si="4">+J13+SUM(J16:J18,J20:J25)</f>
        <v>24.111805390623232</v>
      </c>
      <c r="K27" s="7">
        <f t="shared" ca="1" si="4"/>
        <v>49.054040774070387</v>
      </c>
      <c r="L27" s="7">
        <f t="shared" ca="1" si="4"/>
        <v>61.988188875731339</v>
      </c>
      <c r="M27" s="7">
        <f t="shared" ca="1" si="4"/>
        <v>73.004389276153802</v>
      </c>
      <c r="N27" s="7">
        <f t="shared" ca="1" si="4"/>
        <v>80.546648743210625</v>
      </c>
      <c r="O27" s="7">
        <f t="shared" ca="1" si="4"/>
        <v>87.598036017133722</v>
      </c>
      <c r="P27" s="7">
        <f t="shared" ca="1" si="4"/>
        <v>94.954131977076514</v>
      </c>
      <c r="Q27" s="7">
        <f t="shared" ca="1" si="4"/>
        <v>102.87688241450394</v>
      </c>
      <c r="R27" s="7">
        <f t="shared" ca="1" si="4"/>
        <v>110.12504358559778</v>
      </c>
      <c r="S27" s="7">
        <f t="shared" ca="1" si="4"/>
        <v>118.5484557599662</v>
      </c>
    </row>
    <row r="28" spans="2:19" x14ac:dyDescent="0.45">
      <c r="B28" t="s">
        <v>16</v>
      </c>
      <c r="E28" s="6">
        <f>+E27/E6</f>
        <v>-1.2101303819380514E-2</v>
      </c>
      <c r="F28" s="6">
        <f>+F27/F6</f>
        <v>-0.18623919963619817</v>
      </c>
      <c r="G28" s="6">
        <f>+G27/G6</f>
        <v>-0.48653303072592891</v>
      </c>
      <c r="H28" s="6">
        <f>+H27/H6</f>
        <v>4.3777926078482514E-2</v>
      </c>
      <c r="I28" s="6">
        <f>+I27/I6</f>
        <v>5.9549744392505995E-2</v>
      </c>
      <c r="J28" s="6">
        <f t="shared" ref="J28:S28" ca="1" si="5">+J27/J6</f>
        <v>4.5797464455154563E-2</v>
      </c>
      <c r="K28" s="6">
        <f t="shared" ca="1" si="5"/>
        <v>8.407756135141603E-2</v>
      </c>
      <c r="L28" s="6">
        <f t="shared" ca="1" si="5"/>
        <v>9.4873769954700982E-2</v>
      </c>
      <c r="M28" s="6">
        <f t="shared" ca="1" si="5"/>
        <v>0.10328000490957885</v>
      </c>
      <c r="N28" s="6">
        <f t="shared" ca="1" si="5"/>
        <v>0.10717872012423901</v>
      </c>
      <c r="O28" s="6">
        <f t="shared" ca="1" si="5"/>
        <v>0.1107585922567608</v>
      </c>
      <c r="P28" s="6">
        <f t="shared" ca="1" si="5"/>
        <v>0.11441320229426193</v>
      </c>
      <c r="Q28" s="6">
        <f t="shared" ca="1" si="5"/>
        <v>0.11822151099852875</v>
      </c>
      <c r="R28" s="6">
        <f t="shared" ca="1" si="5"/>
        <v>0.12075444842570468</v>
      </c>
      <c r="S28" s="6">
        <f t="shared" ca="1" si="5"/>
        <v>0.12381785949362197</v>
      </c>
    </row>
    <row r="30" spans="2:19" x14ac:dyDescent="0.45">
      <c r="B30" s="14" t="s">
        <v>40</v>
      </c>
      <c r="E30" s="4">
        <v>-2.1659999999999999</v>
      </c>
      <c r="F30" s="4">
        <v>1.77</v>
      </c>
      <c r="G30" s="4">
        <v>-0.48899999999999999</v>
      </c>
      <c r="H30" s="4">
        <v>-3.0489999999999999</v>
      </c>
      <c r="I30" s="4">
        <v>-0.34699999999999998</v>
      </c>
      <c r="J30" s="29">
        <f ca="1">+'FS Calcs'!J107</f>
        <v>-6.9924235632807363</v>
      </c>
      <c r="K30" s="29">
        <f ca="1">+'FS Calcs'!K107</f>
        <v>-14.225671824480411</v>
      </c>
      <c r="L30" s="29">
        <f ca="1">+'FS Calcs'!L107</f>
        <v>-17.976574773962103</v>
      </c>
      <c r="M30" s="29">
        <f ca="1">+'FS Calcs'!M107</f>
        <v>-21.171272890084403</v>
      </c>
      <c r="N30" s="29">
        <f ca="1">+'FS Calcs'!N107</f>
        <v>-23.358528135532818</v>
      </c>
      <c r="O30" s="29">
        <f ca="1">+'FS Calcs'!O107</f>
        <v>-25.403430444955688</v>
      </c>
      <c r="P30" s="29">
        <f ca="1">+'FS Calcs'!P107</f>
        <v>-27.536698273435903</v>
      </c>
      <c r="Q30" s="29">
        <f ca="1">+'FS Calcs'!Q107</f>
        <v>-29.834295899749929</v>
      </c>
      <c r="R30" s="29">
        <f ca="1">+'FS Calcs'!R107</f>
        <v>-31.936262641706783</v>
      </c>
      <c r="S30" s="29">
        <f ca="1">+'FS Calcs'!S107</f>
        <v>-34.379052163183296</v>
      </c>
    </row>
    <row r="31" spans="2:19" x14ac:dyDescent="0.45">
      <c r="B31" s="14" t="s">
        <v>39</v>
      </c>
      <c r="E31" s="4">
        <v>0.67500000000000004</v>
      </c>
      <c r="F31" s="4">
        <v>1.9359999999999999</v>
      </c>
      <c r="G31" s="4">
        <v>-1.2170000000000001</v>
      </c>
      <c r="H31" s="4">
        <v>6.3470000000000004</v>
      </c>
      <c r="I31" s="4">
        <v>1.9039999999999999</v>
      </c>
      <c r="J31" s="29">
        <f>+'FS Calcs'!J108</f>
        <v>0</v>
      </c>
      <c r="K31" s="29">
        <f>+'FS Calcs'!K108</f>
        <v>0</v>
      </c>
      <c r="L31" s="29">
        <f>+'FS Calcs'!L108</f>
        <v>0</v>
      </c>
      <c r="M31" s="29">
        <f>+'FS Calcs'!M108</f>
        <v>0</v>
      </c>
      <c r="N31" s="29">
        <f>+'FS Calcs'!N108</f>
        <v>0</v>
      </c>
      <c r="O31" s="29">
        <f>+'FS Calcs'!O108</f>
        <v>0</v>
      </c>
      <c r="P31" s="29">
        <f>+'FS Calcs'!P108</f>
        <v>0</v>
      </c>
      <c r="Q31" s="29">
        <f>+'FS Calcs'!Q108</f>
        <v>0</v>
      </c>
      <c r="R31" s="29">
        <f>+'FS Calcs'!R108</f>
        <v>0</v>
      </c>
      <c r="S31" s="29">
        <f>+'FS Calcs'!S108</f>
        <v>0</v>
      </c>
    </row>
    <row r="32" spans="2:19" x14ac:dyDescent="0.45">
      <c r="B32" t="s">
        <v>17</v>
      </c>
      <c r="E32">
        <f>SUM(E30:E31)</f>
        <v>-1.4909999999999999</v>
      </c>
      <c r="F32">
        <f>SUM(F30:F31)</f>
        <v>3.706</v>
      </c>
      <c r="G32">
        <f>SUM(G30:G31)</f>
        <v>-1.706</v>
      </c>
      <c r="H32">
        <f>SUM(H30:H31)</f>
        <v>3.2980000000000005</v>
      </c>
      <c r="I32">
        <f>SUM(I30:I31)</f>
        <v>1.5569999999999999</v>
      </c>
      <c r="J32">
        <f t="shared" ref="J32:S32" ca="1" si="6">SUM(J30:J31)</f>
        <v>-6.9924235632807363</v>
      </c>
      <c r="K32">
        <f t="shared" ca="1" si="6"/>
        <v>-14.225671824480411</v>
      </c>
      <c r="L32">
        <f t="shared" ca="1" si="6"/>
        <v>-17.976574773962103</v>
      </c>
      <c r="M32">
        <f t="shared" ca="1" si="6"/>
        <v>-21.171272890084403</v>
      </c>
      <c r="N32">
        <f t="shared" ca="1" si="6"/>
        <v>-23.358528135532818</v>
      </c>
      <c r="O32">
        <f t="shared" ca="1" si="6"/>
        <v>-25.403430444955688</v>
      </c>
      <c r="P32">
        <f t="shared" ca="1" si="6"/>
        <v>-27.536698273435903</v>
      </c>
      <c r="Q32">
        <f t="shared" ca="1" si="6"/>
        <v>-29.834295899749929</v>
      </c>
      <c r="R32">
        <f t="shared" ca="1" si="6"/>
        <v>-31.936262641706783</v>
      </c>
      <c r="S32">
        <f t="shared" ca="1" si="6"/>
        <v>-34.379052163183296</v>
      </c>
    </row>
    <row r="34" spans="1:19" x14ac:dyDescent="0.45">
      <c r="B34" t="s">
        <v>24</v>
      </c>
      <c r="E34">
        <f>+E32+E27</f>
        <v>-6.7480000000000047</v>
      </c>
      <c r="F34">
        <f>+F32+F27</f>
        <v>-78.201999999999956</v>
      </c>
      <c r="G34">
        <f>+G32+G27</f>
        <v>-208.79100000000003</v>
      </c>
      <c r="H34">
        <f>+H32+H27</f>
        <v>23.109000000000009</v>
      </c>
      <c r="I34">
        <f>+I32+I27</f>
        <v>31.762000000000068</v>
      </c>
      <c r="J34">
        <f t="shared" ref="J34:S34" ca="1" si="7">+J32+J27</f>
        <v>17.119381827342494</v>
      </c>
      <c r="K34">
        <f t="shared" ca="1" si="7"/>
        <v>34.828368949589972</v>
      </c>
      <c r="L34">
        <f t="shared" ca="1" si="7"/>
        <v>44.01161410176924</v>
      </c>
      <c r="M34">
        <f t="shared" ca="1" si="7"/>
        <v>51.833116386069399</v>
      </c>
      <c r="N34">
        <f t="shared" ca="1" si="7"/>
        <v>57.188120607677803</v>
      </c>
      <c r="O34">
        <f t="shared" ca="1" si="7"/>
        <v>62.194605572178034</v>
      </c>
      <c r="P34">
        <f t="shared" ca="1" si="7"/>
        <v>67.417433703640611</v>
      </c>
      <c r="Q34">
        <f t="shared" ca="1" si="7"/>
        <v>73.042586514754007</v>
      </c>
      <c r="R34">
        <f t="shared" ca="1" si="7"/>
        <v>78.188780943891004</v>
      </c>
      <c r="S34">
        <f t="shared" ca="1" si="7"/>
        <v>84.1694035967829</v>
      </c>
    </row>
    <row r="35" spans="1:19" x14ac:dyDescent="0.45">
      <c r="B35" s="14" t="s">
        <v>25</v>
      </c>
      <c r="E35" s="4">
        <v>7.3120000000000003</v>
      </c>
      <c r="F35" s="4">
        <v>23.292000000000002</v>
      </c>
      <c r="G35" s="4">
        <v>27.175000000000001</v>
      </c>
      <c r="H35" s="4">
        <v>30.186</v>
      </c>
      <c r="I35" s="4">
        <v>26.122</v>
      </c>
      <c r="J35" s="29">
        <f>+'FS Calcs'!J98</f>
        <v>26.89925752000001</v>
      </c>
      <c r="K35" s="29">
        <f>+'FS Calcs'!K98</f>
        <v>27.706235245600013</v>
      </c>
      <c r="L35" s="29">
        <f>+'FS Calcs'!L98</f>
        <v>28.537422302968007</v>
      </c>
      <c r="M35" s="29">
        <f>+'FS Calcs'!M98</f>
        <v>29.393544972057043</v>
      </c>
      <c r="N35" s="29">
        <f>+'FS Calcs'!N98</f>
        <v>30.275351321218761</v>
      </c>
      <c r="O35" s="29">
        <f>+'FS Calcs'!O98</f>
        <v>31.183611860855326</v>
      </c>
      <c r="P35" s="29">
        <f>+'FS Calcs'!P98</f>
        <v>32.11912021668099</v>
      </c>
      <c r="Q35" s="29">
        <f>+'FS Calcs'!Q98</f>
        <v>33.082693823181408</v>
      </c>
      <c r="R35" s="29">
        <f>+'FS Calcs'!R98</f>
        <v>34.07517463787687</v>
      </c>
      <c r="S35" s="29">
        <f>+'FS Calcs'!S98</f>
        <v>35.097429877013163</v>
      </c>
    </row>
    <row r="36" spans="1:19" s="7" customFormat="1" x14ac:dyDescent="0.45">
      <c r="B36" s="16" t="s">
        <v>26</v>
      </c>
      <c r="E36" s="7">
        <f>+E34-E35</f>
        <v>-14.060000000000006</v>
      </c>
      <c r="F36" s="7">
        <f>+F34-F35</f>
        <v>-101.49399999999996</v>
      </c>
      <c r="G36" s="7">
        <f>+G34-G35</f>
        <v>-235.96600000000004</v>
      </c>
      <c r="H36" s="7">
        <f>+H34-H35</f>
        <v>-7.0769999999999911</v>
      </c>
      <c r="I36" s="7">
        <f>+I34-I35</f>
        <v>5.6400000000000681</v>
      </c>
      <c r="J36" s="7">
        <f t="shared" ref="J36:S36" ca="1" si="8">+J34-J35</f>
        <v>-9.7798756926575159</v>
      </c>
      <c r="K36" s="7">
        <f t="shared" ca="1" si="8"/>
        <v>7.1221337039899595</v>
      </c>
      <c r="L36" s="7">
        <f t="shared" ca="1" si="8"/>
        <v>15.474191798801233</v>
      </c>
      <c r="M36" s="7">
        <f t="shared" ca="1" si="8"/>
        <v>22.439571414012356</v>
      </c>
      <c r="N36" s="7">
        <f t="shared" ca="1" si="8"/>
        <v>26.912769286459042</v>
      </c>
      <c r="O36" s="7">
        <f t="shared" ca="1" si="8"/>
        <v>31.010993711322708</v>
      </c>
      <c r="P36" s="7">
        <f t="shared" ca="1" si="8"/>
        <v>35.298313486959621</v>
      </c>
      <c r="Q36" s="7">
        <f t="shared" ca="1" si="8"/>
        <v>39.959892691572598</v>
      </c>
      <c r="R36" s="7">
        <f t="shared" ca="1" si="8"/>
        <v>44.113606306014134</v>
      </c>
      <c r="S36" s="7">
        <f t="shared" ca="1" si="8"/>
        <v>49.071973719769737</v>
      </c>
    </row>
    <row r="38" spans="1:19" x14ac:dyDescent="0.45">
      <c r="B38" t="s">
        <v>27</v>
      </c>
      <c r="E38" s="17">
        <v>-0.1</v>
      </c>
      <c r="F38" s="17">
        <v>-0.75</v>
      </c>
      <c r="G38" s="17">
        <v>-1.51</v>
      </c>
      <c r="H38" s="17">
        <v>-0.04</v>
      </c>
      <c r="I38" s="17">
        <v>0.03</v>
      </c>
      <c r="J38" s="15">
        <f ca="1">+J$36/J41</f>
        <v>-5.6494172550054102E-2</v>
      </c>
      <c r="K38" s="15">
        <f t="shared" ref="K38:S38" ca="1" si="9">+K$36/K41</f>
        <v>4.114153012188547E-2</v>
      </c>
      <c r="L38" s="15">
        <f t="shared" ca="1" si="9"/>
        <v>8.9387809111974442E-2</v>
      </c>
      <c r="M38" s="15">
        <f t="shared" ca="1" si="9"/>
        <v>0.12962383768990401</v>
      </c>
      <c r="N38" s="15">
        <f t="shared" ca="1" si="9"/>
        <v>0.15546359479911412</v>
      </c>
      <c r="O38" s="15">
        <f t="shared" ca="1" si="9"/>
        <v>0.17913729015916025</v>
      </c>
      <c r="P38" s="15">
        <f t="shared" ca="1" si="9"/>
        <v>0.20390330874607696</v>
      </c>
      <c r="Q38" s="15">
        <f t="shared" ca="1" si="9"/>
        <v>0.23083126450106345</v>
      </c>
      <c r="R38" s="15">
        <f t="shared" ca="1" si="9"/>
        <v>0.25482549725332088</v>
      </c>
      <c r="S38" s="15">
        <f t="shared" ca="1" si="9"/>
        <v>0.28346787196669077</v>
      </c>
    </row>
    <row r="39" spans="1:19" x14ac:dyDescent="0.45">
      <c r="B39" t="s">
        <v>28</v>
      </c>
      <c r="E39" s="17">
        <v>-0.1</v>
      </c>
      <c r="F39" s="17">
        <v>-0.75</v>
      </c>
      <c r="G39" s="17">
        <v>-1.51</v>
      </c>
      <c r="H39" s="17">
        <v>-0.04</v>
      </c>
      <c r="I39" s="17">
        <v>-0.01</v>
      </c>
      <c r="J39" s="15">
        <f ca="1">+J$36/J42</f>
        <v>-5.13773059282049E-2</v>
      </c>
      <c r="K39" s="15">
        <f t="shared" ref="K39:S39" ca="1" si="10">+K$36/K42</f>
        <v>3.7415203799184463E-2</v>
      </c>
      <c r="L39" s="15">
        <f t="shared" ca="1" si="10"/>
        <v>8.1291655540735849E-2</v>
      </c>
      <c r="M39" s="15">
        <f t="shared" ca="1" si="10"/>
        <v>0.11788337210677136</v>
      </c>
      <c r="N39" s="15">
        <f t="shared" ca="1" si="10"/>
        <v>0.14138273577891214</v>
      </c>
      <c r="O39" s="15">
        <f t="shared" ca="1" si="10"/>
        <v>0.16291222517689519</v>
      </c>
      <c r="P39" s="15">
        <f t="shared" ca="1" si="10"/>
        <v>0.18543510242474348</v>
      </c>
      <c r="Q39" s="15">
        <f t="shared" ca="1" si="10"/>
        <v>0.20992410294279393</v>
      </c>
      <c r="R39" s="15">
        <f t="shared" ca="1" si="10"/>
        <v>0.23174509758667605</v>
      </c>
      <c r="S39" s="15">
        <f t="shared" ca="1" si="10"/>
        <v>0.25779323638993523</v>
      </c>
    </row>
    <row r="41" spans="1:19" x14ac:dyDescent="0.45">
      <c r="B41" t="s">
        <v>37</v>
      </c>
      <c r="E41" s="4">
        <v>134.506</v>
      </c>
      <c r="F41" s="4">
        <v>134.828</v>
      </c>
      <c r="G41" s="4">
        <v>156.74799999999999</v>
      </c>
      <c r="H41" s="4">
        <v>171.22200000000001</v>
      </c>
      <c r="I41" s="4">
        <v>172.584</v>
      </c>
      <c r="J41" s="25">
        <v>173.113</v>
      </c>
      <c r="K41" s="25">
        <f t="shared" ref="K41:S41" si="11">+J41</f>
        <v>173.113</v>
      </c>
      <c r="L41" s="25">
        <f t="shared" si="11"/>
        <v>173.113</v>
      </c>
      <c r="M41" s="25">
        <f t="shared" si="11"/>
        <v>173.113</v>
      </c>
      <c r="N41" s="25">
        <f t="shared" si="11"/>
        <v>173.113</v>
      </c>
      <c r="O41" s="25">
        <f t="shared" si="11"/>
        <v>173.113</v>
      </c>
      <c r="P41" s="25">
        <f t="shared" si="11"/>
        <v>173.113</v>
      </c>
      <c r="Q41" s="25">
        <f t="shared" si="11"/>
        <v>173.113</v>
      </c>
      <c r="R41" s="25">
        <f t="shared" si="11"/>
        <v>173.113</v>
      </c>
      <c r="S41" s="25">
        <f t="shared" si="11"/>
        <v>173.113</v>
      </c>
    </row>
    <row r="42" spans="1:19" x14ac:dyDescent="0.45">
      <c r="B42" t="s">
        <v>38</v>
      </c>
      <c r="E42" s="4">
        <v>134.506</v>
      </c>
      <c r="F42" s="4">
        <v>134.828</v>
      </c>
      <c r="G42" s="4">
        <v>156.74799999999999</v>
      </c>
      <c r="H42" s="4">
        <v>171.22200000000001</v>
      </c>
      <c r="I42" s="4">
        <v>197.40299999999999</v>
      </c>
      <c r="J42" s="25">
        <v>190.35400000000001</v>
      </c>
      <c r="K42" s="25">
        <f t="shared" ref="K42:S42" si="12">+J42</f>
        <v>190.35400000000001</v>
      </c>
      <c r="L42" s="25">
        <f t="shared" si="12"/>
        <v>190.35400000000001</v>
      </c>
      <c r="M42" s="25">
        <f t="shared" si="12"/>
        <v>190.35400000000001</v>
      </c>
      <c r="N42" s="25">
        <f t="shared" si="12"/>
        <v>190.35400000000001</v>
      </c>
      <c r="O42" s="25">
        <f t="shared" si="12"/>
        <v>190.35400000000001</v>
      </c>
      <c r="P42" s="25">
        <f t="shared" si="12"/>
        <v>190.35400000000001</v>
      </c>
      <c r="Q42" s="25">
        <f t="shared" si="12"/>
        <v>190.35400000000001</v>
      </c>
      <c r="R42" s="25">
        <f t="shared" si="12"/>
        <v>190.35400000000001</v>
      </c>
      <c r="S42" s="25">
        <f t="shared" si="12"/>
        <v>190.35400000000001</v>
      </c>
    </row>
    <row r="43" spans="1:19" x14ac:dyDescent="0.45">
      <c r="E43" s="4"/>
      <c r="F43" s="4"/>
      <c r="G43" s="4"/>
      <c r="H43" s="4"/>
      <c r="I43" s="4"/>
    </row>
    <row r="44" spans="1:19" x14ac:dyDescent="0.45">
      <c r="B44" t="s">
        <v>151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29">
        <f>+'FS Calcs'!J76</f>
        <v>0</v>
      </c>
      <c r="K44" s="29">
        <f>+'FS Calcs'!K76</f>
        <v>0</v>
      </c>
      <c r="L44" s="29">
        <f>+'FS Calcs'!L76</f>
        <v>0</v>
      </c>
      <c r="M44" s="29">
        <f>+'FS Calcs'!M76</f>
        <v>0</v>
      </c>
      <c r="N44" s="29">
        <f>+'FS Calcs'!N76</f>
        <v>0</v>
      </c>
      <c r="O44" s="29">
        <f>+'FS Calcs'!O76</f>
        <v>0</v>
      </c>
      <c r="P44" s="29">
        <f>+'FS Calcs'!P76</f>
        <v>0</v>
      </c>
      <c r="Q44" s="29">
        <f>+'FS Calcs'!Q76</f>
        <v>0</v>
      </c>
      <c r="R44" s="29">
        <f>+'FS Calcs'!R76</f>
        <v>0</v>
      </c>
      <c r="S44" s="29">
        <f>+'FS Calcs'!S76</f>
        <v>0</v>
      </c>
    </row>
    <row r="45" spans="1:19" x14ac:dyDescent="0.45">
      <c r="B45" t="s">
        <v>166</v>
      </c>
      <c r="E45" s="4"/>
      <c r="F45" s="4">
        <v>-26.657</v>
      </c>
      <c r="G45" s="4">
        <v>-33.46</v>
      </c>
      <c r="H45" s="4">
        <v>-31.457000000000001</v>
      </c>
      <c r="I45" s="4">
        <v>-33.609000000000002</v>
      </c>
      <c r="J45" s="29">
        <f>+'FS Calcs'!J82</f>
        <v>-34.281179999999999</v>
      </c>
      <c r="K45" s="29">
        <f>+'FS Calcs'!K82</f>
        <v>-34.966803599999999</v>
      </c>
      <c r="L45" s="29">
        <f>+'FS Calcs'!L82</f>
        <v>-35.666139672</v>
      </c>
      <c r="M45" s="29">
        <f>+'FS Calcs'!M82</f>
        <v>-36.37946246544</v>
      </c>
      <c r="N45" s="29">
        <f>+'FS Calcs'!N82</f>
        <v>-37.107051714748799</v>
      </c>
      <c r="O45" s="29">
        <f>+'FS Calcs'!O82</f>
        <v>-37.849192749043773</v>
      </c>
      <c r="P45" s="29">
        <f>+'FS Calcs'!P82</f>
        <v>-38.606176604024647</v>
      </c>
      <c r="Q45" s="29">
        <f>+'FS Calcs'!Q82</f>
        <v>-39.378300136105139</v>
      </c>
      <c r="R45" s="29">
        <f>+'FS Calcs'!R82</f>
        <v>-40.165866138827241</v>
      </c>
      <c r="S45" s="29">
        <f>+'FS Calcs'!S82</f>
        <v>-40.969183461603784</v>
      </c>
    </row>
    <row r="46" spans="1:19" x14ac:dyDescent="0.45">
      <c r="E46" s="15"/>
      <c r="F46" s="15"/>
      <c r="H46" s="15"/>
      <c r="I46" s="15"/>
    </row>
    <row r="47" spans="1:19" x14ac:dyDescent="0.45">
      <c r="A47" t="s">
        <v>36</v>
      </c>
      <c r="B47" s="20" t="s">
        <v>266</v>
      </c>
      <c r="E47" s="15"/>
      <c r="F47" s="15"/>
    </row>
    <row r="48" spans="1:19" x14ac:dyDescent="0.45">
      <c r="B48" t="s">
        <v>215</v>
      </c>
      <c r="E48">
        <f t="shared" ref="E48:S48" si="13">+E27</f>
        <v>-5.257000000000005</v>
      </c>
      <c r="F48">
        <f t="shared" si="13"/>
        <v>-81.907999999999959</v>
      </c>
      <c r="G48">
        <f t="shared" si="13"/>
        <v>-207.08500000000004</v>
      </c>
      <c r="H48">
        <f t="shared" si="13"/>
        <v>19.811000000000007</v>
      </c>
      <c r="I48">
        <f t="shared" si="13"/>
        <v>30.205000000000069</v>
      </c>
      <c r="J48">
        <f t="shared" ca="1" si="13"/>
        <v>24.111805390623232</v>
      </c>
      <c r="K48">
        <f t="shared" ca="1" si="13"/>
        <v>49.054040774070387</v>
      </c>
      <c r="L48">
        <f t="shared" ca="1" si="13"/>
        <v>61.988188875731339</v>
      </c>
      <c r="M48">
        <f t="shared" ca="1" si="13"/>
        <v>73.004389276153802</v>
      </c>
      <c r="N48">
        <f t="shared" ca="1" si="13"/>
        <v>80.546648743210625</v>
      </c>
      <c r="O48">
        <f t="shared" ca="1" si="13"/>
        <v>87.598036017133722</v>
      </c>
      <c r="P48">
        <f t="shared" ca="1" si="13"/>
        <v>94.954131977076514</v>
      </c>
      <c r="Q48">
        <f t="shared" ca="1" si="13"/>
        <v>102.87688241450394</v>
      </c>
      <c r="R48">
        <f t="shared" ca="1" si="13"/>
        <v>110.12504358559778</v>
      </c>
      <c r="S48">
        <f t="shared" ca="1" si="13"/>
        <v>118.5484557599662</v>
      </c>
    </row>
    <row r="49" spans="2:20" x14ac:dyDescent="0.45">
      <c r="B49" t="s">
        <v>259</v>
      </c>
      <c r="E49">
        <f>+IF(E32&lt;0,E32*-1, 0)</f>
        <v>1.4909999999999999</v>
      </c>
      <c r="F49">
        <f t="shared" ref="F49:S49" si="14">+IF(F32&lt;0,F32*-1, 0)</f>
        <v>0</v>
      </c>
      <c r="G49">
        <f t="shared" si="14"/>
        <v>1.706</v>
      </c>
      <c r="H49">
        <f t="shared" si="14"/>
        <v>0</v>
      </c>
      <c r="I49">
        <f t="shared" si="14"/>
        <v>0</v>
      </c>
      <c r="J49">
        <f t="shared" ca="1" si="14"/>
        <v>6.9924235632807363</v>
      </c>
      <c r="K49">
        <f t="shared" ca="1" si="14"/>
        <v>14.225671824480411</v>
      </c>
      <c r="L49">
        <f t="shared" ca="1" si="14"/>
        <v>17.976574773962103</v>
      </c>
      <c r="M49">
        <f t="shared" ca="1" si="14"/>
        <v>21.171272890084403</v>
      </c>
      <c r="N49">
        <f t="shared" ca="1" si="14"/>
        <v>23.358528135532818</v>
      </c>
      <c r="O49">
        <f t="shared" ca="1" si="14"/>
        <v>25.403430444955688</v>
      </c>
      <c r="P49">
        <f t="shared" ca="1" si="14"/>
        <v>27.536698273435903</v>
      </c>
      <c r="Q49">
        <f t="shared" ca="1" si="14"/>
        <v>29.834295899749929</v>
      </c>
      <c r="R49">
        <f t="shared" ca="1" si="14"/>
        <v>31.936262641706783</v>
      </c>
      <c r="S49">
        <f t="shared" ca="1" si="14"/>
        <v>34.379052163183296</v>
      </c>
    </row>
    <row r="50" spans="2:20" x14ac:dyDescent="0.45">
      <c r="B50" t="s">
        <v>233</v>
      </c>
      <c r="E50">
        <f t="shared" ref="E50:S50" si="15">+E22*-1</f>
        <v>50.109000000000002</v>
      </c>
      <c r="F50">
        <f t="shared" si="15"/>
        <v>52.235999999999997</v>
      </c>
      <c r="G50">
        <f t="shared" si="15"/>
        <v>49.404000000000003</v>
      </c>
      <c r="H50">
        <f t="shared" si="15"/>
        <v>42.139000000000003</v>
      </c>
      <c r="I50">
        <f t="shared" si="15"/>
        <v>30.486000000000001</v>
      </c>
      <c r="J50">
        <f t="shared" ca="1" si="15"/>
        <v>33.667631151878524</v>
      </c>
      <c r="K50">
        <f t="shared" ca="1" si="15"/>
        <v>34.897667717522367</v>
      </c>
      <c r="L50">
        <f t="shared" ca="1" si="15"/>
        <v>36.633587110757944</v>
      </c>
      <c r="M50">
        <f t="shared" ca="1" si="15"/>
        <v>38.114030463117082</v>
      </c>
      <c r="N50">
        <f t="shared" ca="1" si="15"/>
        <v>39.21047107209457</v>
      </c>
      <c r="O50">
        <f t="shared" ca="1" si="15"/>
        <v>39.988572187667351</v>
      </c>
      <c r="P50">
        <f t="shared" ca="1" si="15"/>
        <v>40.525313067510162</v>
      </c>
      <c r="Q50">
        <f t="shared" ca="1" si="15"/>
        <v>40.847902429928148</v>
      </c>
      <c r="R50">
        <f t="shared" ca="1" si="15"/>
        <v>40.943590988015046</v>
      </c>
      <c r="S50">
        <f t="shared" ca="1" si="15"/>
        <v>40.828171005781357</v>
      </c>
    </row>
    <row r="51" spans="2:20" x14ac:dyDescent="0.45">
      <c r="B51" t="s">
        <v>260</v>
      </c>
      <c r="E51">
        <f t="shared" ref="E51:S51" si="16">+SUM(E16:E17)*-1</f>
        <v>40.090000000000003</v>
      </c>
      <c r="F51">
        <f t="shared" si="16"/>
        <v>37.082000000000001</v>
      </c>
      <c r="G51">
        <f t="shared" si="16"/>
        <v>36.253</v>
      </c>
      <c r="H51">
        <f t="shared" si="16"/>
        <v>34.024000000000001</v>
      </c>
      <c r="I51">
        <f t="shared" si="16"/>
        <v>34.22</v>
      </c>
      <c r="J51">
        <f t="shared" si="16"/>
        <v>41.589266799999997</v>
      </c>
      <c r="K51">
        <f t="shared" si="16"/>
        <v>39.797010037692857</v>
      </c>
      <c r="L51">
        <f t="shared" si="16"/>
        <v>39.985264609772415</v>
      </c>
      <c r="M51">
        <f t="shared" si="16"/>
        <v>38.77925466781798</v>
      </c>
      <c r="N51">
        <f t="shared" si="16"/>
        <v>39.523888935504566</v>
      </c>
      <c r="O51">
        <f t="shared" si="16"/>
        <v>39.9408948410804</v>
      </c>
      <c r="P51">
        <f t="shared" si="16"/>
        <v>40.232904156187651</v>
      </c>
      <c r="Q51">
        <f t="shared" si="16"/>
        <v>40.457154997388315</v>
      </c>
      <c r="R51">
        <f t="shared" si="16"/>
        <v>41.919126589090951</v>
      </c>
      <c r="S51">
        <f t="shared" si="16"/>
        <v>43.510480382779903</v>
      </c>
    </row>
    <row r="52" spans="2:20" x14ac:dyDescent="0.45">
      <c r="B52" t="s">
        <v>263</v>
      </c>
      <c r="E52">
        <f t="shared" ref="E52:S52" si="17">+E21*-1</f>
        <v>0</v>
      </c>
      <c r="F52">
        <f t="shared" si="17"/>
        <v>0</v>
      </c>
      <c r="G52">
        <f t="shared" si="17"/>
        <v>0</v>
      </c>
      <c r="H52">
        <f t="shared" si="17"/>
        <v>5.0750000000000002</v>
      </c>
      <c r="I52">
        <f t="shared" si="17"/>
        <v>7.4139999999999997</v>
      </c>
      <c r="J52">
        <f t="shared" si="17"/>
        <v>5</v>
      </c>
      <c r="K52">
        <f t="shared" si="17"/>
        <v>5</v>
      </c>
      <c r="L52">
        <f t="shared" si="17"/>
        <v>5</v>
      </c>
      <c r="M52">
        <f t="shared" si="17"/>
        <v>5</v>
      </c>
      <c r="N52">
        <f t="shared" si="17"/>
        <v>5</v>
      </c>
      <c r="O52">
        <f t="shared" si="17"/>
        <v>5</v>
      </c>
      <c r="P52">
        <f t="shared" si="17"/>
        <v>5</v>
      </c>
      <c r="Q52">
        <f t="shared" si="17"/>
        <v>5</v>
      </c>
      <c r="R52">
        <f t="shared" si="17"/>
        <v>5</v>
      </c>
      <c r="S52">
        <f t="shared" si="17"/>
        <v>5</v>
      </c>
    </row>
    <row r="53" spans="2:20" x14ac:dyDescent="0.45">
      <c r="B53" t="s">
        <v>261</v>
      </c>
      <c r="E53">
        <f t="shared" ref="E53:S53" si="18">+E18*-1</f>
        <v>12.026999999999999</v>
      </c>
      <c r="F53">
        <f t="shared" si="18"/>
        <v>104.871</v>
      </c>
      <c r="G53">
        <f t="shared" si="18"/>
        <v>196.12200000000001</v>
      </c>
      <c r="H53">
        <f t="shared" si="18"/>
        <v>7.8319999999999999</v>
      </c>
      <c r="I53">
        <f t="shared" si="18"/>
        <v>0.78800000000000003</v>
      </c>
      <c r="J53">
        <f t="shared" si="18"/>
        <v>0</v>
      </c>
      <c r="K53">
        <f t="shared" si="18"/>
        <v>0</v>
      </c>
      <c r="L53">
        <f t="shared" si="18"/>
        <v>0</v>
      </c>
      <c r="M53">
        <f t="shared" si="18"/>
        <v>0</v>
      </c>
      <c r="N53">
        <f t="shared" si="18"/>
        <v>0</v>
      </c>
      <c r="O53">
        <f t="shared" si="18"/>
        <v>0</v>
      </c>
      <c r="P53">
        <f t="shared" si="18"/>
        <v>0</v>
      </c>
      <c r="Q53">
        <f t="shared" si="18"/>
        <v>0</v>
      </c>
      <c r="R53">
        <f t="shared" si="18"/>
        <v>0</v>
      </c>
      <c r="S53">
        <f t="shared" si="18"/>
        <v>0</v>
      </c>
    </row>
    <row r="54" spans="2:20" x14ac:dyDescent="0.45">
      <c r="B54" t="s">
        <v>264</v>
      </c>
      <c r="E54">
        <f t="shared" ref="E54:S54" si="19">+(E23+E24)*-1</f>
        <v>-3.5509999999999993</v>
      </c>
      <c r="F54">
        <f t="shared" si="19"/>
        <v>-8.266</v>
      </c>
      <c r="G54">
        <f t="shared" si="19"/>
        <v>12.092000000000001</v>
      </c>
      <c r="H54">
        <f t="shared" si="19"/>
        <v>1.2270000000000003</v>
      </c>
      <c r="I54">
        <f t="shared" si="19"/>
        <v>8.038000000000002</v>
      </c>
      <c r="J54">
        <f t="shared" si="19"/>
        <v>12.5</v>
      </c>
      <c r="K54">
        <f t="shared" si="19"/>
        <v>5</v>
      </c>
      <c r="L54">
        <f t="shared" si="19"/>
        <v>5</v>
      </c>
      <c r="M54">
        <f t="shared" si="19"/>
        <v>5</v>
      </c>
      <c r="N54">
        <f t="shared" si="19"/>
        <v>5</v>
      </c>
      <c r="O54">
        <f t="shared" si="19"/>
        <v>5</v>
      </c>
      <c r="P54">
        <f t="shared" si="19"/>
        <v>5</v>
      </c>
      <c r="Q54">
        <f t="shared" si="19"/>
        <v>5</v>
      </c>
      <c r="R54">
        <f t="shared" si="19"/>
        <v>5</v>
      </c>
      <c r="S54">
        <f t="shared" si="19"/>
        <v>5</v>
      </c>
    </row>
    <row r="55" spans="2:20" x14ac:dyDescent="0.45">
      <c r="B55" t="s">
        <v>265</v>
      </c>
      <c r="E55">
        <f t="shared" ref="E55:S55" si="20">+E25*-1</f>
        <v>10.554</v>
      </c>
      <c r="F55">
        <f t="shared" si="20"/>
        <v>1.661</v>
      </c>
      <c r="G55">
        <f t="shared" si="20"/>
        <v>17.960999999999999</v>
      </c>
      <c r="H55">
        <f t="shared" si="20"/>
        <v>8.6120000000000001</v>
      </c>
      <c r="I55">
        <f t="shared" si="20"/>
        <v>6.2809999999999997</v>
      </c>
      <c r="J55">
        <f t="shared" si="20"/>
        <v>2.5</v>
      </c>
      <c r="K55">
        <f t="shared" si="20"/>
        <v>2.5</v>
      </c>
      <c r="L55">
        <f t="shared" si="20"/>
        <v>2.5</v>
      </c>
      <c r="M55">
        <f t="shared" si="20"/>
        <v>2.5</v>
      </c>
      <c r="N55">
        <f t="shared" si="20"/>
        <v>2.5</v>
      </c>
      <c r="O55">
        <f t="shared" si="20"/>
        <v>2.5</v>
      </c>
      <c r="P55">
        <f t="shared" si="20"/>
        <v>2.5</v>
      </c>
      <c r="Q55">
        <f t="shared" si="20"/>
        <v>2.5</v>
      </c>
      <c r="R55">
        <f t="shared" si="20"/>
        <v>2.5</v>
      </c>
      <c r="S55">
        <f t="shared" si="20"/>
        <v>2.5</v>
      </c>
    </row>
    <row r="56" spans="2:20" s="7" customFormat="1" x14ac:dyDescent="0.45">
      <c r="B56" s="43" t="s">
        <v>262</v>
      </c>
      <c r="C56" s="43"/>
      <c r="D56" s="43"/>
      <c r="E56" s="43">
        <f>SUM(E48:E55)</f>
        <v>105.46299999999999</v>
      </c>
      <c r="F56" s="43">
        <f>SUM(F48:F55)</f>
        <v>105.67600000000003</v>
      </c>
      <c r="G56" s="43">
        <f>SUM(G48:G55)</f>
        <v>106.45299999999996</v>
      </c>
      <c r="H56" s="43">
        <f>SUM(H48:H55)</f>
        <v>118.72000000000001</v>
      </c>
      <c r="I56" s="43">
        <f>SUM(I48:I55)</f>
        <v>117.43200000000007</v>
      </c>
      <c r="J56" s="43">
        <f t="shared" ref="J56:S56" ca="1" si="21">SUM(J48:J55)</f>
        <v>126.3611269057825</v>
      </c>
      <c r="K56" s="43">
        <f t="shared" ca="1" si="21"/>
        <v>150.47439035376601</v>
      </c>
      <c r="L56" s="43">
        <f t="shared" ca="1" si="21"/>
        <v>169.08361537022381</v>
      </c>
      <c r="M56" s="43">
        <f t="shared" ca="1" si="21"/>
        <v>183.56894729717325</v>
      </c>
      <c r="N56" s="43">
        <f t="shared" ca="1" si="21"/>
        <v>195.1395368863426</v>
      </c>
      <c r="O56" s="43">
        <f t="shared" ca="1" si="21"/>
        <v>205.43093349083716</v>
      </c>
      <c r="P56" s="43">
        <f t="shared" ca="1" si="21"/>
        <v>215.74904747421024</v>
      </c>
      <c r="Q56" s="43">
        <f t="shared" ca="1" si="21"/>
        <v>226.51623574157031</v>
      </c>
      <c r="R56" s="43">
        <f t="shared" ca="1" si="21"/>
        <v>237.42402380441055</v>
      </c>
      <c r="S56" s="43">
        <f t="shared" ca="1" si="21"/>
        <v>249.76615931171079</v>
      </c>
    </row>
    <row r="57" spans="2:20" s="1" customFormat="1" x14ac:dyDescent="0.45">
      <c r="B57" s="1" t="s">
        <v>16</v>
      </c>
      <c r="E57" s="78">
        <f>+E56/E$6</f>
        <v>0.24276960332952743</v>
      </c>
      <c r="F57" s="78">
        <f t="shared" ref="F57:S57" si="22">+F56/F$6</f>
        <v>0.24028194633924518</v>
      </c>
      <c r="G57" s="78">
        <f t="shared" si="22"/>
        <v>0.25010454991847447</v>
      </c>
      <c r="H57" s="78">
        <f t="shared" si="22"/>
        <v>0.26234492877883214</v>
      </c>
      <c r="I57" s="78">
        <f t="shared" si="22"/>
        <v>0.23151946974013415</v>
      </c>
      <c r="J57" s="78">
        <f t="shared" ca="1" si="22"/>
        <v>0.24000771092119652</v>
      </c>
      <c r="K57" s="78">
        <f t="shared" ca="1" si="22"/>
        <v>0.25790983957988611</v>
      </c>
      <c r="L57" s="78">
        <f t="shared" ca="1" si="22"/>
        <v>0.25878478333836458</v>
      </c>
      <c r="M57" s="78">
        <f t="shared" ca="1" si="22"/>
        <v>0.25969673832051432</v>
      </c>
      <c r="N57" s="78">
        <f t="shared" ca="1" si="22"/>
        <v>0.25966078211140797</v>
      </c>
      <c r="O57" s="78">
        <f t="shared" ca="1" si="22"/>
        <v>0.25974601753613474</v>
      </c>
      <c r="P57" s="78">
        <f t="shared" ca="1" si="22"/>
        <v>0.25996277254601607</v>
      </c>
      <c r="Q57" s="78">
        <f t="shared" ca="1" si="22"/>
        <v>0.26030232474552489</v>
      </c>
      <c r="R57" s="78">
        <f t="shared" ca="1" si="22"/>
        <v>0.26034048300038498</v>
      </c>
      <c r="S57" s="78">
        <f t="shared" ca="1" si="22"/>
        <v>0.26086810681478778</v>
      </c>
    </row>
    <row r="58" spans="2:20" s="7" customFormat="1" x14ac:dyDescent="0.45"/>
    <row r="59" spans="2:20" s="7" customFormat="1" x14ac:dyDescent="0.45">
      <c r="B59" s="58" t="s">
        <v>25</v>
      </c>
      <c r="E59" s="4">
        <v>-9.4369999999999994</v>
      </c>
      <c r="F59" s="4">
        <v>-27.459</v>
      </c>
      <c r="G59" s="4">
        <v>-28.399000000000001</v>
      </c>
      <c r="H59" s="4">
        <v>-35.664999999999999</v>
      </c>
      <c r="I59" s="4">
        <v>-28.681999999999999</v>
      </c>
      <c r="J59" s="7">
        <f ca="1">+J60*J56*-1</f>
        <v>-29.334842835714188</v>
      </c>
      <c r="K59" s="7">
        <f t="shared" ref="K59:S59" ca="1" si="23">+K60*K56*-1</f>
        <v>-34.932757406626408</v>
      </c>
      <c r="L59" s="7">
        <f t="shared" ca="1" si="23"/>
        <v>-39.252904785173165</v>
      </c>
      <c r="M59" s="7">
        <f t="shared" ca="1" si="23"/>
        <v>-42.615686883634886</v>
      </c>
      <c r="N59" s="7">
        <f t="shared" ca="1" si="23"/>
        <v>-45.301809075057832</v>
      </c>
      <c r="O59" s="7">
        <f t="shared" ca="1" si="23"/>
        <v>-47.690965529621195</v>
      </c>
      <c r="P59" s="7">
        <f t="shared" ca="1" si="23"/>
        <v>-50.086324446362411</v>
      </c>
      <c r="Q59" s="7">
        <f t="shared" ca="1" si="23"/>
        <v>-52.585936339196039</v>
      </c>
      <c r="R59" s="7">
        <f t="shared" ca="1" si="23"/>
        <v>-55.118188593857241</v>
      </c>
      <c r="S59" s="7">
        <f t="shared" ca="1" si="23"/>
        <v>-57.983425824874459</v>
      </c>
    </row>
    <row r="60" spans="2:20" x14ac:dyDescent="0.45">
      <c r="B60" s="14" t="s">
        <v>275</v>
      </c>
      <c r="E60" s="6">
        <f>+E59/E56*-1</f>
        <v>8.9481619146051225E-2</v>
      </c>
      <c r="F60" s="6">
        <f>+F59/F56*-1</f>
        <v>0.25984140202127248</v>
      </c>
      <c r="G60" s="6">
        <f>+G59/G56*-1</f>
        <v>0.26677500868928083</v>
      </c>
      <c r="H60" s="6">
        <f>+H59/H56*-1</f>
        <v>0.30041273584905659</v>
      </c>
      <c r="I60" s="6">
        <f>+I59/I56*-1</f>
        <v>0.24424347707609495</v>
      </c>
      <c r="J60" s="23">
        <f>+AVERAGE(E60:I60)</f>
        <v>0.23215084855635121</v>
      </c>
      <c r="K60" s="23">
        <f>+J60</f>
        <v>0.23215084855635121</v>
      </c>
      <c r="L60" s="23">
        <f t="shared" ref="L60:S60" si="24">+K60</f>
        <v>0.23215084855635121</v>
      </c>
      <c r="M60" s="23">
        <f t="shared" si="24"/>
        <v>0.23215084855635121</v>
      </c>
      <c r="N60" s="23">
        <f t="shared" si="24"/>
        <v>0.23215084855635121</v>
      </c>
      <c r="O60" s="23">
        <f t="shared" si="24"/>
        <v>0.23215084855635121</v>
      </c>
      <c r="P60" s="23">
        <f t="shared" si="24"/>
        <v>0.23215084855635121</v>
      </c>
      <c r="Q60" s="23">
        <f t="shared" si="24"/>
        <v>0.23215084855635121</v>
      </c>
      <c r="R60" s="23">
        <f t="shared" si="24"/>
        <v>0.23215084855635121</v>
      </c>
      <c r="S60" s="23">
        <f t="shared" si="24"/>
        <v>0.23215084855635121</v>
      </c>
    </row>
    <row r="61" spans="2:20" x14ac:dyDescent="0.45">
      <c r="B61" s="1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2:20" s="7" customFormat="1" x14ac:dyDescent="0.45">
      <c r="B62" s="86" t="s">
        <v>300</v>
      </c>
      <c r="C62" s="85"/>
      <c r="D62" s="85"/>
      <c r="E62" s="85">
        <f>+E56+E59</f>
        <v>96.025999999999996</v>
      </c>
      <c r="F62" s="85">
        <f t="shared" ref="F62:S62" si="25">+F56+F59</f>
        <v>78.217000000000027</v>
      </c>
      <c r="G62" s="85">
        <f t="shared" si="25"/>
        <v>78.053999999999959</v>
      </c>
      <c r="H62" s="85">
        <f t="shared" si="25"/>
        <v>83.055000000000007</v>
      </c>
      <c r="I62" s="85">
        <f t="shared" si="25"/>
        <v>88.750000000000071</v>
      </c>
      <c r="J62" s="85">
        <f t="shared" ca="1" si="25"/>
        <v>97.026284070068314</v>
      </c>
      <c r="K62" s="85">
        <f t="shared" ca="1" si="25"/>
        <v>115.5416329471396</v>
      </c>
      <c r="L62" s="85">
        <f t="shared" ca="1" si="25"/>
        <v>129.83071058505064</v>
      </c>
      <c r="M62" s="85">
        <f t="shared" ca="1" si="25"/>
        <v>140.95326041353837</v>
      </c>
      <c r="N62" s="85">
        <f t="shared" ca="1" si="25"/>
        <v>149.83772781128476</v>
      </c>
      <c r="O62" s="85">
        <f t="shared" ca="1" si="25"/>
        <v>157.73996796121597</v>
      </c>
      <c r="P62" s="85">
        <f t="shared" ca="1" si="25"/>
        <v>165.66272302784785</v>
      </c>
      <c r="Q62" s="85">
        <f t="shared" ca="1" si="25"/>
        <v>173.93029940237426</v>
      </c>
      <c r="R62" s="85">
        <f t="shared" ca="1" si="25"/>
        <v>182.30583521055331</v>
      </c>
      <c r="S62" s="85">
        <f t="shared" ca="1" si="25"/>
        <v>191.78273348683632</v>
      </c>
      <c r="T62" s="84"/>
    </row>
    <row r="63" spans="2:20" s="1" customFormat="1" x14ac:dyDescent="0.45">
      <c r="B63" s="1" t="s">
        <v>16</v>
      </c>
      <c r="E63" s="78">
        <f t="shared" ref="E63:S63" si="26">+E62/E$6</f>
        <v>0.22104618614415675</v>
      </c>
      <c r="F63" s="78">
        <f t="shared" si="26"/>
        <v>0.17784674852205554</v>
      </c>
      <c r="G63" s="78">
        <f t="shared" si="26"/>
        <v>0.18338290644074476</v>
      </c>
      <c r="H63" s="78">
        <f t="shared" si="26"/>
        <v>0.18353317098825725</v>
      </c>
      <c r="I63" s="78">
        <f t="shared" si="26"/>
        <v>0.17497234943999004</v>
      </c>
      <c r="J63" s="78">
        <f t="shared" ca="1" si="26"/>
        <v>0.18428971717077333</v>
      </c>
      <c r="K63" s="78">
        <f t="shared" ca="1" si="26"/>
        <v>0.19803585147038313</v>
      </c>
      <c r="L63" s="78">
        <f t="shared" ca="1" si="26"/>
        <v>0.19870767629289174</v>
      </c>
      <c r="M63" s="78">
        <f t="shared" ca="1" si="26"/>
        <v>0.19940792015209022</v>
      </c>
      <c r="N63" s="78">
        <f t="shared" ca="1" si="26"/>
        <v>0.19938031120743882</v>
      </c>
      <c r="O63" s="78">
        <f t="shared" ca="1" si="26"/>
        <v>0.19944575915598817</v>
      </c>
      <c r="P63" s="78">
        <f t="shared" ca="1" si="26"/>
        <v>0.19961219430639676</v>
      </c>
      <c r="Q63" s="78">
        <f t="shared" ca="1" si="26"/>
        <v>0.19987291917466038</v>
      </c>
      <c r="R63" s="78">
        <f t="shared" ca="1" si="26"/>
        <v>0.19990221895827529</v>
      </c>
      <c r="S63" s="78">
        <f t="shared" ca="1" si="26"/>
        <v>0.2003073544564459</v>
      </c>
    </row>
    <row r="64" spans="2:20" x14ac:dyDescent="0.45">
      <c r="B64" s="14"/>
    </row>
    <row r="65" spans="2:19" x14ac:dyDescent="0.45">
      <c r="B65" s="75" t="s">
        <v>268</v>
      </c>
      <c r="E65">
        <f>+E52*-1</f>
        <v>0</v>
      </c>
      <c r="F65">
        <f>+F52*-1</f>
        <v>0</v>
      </c>
      <c r="G65">
        <f>+G52*-1</f>
        <v>0</v>
      </c>
      <c r="H65">
        <f>+H52*-1</f>
        <v>-5.0750000000000002</v>
      </c>
      <c r="I65">
        <f>+I52*-1</f>
        <v>-7.4139999999999997</v>
      </c>
      <c r="J65">
        <f t="shared" ref="J65:S65" si="27">+J52*-1</f>
        <v>-5</v>
      </c>
      <c r="K65">
        <f t="shared" si="27"/>
        <v>-5</v>
      </c>
      <c r="L65">
        <f t="shared" si="27"/>
        <v>-5</v>
      </c>
      <c r="M65">
        <f t="shared" si="27"/>
        <v>-5</v>
      </c>
      <c r="N65">
        <f t="shared" si="27"/>
        <v>-5</v>
      </c>
      <c r="O65">
        <f t="shared" si="27"/>
        <v>-5</v>
      </c>
      <c r="P65">
        <f t="shared" si="27"/>
        <v>-5</v>
      </c>
      <c r="Q65">
        <f t="shared" si="27"/>
        <v>-5</v>
      </c>
      <c r="R65">
        <f t="shared" si="27"/>
        <v>-5</v>
      </c>
      <c r="S65">
        <f t="shared" si="27"/>
        <v>-5</v>
      </c>
    </row>
    <row r="66" spans="2:19" x14ac:dyDescent="0.45">
      <c r="B66" t="s">
        <v>269</v>
      </c>
      <c r="E66">
        <f>+E54*-1</f>
        <v>3.5509999999999993</v>
      </c>
      <c r="F66">
        <f t="shared" ref="F66:S66" si="28">+F54*-1</f>
        <v>8.266</v>
      </c>
      <c r="G66">
        <f t="shared" si="28"/>
        <v>-12.092000000000001</v>
      </c>
      <c r="H66">
        <f t="shared" si="28"/>
        <v>-1.2270000000000003</v>
      </c>
      <c r="I66">
        <f t="shared" si="28"/>
        <v>-8.038000000000002</v>
      </c>
      <c r="J66">
        <f t="shared" si="28"/>
        <v>-12.5</v>
      </c>
      <c r="K66">
        <f t="shared" si="28"/>
        <v>-5</v>
      </c>
      <c r="L66">
        <f t="shared" si="28"/>
        <v>-5</v>
      </c>
      <c r="M66">
        <f t="shared" si="28"/>
        <v>-5</v>
      </c>
      <c r="N66">
        <f t="shared" si="28"/>
        <v>-5</v>
      </c>
      <c r="O66">
        <f t="shared" si="28"/>
        <v>-5</v>
      </c>
      <c r="P66">
        <f t="shared" si="28"/>
        <v>-5</v>
      </c>
      <c r="Q66">
        <f t="shared" si="28"/>
        <v>-5</v>
      </c>
      <c r="R66">
        <f t="shared" si="28"/>
        <v>-5</v>
      </c>
      <c r="S66">
        <f t="shared" si="28"/>
        <v>-5</v>
      </c>
    </row>
    <row r="67" spans="2:19" x14ac:dyDescent="0.45">
      <c r="B67" t="s">
        <v>270</v>
      </c>
      <c r="E67">
        <f>+E55*-1</f>
        <v>-10.554</v>
      </c>
      <c r="F67">
        <f t="shared" ref="F67:S67" si="29">+F55*-1</f>
        <v>-1.661</v>
      </c>
      <c r="G67">
        <f t="shared" si="29"/>
        <v>-17.960999999999999</v>
      </c>
      <c r="H67">
        <f t="shared" si="29"/>
        <v>-8.6120000000000001</v>
      </c>
      <c r="I67">
        <f t="shared" si="29"/>
        <v>-6.2809999999999997</v>
      </c>
      <c r="J67">
        <f t="shared" si="29"/>
        <v>-2.5</v>
      </c>
      <c r="K67">
        <f t="shared" si="29"/>
        <v>-2.5</v>
      </c>
      <c r="L67">
        <f t="shared" si="29"/>
        <v>-2.5</v>
      </c>
      <c r="M67">
        <f t="shared" si="29"/>
        <v>-2.5</v>
      </c>
      <c r="N67">
        <f t="shared" si="29"/>
        <v>-2.5</v>
      </c>
      <c r="O67">
        <f t="shared" si="29"/>
        <v>-2.5</v>
      </c>
      <c r="P67">
        <f t="shared" si="29"/>
        <v>-2.5</v>
      </c>
      <c r="Q67">
        <f t="shared" si="29"/>
        <v>-2.5</v>
      </c>
      <c r="R67">
        <f t="shared" si="29"/>
        <v>-2.5</v>
      </c>
      <c r="S67">
        <f t="shared" si="29"/>
        <v>-2.5</v>
      </c>
    </row>
    <row r="68" spans="2:19" s="7" customFormat="1" x14ac:dyDescent="0.45">
      <c r="B68" s="43" t="s">
        <v>267</v>
      </c>
      <c r="C68" s="43"/>
      <c r="D68" s="43"/>
      <c r="E68" s="43">
        <f t="shared" ref="E68:S68" si="30">+E56+E65+E66+E67</f>
        <v>98.46</v>
      </c>
      <c r="F68" s="43">
        <f t="shared" si="30"/>
        <v>112.28100000000003</v>
      </c>
      <c r="G68" s="43">
        <f t="shared" si="30"/>
        <v>76.399999999999963</v>
      </c>
      <c r="H68" s="43">
        <f t="shared" si="30"/>
        <v>103.80600000000001</v>
      </c>
      <c r="I68" s="43">
        <f t="shared" si="30"/>
        <v>95.699000000000069</v>
      </c>
      <c r="J68" s="43">
        <f t="shared" ca="1" si="30"/>
        <v>106.3611269057825</v>
      </c>
      <c r="K68" s="43">
        <f t="shared" ca="1" si="30"/>
        <v>137.97439035376601</v>
      </c>
      <c r="L68" s="43">
        <f t="shared" ca="1" si="30"/>
        <v>156.58361537022381</v>
      </c>
      <c r="M68" s="43">
        <f t="shared" ca="1" si="30"/>
        <v>171.06894729717325</v>
      </c>
      <c r="N68" s="43">
        <f t="shared" ca="1" si="30"/>
        <v>182.6395368863426</v>
      </c>
      <c r="O68" s="43">
        <f t="shared" ca="1" si="30"/>
        <v>192.93093349083716</v>
      </c>
      <c r="P68" s="43">
        <f t="shared" ca="1" si="30"/>
        <v>203.24904747421024</v>
      </c>
      <c r="Q68" s="43">
        <f t="shared" ca="1" si="30"/>
        <v>214.01623574157031</v>
      </c>
      <c r="R68" s="43">
        <f t="shared" ca="1" si="30"/>
        <v>224.92402380441055</v>
      </c>
      <c r="S68" s="43">
        <f t="shared" ca="1" si="30"/>
        <v>237.26615931171079</v>
      </c>
    </row>
    <row r="69" spans="2:19" s="7" customFormat="1" x14ac:dyDescent="0.45">
      <c r="B69" s="1" t="s">
        <v>16</v>
      </c>
      <c r="E69" s="78">
        <f>+E68/E6</f>
        <v>0.22664911052999889</v>
      </c>
      <c r="F69" s="78">
        <f t="shared" ref="F69:S69" si="31">+F68/F6</f>
        <v>0.25530013642564808</v>
      </c>
      <c r="G69" s="78">
        <f t="shared" si="31"/>
        <v>0.17949693868440952</v>
      </c>
      <c r="H69" s="78">
        <f t="shared" si="31"/>
        <v>0.22938828905673389</v>
      </c>
      <c r="I69" s="78">
        <f t="shared" si="31"/>
        <v>0.18867243796121247</v>
      </c>
      <c r="J69" s="78">
        <f t="shared" ca="1" si="31"/>
        <v>0.20202012458063606</v>
      </c>
      <c r="K69" s="78">
        <f t="shared" ca="1" si="31"/>
        <v>0.23648511084585214</v>
      </c>
      <c r="L69" s="78">
        <f t="shared" ca="1" si="31"/>
        <v>0.23965336256381672</v>
      </c>
      <c r="M69" s="78">
        <f t="shared" ca="1" si="31"/>
        <v>0.24201286925222765</v>
      </c>
      <c r="N69" s="78">
        <f t="shared" ca="1" si="31"/>
        <v>0.2430277623339599</v>
      </c>
      <c r="O69" s="78">
        <f t="shared" ca="1" si="31"/>
        <v>0.24394106954690456</v>
      </c>
      <c r="P69" s="78">
        <f t="shared" ca="1" si="31"/>
        <v>0.24490113174218525</v>
      </c>
      <c r="Q69" s="78">
        <f t="shared" ca="1" si="31"/>
        <v>0.24593788394212368</v>
      </c>
      <c r="R69" s="78">
        <f t="shared" ca="1" si="31"/>
        <v>0.24663396760501932</v>
      </c>
      <c r="S69" s="78">
        <f t="shared" ca="1" si="31"/>
        <v>0.2478124897361135</v>
      </c>
    </row>
    <row r="70" spans="2:19" s="7" customFormat="1" x14ac:dyDescent="0.45"/>
    <row r="71" spans="2:19" s="7" customFormat="1" x14ac:dyDescent="0.45">
      <c r="B71" s="85" t="s">
        <v>274</v>
      </c>
      <c r="C71" s="85"/>
      <c r="D71" s="85"/>
      <c r="E71" s="85">
        <f>+E68*(1-E60)</f>
        <v>89.649639778879788</v>
      </c>
      <c r="F71" s="85">
        <f t="shared" ref="F71:S71" si="32">+F68*(1-F60)</f>
        <v>83.105747539649528</v>
      </c>
      <c r="G71" s="85">
        <f t="shared" si="32"/>
        <v>56.018389336138917</v>
      </c>
      <c r="H71" s="85">
        <f t="shared" si="32"/>
        <v>72.621355542452847</v>
      </c>
      <c r="I71" s="85">
        <f t="shared" si="32"/>
        <v>72.325143487294838</v>
      </c>
      <c r="J71" s="85">
        <f t="shared" ca="1" si="32"/>
        <v>81.669301041195325</v>
      </c>
      <c r="K71" s="85">
        <f t="shared" ca="1" si="32"/>
        <v>105.94351855409398</v>
      </c>
      <c r="L71" s="85">
        <f t="shared" ca="1" si="32"/>
        <v>120.23259619200503</v>
      </c>
      <c r="M71" s="85">
        <f t="shared" ca="1" si="32"/>
        <v>131.35514602049275</v>
      </c>
      <c r="N71" s="85">
        <f t="shared" ca="1" si="32"/>
        <v>140.23961341823914</v>
      </c>
      <c r="O71" s="85">
        <f t="shared" ca="1" si="32"/>
        <v>148.14185356817035</v>
      </c>
      <c r="P71" s="85">
        <f t="shared" ca="1" si="32"/>
        <v>156.06460863480223</v>
      </c>
      <c r="Q71" s="85">
        <f t="shared" ca="1" si="32"/>
        <v>164.33218500932864</v>
      </c>
      <c r="R71" s="85">
        <f t="shared" ca="1" si="32"/>
        <v>172.70772081750769</v>
      </c>
      <c r="S71" s="85">
        <f t="shared" ca="1" si="32"/>
        <v>182.1846190937907</v>
      </c>
    </row>
    <row r="72" spans="2:19" s="1" customFormat="1" x14ac:dyDescent="0.45">
      <c r="B72" s="1" t="s">
        <v>349</v>
      </c>
      <c r="E72" s="78">
        <f>+E71/E6</f>
        <v>0.20636818114176225</v>
      </c>
      <c r="F72" s="78">
        <f t="shared" ref="F72:S72" si="33">+F71/F6</f>
        <v>0.18896259104058555</v>
      </c>
      <c r="G72" s="78">
        <f t="shared" si="33"/>
        <v>0.13161164130717687</v>
      </c>
      <c r="H72" s="78">
        <f t="shared" si="33"/>
        <v>0.16047712556946628</v>
      </c>
      <c r="I72" s="78">
        <f t="shared" si="33"/>
        <v>0.1425904256851421</v>
      </c>
      <c r="J72" s="78">
        <f t="shared" ca="1" si="33"/>
        <v>0.1551209812337816</v>
      </c>
      <c r="K72" s="78">
        <f t="shared" ca="1" si="33"/>
        <v>0.18158489169204475</v>
      </c>
      <c r="L72" s="78">
        <f t="shared" ca="1" si="33"/>
        <v>0.18401763108524377</v>
      </c>
      <c r="M72" s="78">
        <f t="shared" ca="1" si="33"/>
        <v>0.1858293762937657</v>
      </c>
      <c r="N72" s="78">
        <f t="shared" ca="1" si="33"/>
        <v>0.18660866108537985</v>
      </c>
      <c r="O72" s="78">
        <f t="shared" ca="1" si="33"/>
        <v>0.18730994325384678</v>
      </c>
      <c r="P72" s="78">
        <f t="shared" ca="1" si="33"/>
        <v>0.1880471261958262</v>
      </c>
      <c r="Q72" s="78">
        <f t="shared" ca="1" si="33"/>
        <v>0.18884319549280623</v>
      </c>
      <c r="R72" s="78">
        <f t="shared" ca="1" si="33"/>
        <v>0.18937768274269445</v>
      </c>
      <c r="S72" s="78">
        <f t="shared" ca="1" si="33"/>
        <v>0.19028260996101265</v>
      </c>
    </row>
    <row r="74" spans="2:19" x14ac:dyDescent="0.45">
      <c r="B74" t="s">
        <v>329</v>
      </c>
      <c r="H74" s="29">
        <f>+'RevBuild Calcs'!H21</f>
        <v>32.195</v>
      </c>
      <c r="I74" s="29">
        <f>+'RevBuild Calcs'!I21</f>
        <v>28.106000000000002</v>
      </c>
      <c r="J74" s="29">
        <f>+'RevBuild Calcs'!J21</f>
        <v>26.010815999999998</v>
      </c>
      <c r="K74" s="29">
        <f>+'RevBuild Calcs'!K21</f>
        <v>24.97038336</v>
      </c>
      <c r="L74" s="29">
        <f>+'RevBuild Calcs'!L21</f>
        <v>23.9715680256</v>
      </c>
      <c r="M74" s="29">
        <f>+'RevBuild Calcs'!M21</f>
        <v>23.012705304575995</v>
      </c>
      <c r="N74" s="29">
        <f>+'RevBuild Calcs'!N21</f>
        <v>22.092197092392954</v>
      </c>
      <c r="O74" s="29">
        <f>+'RevBuild Calcs'!O21</f>
        <v>21.208509208697237</v>
      </c>
      <c r="P74" s="29">
        <f>+'RevBuild Calcs'!P21</f>
        <v>20.360168840349345</v>
      </c>
      <c r="Q74" s="29">
        <f>+'RevBuild Calcs'!Q21</f>
        <v>19.545762086735373</v>
      </c>
      <c r="R74" s="29">
        <f>+'RevBuild Calcs'!R21</f>
        <v>18.763931603265956</v>
      </c>
      <c r="S74" s="29">
        <f>+'RevBuild Calcs'!S21</f>
        <v>18.763931603265956</v>
      </c>
    </row>
    <row r="75" spans="2:19" x14ac:dyDescent="0.45">
      <c r="B75" t="s">
        <v>328</v>
      </c>
      <c r="H75" s="46">
        <v>-10</v>
      </c>
      <c r="I75" s="46">
        <v>-10</v>
      </c>
      <c r="J75" s="46">
        <v>-10</v>
      </c>
      <c r="K75" s="46">
        <v>-10</v>
      </c>
      <c r="L75" s="46">
        <v>-10</v>
      </c>
      <c r="M75" s="46">
        <v>-10</v>
      </c>
      <c r="N75" s="46">
        <v>-5</v>
      </c>
      <c r="O75" s="46">
        <v>-5</v>
      </c>
      <c r="P75" s="46">
        <v>-5</v>
      </c>
      <c r="Q75" s="46">
        <v>-5</v>
      </c>
      <c r="R75" s="46">
        <v>-5</v>
      </c>
      <c r="S75" s="46">
        <v>-5</v>
      </c>
    </row>
    <row r="76" spans="2:19" x14ac:dyDescent="0.45">
      <c r="B76" t="s">
        <v>325</v>
      </c>
      <c r="H76">
        <f>+H75+H74</f>
        <v>22.195</v>
      </c>
      <c r="I76">
        <f t="shared" ref="I76:S76" si="34">+I75+I74</f>
        <v>18.106000000000002</v>
      </c>
      <c r="J76">
        <f t="shared" si="34"/>
        <v>16.010815999999998</v>
      </c>
      <c r="K76">
        <f t="shared" si="34"/>
        <v>14.97038336</v>
      </c>
      <c r="L76">
        <f t="shared" si="34"/>
        <v>13.9715680256</v>
      </c>
      <c r="M76">
        <f t="shared" si="34"/>
        <v>13.012705304575995</v>
      </c>
      <c r="N76">
        <f t="shared" si="34"/>
        <v>17.092197092392954</v>
      </c>
      <c r="O76">
        <f t="shared" si="34"/>
        <v>16.208509208697237</v>
      </c>
      <c r="P76">
        <f t="shared" si="34"/>
        <v>15.360168840349345</v>
      </c>
      <c r="Q76">
        <f t="shared" si="34"/>
        <v>14.545762086735373</v>
      </c>
      <c r="R76">
        <f t="shared" si="34"/>
        <v>13.763931603265956</v>
      </c>
      <c r="S76">
        <f t="shared" si="34"/>
        <v>13.763931603265956</v>
      </c>
    </row>
  </sheetData>
  <pageMargins left="0.7" right="0.7" top="0.75" bottom="0.75" header="0.3" footer="0.3"/>
  <pageSetup paperSize="9" scale="2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0728-D0E4-453A-AA8F-4AC931B444CA}">
  <sheetPr>
    <tabColor theme="9" tint="0.79998168889431442"/>
  </sheetPr>
  <dimension ref="A1:S122"/>
  <sheetViews>
    <sheetView showGridLines="0" tabSelected="1" zoomScale="85" zoomScaleNormal="85" zoomScaleSheetLayoutView="85" workbookViewId="0">
      <pane xSplit="4" ySplit="3" topLeftCell="E35" activePane="bottomRight" state="frozen"/>
      <selection activeCell="B6" sqref="B6"/>
      <selection pane="topRight" activeCell="B6" sqref="B6"/>
      <selection pane="bottomLeft" activeCell="B6" sqref="B6"/>
      <selection pane="bottomRight" activeCell="I61" sqref="I61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3" spans="1:19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5" spans="1:19" x14ac:dyDescent="0.45">
      <c r="A5" t="s">
        <v>36</v>
      </c>
      <c r="B5" s="20" t="s">
        <v>62</v>
      </c>
    </row>
    <row r="6" spans="1:19" x14ac:dyDescent="0.45">
      <c r="B6" t="s">
        <v>63</v>
      </c>
      <c r="E6" s="4">
        <v>46.55</v>
      </c>
      <c r="F6" s="4">
        <v>39.999000000000002</v>
      </c>
      <c r="G6" s="4">
        <v>67.888999999999996</v>
      </c>
      <c r="H6" s="4">
        <v>78.430999999999997</v>
      </c>
      <c r="I6" s="4">
        <v>59.899000000000001</v>
      </c>
      <c r="J6" s="29">
        <f ca="1">+'Debt Calcs'!J70</f>
        <v>35</v>
      </c>
      <c r="K6" s="29">
        <f ca="1">+'Debt Calcs'!K70</f>
        <v>35</v>
      </c>
      <c r="L6" s="29">
        <f ca="1">+'Debt Calcs'!L70</f>
        <v>35</v>
      </c>
      <c r="M6" s="29">
        <f ca="1">+'Debt Calcs'!M70</f>
        <v>35</v>
      </c>
      <c r="N6" s="29">
        <f ca="1">+'Debt Calcs'!N70</f>
        <v>35</v>
      </c>
      <c r="O6" s="29">
        <f ca="1">+'Debt Calcs'!O70</f>
        <v>35</v>
      </c>
      <c r="P6" s="29">
        <f ca="1">+'Debt Calcs'!P70</f>
        <v>35</v>
      </c>
      <c r="Q6" s="29">
        <f ca="1">+'Debt Calcs'!Q70</f>
        <v>35</v>
      </c>
      <c r="R6" s="29">
        <f ca="1">+'Debt Calcs'!R70</f>
        <v>35</v>
      </c>
      <c r="S6" s="29">
        <f ca="1">+'Debt Calcs'!S70</f>
        <v>35</v>
      </c>
    </row>
    <row r="7" spans="1:19" x14ac:dyDescent="0.45">
      <c r="B7" t="s">
        <v>64</v>
      </c>
      <c r="E7" s="4">
        <v>0</v>
      </c>
      <c r="F7" s="4">
        <v>0</v>
      </c>
      <c r="G7" s="4">
        <v>16.637</v>
      </c>
      <c r="H7" s="4">
        <v>13.625999999999999</v>
      </c>
      <c r="I7" s="4">
        <v>8.8350000000000009</v>
      </c>
      <c r="J7" s="37">
        <f>+I7</f>
        <v>8.8350000000000009</v>
      </c>
      <c r="K7" s="4">
        <f t="shared" ref="K7:S7" si="1">+J7</f>
        <v>8.8350000000000009</v>
      </c>
      <c r="L7" s="4">
        <f t="shared" si="1"/>
        <v>8.8350000000000009</v>
      </c>
      <c r="M7" s="4">
        <f t="shared" si="1"/>
        <v>8.8350000000000009</v>
      </c>
      <c r="N7" s="4">
        <f t="shared" si="1"/>
        <v>8.8350000000000009</v>
      </c>
      <c r="O7" s="4">
        <f t="shared" si="1"/>
        <v>8.8350000000000009</v>
      </c>
      <c r="P7" s="4">
        <f t="shared" si="1"/>
        <v>8.8350000000000009</v>
      </c>
      <c r="Q7" s="4">
        <f t="shared" si="1"/>
        <v>8.8350000000000009</v>
      </c>
      <c r="R7" s="4">
        <f t="shared" si="1"/>
        <v>8.8350000000000009</v>
      </c>
      <c r="S7" s="4">
        <f t="shared" si="1"/>
        <v>8.8350000000000009</v>
      </c>
    </row>
    <row r="8" spans="1:19" x14ac:dyDescent="0.45">
      <c r="B8" t="s">
        <v>65</v>
      </c>
      <c r="E8" s="4">
        <v>251.53800000000001</v>
      </c>
      <c r="F8" s="4">
        <v>265.70999999999998</v>
      </c>
      <c r="G8" s="4">
        <v>200.21700000000001</v>
      </c>
      <c r="H8" s="4">
        <v>195.24</v>
      </c>
      <c r="I8" s="4">
        <v>249.66</v>
      </c>
      <c r="J8" s="29">
        <f>+'FS Calcs'!J15</f>
        <v>259.14230852070983</v>
      </c>
      <c r="K8" s="29">
        <f>+'FS Calcs'!K15</f>
        <v>287.17372987623753</v>
      </c>
      <c r="L8" s="29">
        <f>+'FS Calcs'!L15</f>
        <v>321.59761340488052</v>
      </c>
      <c r="M8" s="29">
        <f>+'FS Calcs'!M15</f>
        <v>347.92268809391516</v>
      </c>
      <c r="N8" s="29">
        <f>+'FS Calcs'!N15</f>
        <v>369.90392270687812</v>
      </c>
      <c r="O8" s="29">
        <f>+'FS Calcs'!O15</f>
        <v>389.28437261113822</v>
      </c>
      <c r="P8" s="29">
        <f>+'FS Calcs'!P15</f>
        <v>408.49594956309522</v>
      </c>
      <c r="Q8" s="29">
        <f>+'FS Calcs'!Q15</f>
        <v>428.32292230145987</v>
      </c>
      <c r="R8" s="29">
        <f>+'FS Calcs'!R15</f>
        <v>448.88281847473951</v>
      </c>
      <c r="S8" s="29">
        <f>+'FS Calcs'!S15</f>
        <v>471.26223334086251</v>
      </c>
    </row>
    <row r="9" spans="1:19" x14ac:dyDescent="0.45">
      <c r="B9" t="s">
        <v>66</v>
      </c>
      <c r="E9" s="4">
        <v>8.58</v>
      </c>
      <c r="F9" s="4">
        <v>7.1820000000000004</v>
      </c>
      <c r="G9" s="4">
        <v>8.7789999999999999</v>
      </c>
      <c r="H9" s="4">
        <v>6.1840000000000002</v>
      </c>
      <c r="I9" s="4">
        <v>8.5830000000000002</v>
      </c>
      <c r="J9" s="29">
        <f>+'FS Calcs'!J18</f>
        <v>8.5830000000000002</v>
      </c>
      <c r="K9" s="29">
        <f>+'FS Calcs'!K18</f>
        <v>8.5830000000000002</v>
      </c>
      <c r="L9" s="29">
        <f>+'FS Calcs'!L18</f>
        <v>8.5830000000000002</v>
      </c>
      <c r="M9" s="29">
        <f>+'FS Calcs'!M18</f>
        <v>8.5830000000000002</v>
      </c>
      <c r="N9" s="29">
        <f>+'FS Calcs'!N18</f>
        <v>8.5830000000000002</v>
      </c>
      <c r="O9" s="29">
        <f>+'FS Calcs'!O18</f>
        <v>8.5830000000000002</v>
      </c>
      <c r="P9" s="29">
        <f>+'FS Calcs'!P18</f>
        <v>8.5830000000000002</v>
      </c>
      <c r="Q9" s="29">
        <f>+'FS Calcs'!Q18</f>
        <v>8.5830000000000002</v>
      </c>
      <c r="R9" s="29">
        <f>+'FS Calcs'!R18</f>
        <v>8.5830000000000002</v>
      </c>
      <c r="S9" s="29">
        <f>+'FS Calcs'!S18</f>
        <v>8.5830000000000002</v>
      </c>
    </row>
    <row r="10" spans="1:19" x14ac:dyDescent="0.45">
      <c r="B10" t="s">
        <v>67</v>
      </c>
      <c r="E10" s="4">
        <v>186.00800000000001</v>
      </c>
      <c r="F10" s="4">
        <v>148.56100000000001</v>
      </c>
      <c r="G10" s="4">
        <v>140.548</v>
      </c>
      <c r="H10" s="4">
        <v>147.78299999999999</v>
      </c>
      <c r="I10" s="4">
        <v>163.56299999999999</v>
      </c>
      <c r="J10" s="29">
        <f>+'FS Calcs'!J35</f>
        <v>184.69614300000003</v>
      </c>
      <c r="K10" s="29">
        <f>+'FS Calcs'!K35</f>
        <v>210.72024708955504</v>
      </c>
      <c r="L10" s="29">
        <f>+'FS Calcs'!L35</f>
        <v>240.37204654657003</v>
      </c>
      <c r="M10" s="29">
        <f>+'FS Calcs'!M35</f>
        <v>268.89098262670564</v>
      </c>
      <c r="N10" s="29">
        <f>+'FS Calcs'!N35</f>
        <v>295.37913147694724</v>
      </c>
      <c r="O10" s="29">
        <f>+'FS Calcs'!O35</f>
        <v>320.56191802534482</v>
      </c>
      <c r="P10" s="29">
        <f>+'FS Calcs'!P35</f>
        <v>344.58461953348291</v>
      </c>
      <c r="Q10" s="29">
        <f>+'FS Calcs'!Q35</f>
        <v>367.40745741889299</v>
      </c>
      <c r="R10" s="29">
        <f>+'FS Calcs'!R35</f>
        <v>388.96553476807412</v>
      </c>
      <c r="S10" s="29">
        <f>+'FS Calcs'!S35</f>
        <v>408.99204112576365</v>
      </c>
    </row>
    <row r="11" spans="1:19" s="7" customFormat="1" x14ac:dyDescent="0.45">
      <c r="B11" s="7" t="s">
        <v>69</v>
      </c>
      <c r="E11" s="7">
        <f t="shared" ref="E11:S11" si="2">SUM(E6:E10)</f>
        <v>492.67600000000004</v>
      </c>
      <c r="F11" s="7">
        <f t="shared" si="2"/>
        <v>461.452</v>
      </c>
      <c r="G11" s="7">
        <f t="shared" si="2"/>
        <v>434.07</v>
      </c>
      <c r="H11" s="7">
        <f t="shared" si="2"/>
        <v>441.26400000000001</v>
      </c>
      <c r="I11" s="7">
        <f t="shared" si="2"/>
        <v>490.54</v>
      </c>
      <c r="J11" s="7">
        <f t="shared" ca="1" si="2"/>
        <v>496.2564515207099</v>
      </c>
      <c r="K11" s="7">
        <f t="shared" ca="1" si="2"/>
        <v>550.31197696579261</v>
      </c>
      <c r="L11" s="7">
        <f t="shared" ca="1" si="2"/>
        <v>614.38765995145059</v>
      </c>
      <c r="M11" s="7">
        <f t="shared" ca="1" si="2"/>
        <v>669.23167072062074</v>
      </c>
      <c r="N11" s="7">
        <f t="shared" ca="1" si="2"/>
        <v>717.70105418382536</v>
      </c>
      <c r="O11" s="7">
        <f t="shared" ca="1" si="2"/>
        <v>762.26429063648311</v>
      </c>
      <c r="P11" s="7">
        <f t="shared" ca="1" si="2"/>
        <v>805.49856909657819</v>
      </c>
      <c r="Q11" s="7">
        <f t="shared" ca="1" si="2"/>
        <v>848.14837972035286</v>
      </c>
      <c r="R11" s="7">
        <f t="shared" ca="1" si="2"/>
        <v>890.26635324281369</v>
      </c>
      <c r="S11" s="7">
        <f t="shared" ca="1" si="2"/>
        <v>932.67227446662616</v>
      </c>
    </row>
    <row r="13" spans="1:19" x14ac:dyDescent="0.45">
      <c r="B13" t="s">
        <v>156</v>
      </c>
      <c r="E13" s="4">
        <v>18.789000000000001</v>
      </c>
      <c r="F13" s="4">
        <v>14.318</v>
      </c>
      <c r="G13" s="4">
        <v>21.035</v>
      </c>
      <c r="H13" s="4">
        <v>51.997</v>
      </c>
      <c r="I13" s="4">
        <v>84.79</v>
      </c>
      <c r="J13" s="29">
        <f>+'FS Calcs'!J26</f>
        <v>88.010399501205583</v>
      </c>
      <c r="K13" s="29">
        <f>+'FS Calcs'!K26</f>
        <v>97.530483682633104</v>
      </c>
      <c r="L13" s="29">
        <f>+'FS Calcs'!L26</f>
        <v>109.22158792197318</v>
      </c>
      <c r="M13" s="29">
        <f>+'FS Calcs'!M26</f>
        <v>118.16215943075811</v>
      </c>
      <c r="N13" s="29">
        <f>+'FS Calcs'!N26</f>
        <v>125.62746778144758</v>
      </c>
      <c r="O13" s="29">
        <f>+'FS Calcs'!O26</f>
        <v>132.20949272489952</v>
      </c>
      <c r="P13" s="29">
        <f>+'FS Calcs'!P26</f>
        <v>138.73416471783565</v>
      </c>
      <c r="Q13" s="29">
        <f>+'FS Calcs'!Q26</f>
        <v>145.46783858824315</v>
      </c>
      <c r="R13" s="29">
        <f>+'FS Calcs'!R26</f>
        <v>152.4504292977376</v>
      </c>
      <c r="S13" s="29">
        <f>+'FS Calcs'!S26</f>
        <v>160.05096837687952</v>
      </c>
    </row>
    <row r="14" spans="1:19" x14ac:dyDescent="0.45">
      <c r="B14" t="s">
        <v>157</v>
      </c>
      <c r="E14" s="4">
        <v>147.08799999999999</v>
      </c>
      <c r="F14" s="4">
        <v>118.247</v>
      </c>
      <c r="G14" s="4">
        <v>109.07599999999999</v>
      </c>
      <c r="H14" s="4">
        <v>100.65300000000001</v>
      </c>
      <c r="I14" s="4">
        <v>92.731999999999999</v>
      </c>
      <c r="J14" s="29">
        <f>+'FS Calcs'!J46</f>
        <v>93.261755600000001</v>
      </c>
      <c r="K14" s="29">
        <f>+'FS Calcs'!K46</f>
        <v>94.930514775600003</v>
      </c>
      <c r="L14" s="29">
        <f>+'FS Calcs'!L46</f>
        <v>97.99802308803001</v>
      </c>
      <c r="M14" s="29">
        <f>+'FS Calcs'!M46</f>
        <v>102.13520081958973</v>
      </c>
      <c r="N14" s="29">
        <f>+'FS Calcs'!N46</f>
        <v>107.16554427766478</v>
      </c>
      <c r="O14" s="29">
        <f>+'FS Calcs'!O46</f>
        <v>112.98337551446197</v>
      </c>
      <c r="P14" s="29">
        <f>+'FS Calcs'!P46</f>
        <v>119.58183269825128</v>
      </c>
      <c r="Q14" s="29">
        <f>+'FS Calcs'!Q46</f>
        <v>126.98592126818747</v>
      </c>
      <c r="R14" s="29">
        <f>+'FS Calcs'!R46</f>
        <v>135.22542217623945</v>
      </c>
      <c r="S14" s="29">
        <f>+'FS Calcs'!S46</f>
        <v>144.37426810925655</v>
      </c>
    </row>
    <row r="15" spans="1:19" x14ac:dyDescent="0.45">
      <c r="B15" t="s">
        <v>70</v>
      </c>
      <c r="E15" s="4">
        <v>30.436</v>
      </c>
      <c r="F15" s="4">
        <v>19.352</v>
      </c>
      <c r="G15" s="4">
        <v>54.244999999999997</v>
      </c>
      <c r="H15" s="4">
        <v>47.228999999999999</v>
      </c>
      <c r="I15" s="4">
        <v>39.286999999999999</v>
      </c>
      <c r="J15" s="29">
        <f>+'FS Calcs'!J56</f>
        <v>31.389683300000002</v>
      </c>
      <c r="K15" s="29">
        <f>+'FS Calcs'!K56</f>
        <v>27.013898609150004</v>
      </c>
      <c r="L15" s="29">
        <f>+'FS Calcs'!L56</f>
        <v>24.563740800569377</v>
      </c>
      <c r="M15" s="29">
        <f>+'FS Calcs'!M56</f>
        <v>24.563740800569374</v>
      </c>
      <c r="N15" s="29">
        <f>+'FS Calcs'!N56</f>
        <v>24.563740800569377</v>
      </c>
      <c r="O15" s="29">
        <f>+'FS Calcs'!O56</f>
        <v>24.563740800569377</v>
      </c>
      <c r="P15" s="29">
        <f>+'FS Calcs'!P56</f>
        <v>24.563740800569377</v>
      </c>
      <c r="Q15" s="29">
        <f>+'FS Calcs'!Q56</f>
        <v>24.563740800569377</v>
      </c>
      <c r="R15" s="29">
        <f>+'FS Calcs'!R56</f>
        <v>24.563740800569377</v>
      </c>
      <c r="S15" s="29">
        <f>+'FS Calcs'!S56</f>
        <v>24.563740800569381</v>
      </c>
    </row>
    <row r="16" spans="1:19" x14ac:dyDescent="0.45">
      <c r="B16" t="s">
        <v>83</v>
      </c>
      <c r="E16" s="5"/>
      <c r="F16" s="5"/>
      <c r="G16" s="5"/>
      <c r="H16" s="5"/>
      <c r="I16" s="4">
        <v>8.8450000000000006</v>
      </c>
      <c r="J16" s="37">
        <f>+I16</f>
        <v>8.8450000000000006</v>
      </c>
      <c r="K16" s="4">
        <f t="shared" ref="K16:S16" si="3">+J16</f>
        <v>8.8450000000000006</v>
      </c>
      <c r="L16" s="4">
        <f t="shared" si="3"/>
        <v>8.8450000000000006</v>
      </c>
      <c r="M16" s="4">
        <f t="shared" si="3"/>
        <v>8.8450000000000006</v>
      </c>
      <c r="N16" s="4">
        <f t="shared" si="3"/>
        <v>8.8450000000000006</v>
      </c>
      <c r="O16" s="4">
        <f t="shared" si="3"/>
        <v>8.8450000000000006</v>
      </c>
      <c r="P16" s="4">
        <f t="shared" si="3"/>
        <v>8.8450000000000006</v>
      </c>
      <c r="Q16" s="4">
        <f t="shared" si="3"/>
        <v>8.8450000000000006</v>
      </c>
      <c r="R16" s="4">
        <f t="shared" si="3"/>
        <v>8.8450000000000006</v>
      </c>
      <c r="S16" s="4">
        <f t="shared" si="3"/>
        <v>8.8450000000000006</v>
      </c>
    </row>
    <row r="17" spans="2:19" x14ac:dyDescent="0.45">
      <c r="B17" t="s">
        <v>71</v>
      </c>
      <c r="E17" s="4">
        <v>546.99699999999996</v>
      </c>
      <c r="F17" s="4">
        <v>465.83199999999999</v>
      </c>
      <c r="G17" s="4">
        <v>472.53100000000001</v>
      </c>
      <c r="H17" s="4">
        <v>433.59500000000003</v>
      </c>
      <c r="I17" s="4">
        <v>448.947</v>
      </c>
      <c r="J17" s="29">
        <f>+'FS Calcs'!J67</f>
        <v>443.68212219999998</v>
      </c>
      <c r="K17" s="29">
        <f>+'FS Calcs'!K67</f>
        <v>438.6812254104571</v>
      </c>
      <c r="L17" s="29">
        <f>+'FS Calcs'!L67</f>
        <v>434.01425815601783</v>
      </c>
      <c r="M17" s="29">
        <f>+'FS Calcs'!M67</f>
        <v>429.97506451842935</v>
      </c>
      <c r="N17" s="29">
        <f>+'FS Calcs'!N67</f>
        <v>426.75427663455611</v>
      </c>
      <c r="O17" s="29">
        <f>+'FS Calcs'!O67</f>
        <v>424.49458645787081</v>
      </c>
      <c r="P17" s="29">
        <f>+'FS Calcs'!P67</f>
        <v>423.30898237331445</v>
      </c>
      <c r="Q17" s="29">
        <f>+'FS Calcs'!Q67</f>
        <v>423.30898237331445</v>
      </c>
      <c r="R17" s="29">
        <f>+'FS Calcs'!R67</f>
        <v>423.30898237331445</v>
      </c>
      <c r="S17" s="29">
        <f>+'FS Calcs'!S67</f>
        <v>423.30898237331445</v>
      </c>
    </row>
    <row r="18" spans="2:19" x14ac:dyDescent="0.45">
      <c r="B18" t="s">
        <v>72</v>
      </c>
      <c r="E18" s="4">
        <v>240.80600000000001</v>
      </c>
      <c r="F18" s="4">
        <v>239.75399999999999</v>
      </c>
      <c r="G18" s="4">
        <v>55.344000000000001</v>
      </c>
      <c r="H18" s="4">
        <v>53.164000000000001</v>
      </c>
      <c r="I18" s="4">
        <v>54.033000000000001</v>
      </c>
      <c r="J18" s="37">
        <f t="shared" ref="J18:S18" si="4">+I18</f>
        <v>54.033000000000001</v>
      </c>
      <c r="K18" s="4">
        <f t="shared" si="4"/>
        <v>54.033000000000001</v>
      </c>
      <c r="L18" s="4">
        <f t="shared" si="4"/>
        <v>54.033000000000001</v>
      </c>
      <c r="M18" s="4">
        <f t="shared" si="4"/>
        <v>54.033000000000001</v>
      </c>
      <c r="N18" s="4">
        <f t="shared" si="4"/>
        <v>54.033000000000001</v>
      </c>
      <c r="O18" s="4">
        <f t="shared" si="4"/>
        <v>54.033000000000001</v>
      </c>
      <c r="P18" s="4">
        <f t="shared" si="4"/>
        <v>54.033000000000001</v>
      </c>
      <c r="Q18" s="4">
        <f t="shared" si="4"/>
        <v>54.033000000000001</v>
      </c>
      <c r="R18" s="4">
        <f t="shared" si="4"/>
        <v>54.033000000000001</v>
      </c>
      <c r="S18" s="4">
        <f t="shared" si="4"/>
        <v>54.033000000000001</v>
      </c>
    </row>
    <row r="19" spans="2:19" s="7" customFormat="1" x14ac:dyDescent="0.45">
      <c r="B19" s="7" t="s">
        <v>73</v>
      </c>
      <c r="E19" s="7">
        <f>+SUM(E13:E18,E11)</f>
        <v>1476.7919999999999</v>
      </c>
      <c r="F19" s="7">
        <f t="shared" ref="F19:S19" si="5">+SUM(F13:F18,F11)</f>
        <v>1318.9549999999999</v>
      </c>
      <c r="G19" s="7">
        <f t="shared" si="5"/>
        <v>1146.3009999999999</v>
      </c>
      <c r="H19" s="7">
        <f t="shared" si="5"/>
        <v>1127.902</v>
      </c>
      <c r="I19" s="7">
        <f t="shared" si="5"/>
        <v>1219.174</v>
      </c>
      <c r="J19" s="7">
        <f t="shared" ca="1" si="5"/>
        <v>1215.4784121219154</v>
      </c>
      <c r="K19" s="7">
        <f t="shared" ca="1" si="5"/>
        <v>1271.3460994436327</v>
      </c>
      <c r="L19" s="7">
        <f t="shared" ca="1" si="5"/>
        <v>1343.063269918041</v>
      </c>
      <c r="M19" s="7">
        <f t="shared" ca="1" si="5"/>
        <v>1406.9458362899672</v>
      </c>
      <c r="N19" s="7">
        <f t="shared" ca="1" si="5"/>
        <v>1464.6900836780633</v>
      </c>
      <c r="O19" s="7">
        <f t="shared" ca="1" si="5"/>
        <v>1519.3934861342848</v>
      </c>
      <c r="P19" s="7">
        <f t="shared" ca="1" si="5"/>
        <v>1574.565289686549</v>
      </c>
      <c r="Q19" s="7">
        <f t="shared" ca="1" si="5"/>
        <v>1631.3528627506673</v>
      </c>
      <c r="R19" s="7">
        <f t="shared" ca="1" si="5"/>
        <v>1688.6929278906746</v>
      </c>
      <c r="S19" s="7">
        <f t="shared" ca="1" si="5"/>
        <v>1747.8482341266463</v>
      </c>
    </row>
    <row r="21" spans="2:19" x14ac:dyDescent="0.45">
      <c r="B21" t="s">
        <v>74</v>
      </c>
      <c r="E21" s="4">
        <v>16.350000000000001</v>
      </c>
      <c r="F21" s="4">
        <v>0</v>
      </c>
      <c r="G21" s="4">
        <v>10</v>
      </c>
      <c r="H21" s="4">
        <v>0</v>
      </c>
      <c r="I21" s="4">
        <v>9.0869999999999997</v>
      </c>
      <c r="J21" s="29">
        <f ca="1">+'Debt Calcs'!J7</f>
        <v>40.509</v>
      </c>
      <c r="K21" s="29">
        <f ca="1">+'Debt Calcs'!K7</f>
        <v>40.509</v>
      </c>
      <c r="L21" s="29">
        <f ca="1">+'Debt Calcs'!L7</f>
        <v>40.509</v>
      </c>
      <c r="M21" s="29">
        <f ca="1">+'Debt Calcs'!M7</f>
        <v>40.509</v>
      </c>
      <c r="N21" s="29">
        <f ca="1">+'Debt Calcs'!N7</f>
        <v>40.509</v>
      </c>
      <c r="O21" s="29">
        <f ca="1">+'Debt Calcs'!O7</f>
        <v>40.509</v>
      </c>
      <c r="P21" s="29">
        <f ca="1">+'Debt Calcs'!P7</f>
        <v>40.509</v>
      </c>
      <c r="Q21" s="29">
        <f ca="1">+'Debt Calcs'!Q7</f>
        <v>40.509</v>
      </c>
      <c r="R21" s="29">
        <f ca="1">+'Debt Calcs'!R7</f>
        <v>39.854767136393519</v>
      </c>
      <c r="S21" s="29">
        <f ca="1">+'Debt Calcs'!S7</f>
        <v>34.270083028724507</v>
      </c>
    </row>
    <row r="22" spans="2:19" x14ac:dyDescent="0.45">
      <c r="B22" t="s">
        <v>78</v>
      </c>
      <c r="E22" s="4">
        <v>130.54499999999999</v>
      </c>
      <c r="F22" s="4">
        <v>103.48699999999999</v>
      </c>
      <c r="G22" s="4">
        <v>98.927000000000007</v>
      </c>
      <c r="H22" s="4">
        <v>130.29900000000001</v>
      </c>
      <c r="I22" s="4">
        <v>180.95599999999999</v>
      </c>
      <c r="J22" s="29">
        <f>+'FS Calcs'!J20</f>
        <v>193.76872266401546</v>
      </c>
      <c r="K22" s="29">
        <f>+'FS Calcs'!K20</f>
        <v>212.2151679728488</v>
      </c>
      <c r="L22" s="29">
        <f>+'FS Calcs'!L20</f>
        <v>238.58738692368601</v>
      </c>
      <c r="M22" s="29">
        <f>+'FS Calcs'!M20</f>
        <v>258.80070681901162</v>
      </c>
      <c r="N22" s="29">
        <f>+'FS Calcs'!N20</f>
        <v>275.70670896420779</v>
      </c>
      <c r="O22" s="29">
        <f>+'FS Calcs'!O20</f>
        <v>290.62928186451688</v>
      </c>
      <c r="P22" s="29">
        <f>+'FS Calcs'!P20</f>
        <v>305.41535928679644</v>
      </c>
      <c r="Q22" s="29">
        <f>+'FS Calcs'!Q20</f>
        <v>320.66077966341425</v>
      </c>
      <c r="R22" s="29">
        <f>+'FS Calcs'!R20</f>
        <v>336.4551010818542</v>
      </c>
      <c r="S22" s="29">
        <f>+'FS Calcs'!S20</f>
        <v>353.44814681757975</v>
      </c>
    </row>
    <row r="23" spans="2:19" x14ac:dyDescent="0.45">
      <c r="B23" t="s">
        <v>79</v>
      </c>
      <c r="E23" s="4">
        <v>47.552</v>
      </c>
      <c r="F23" s="4">
        <v>64.299000000000007</v>
      </c>
      <c r="G23" s="4">
        <v>48.371000000000002</v>
      </c>
      <c r="H23" s="4">
        <v>42.003999999999998</v>
      </c>
      <c r="I23" s="4">
        <v>58.116</v>
      </c>
      <c r="J23" s="29">
        <f>+'FS Calcs'!J23</f>
        <v>52.648777999999993</v>
      </c>
      <c r="K23" s="29">
        <f>+'FS Calcs'!K23</f>
        <v>58.343795878000009</v>
      </c>
      <c r="L23" s="29">
        <f>+'FS Calcs'!L23</f>
        <v>65.337541562150008</v>
      </c>
      <c r="M23" s="29">
        <f>+'FS Calcs'!M23</f>
        <v>70.685888657798571</v>
      </c>
      <c r="N23" s="29">
        <f>+'FS Calcs'!N23</f>
        <v>75.151717290375245</v>
      </c>
      <c r="O23" s="29">
        <f>+'FS Calcs'!O23</f>
        <v>79.089156183985963</v>
      </c>
      <c r="P23" s="29">
        <f>+'FS Calcs'!P23</f>
        <v>82.992285918946507</v>
      </c>
      <c r="Q23" s="29">
        <f>+'FS Calcs'!Q23</f>
        <v>87.020442849680919</v>
      </c>
      <c r="R23" s="29">
        <f>+'FS Calcs'!R23</f>
        <v>91.197504540259871</v>
      </c>
      <c r="S23" s="29">
        <f>+'FS Calcs'!S23</f>
        <v>95.744229665085442</v>
      </c>
    </row>
    <row r="24" spans="2:19" x14ac:dyDescent="0.45">
      <c r="B24" t="s">
        <v>77</v>
      </c>
      <c r="E24" s="4">
        <v>93.683000000000007</v>
      </c>
      <c r="F24" s="4">
        <v>92.447999999999993</v>
      </c>
      <c r="G24" s="4">
        <v>66.688000000000002</v>
      </c>
      <c r="H24" s="4">
        <v>65.403000000000006</v>
      </c>
      <c r="I24" s="4">
        <v>84.234999999999999</v>
      </c>
      <c r="J24" s="29">
        <f ca="1">+'Debt Calcs'!J8</f>
        <v>85.268709630557538</v>
      </c>
      <c r="K24" s="29">
        <f ca="1">+'Debt Calcs'!K8</f>
        <v>90</v>
      </c>
      <c r="L24" s="29">
        <f ca="1">+'Debt Calcs'!L8</f>
        <v>90</v>
      </c>
      <c r="M24" s="29">
        <f ca="1">+'Debt Calcs'!M8</f>
        <v>90</v>
      </c>
      <c r="N24" s="29">
        <f ca="1">+'Debt Calcs'!N8</f>
        <v>90</v>
      </c>
      <c r="O24" s="29">
        <f ca="1">+'Debt Calcs'!O8</f>
        <v>90</v>
      </c>
      <c r="P24" s="29">
        <f ca="1">+'Debt Calcs'!P8</f>
        <v>90</v>
      </c>
      <c r="Q24" s="29">
        <f ca="1">+'Debt Calcs'!Q8</f>
        <v>90</v>
      </c>
      <c r="R24" s="29">
        <f ca="1">+'Debt Calcs'!R8</f>
        <v>90</v>
      </c>
      <c r="S24" s="29">
        <f ca="1">+'Debt Calcs'!S8</f>
        <v>90</v>
      </c>
    </row>
    <row r="25" spans="2:19" x14ac:dyDescent="0.45">
      <c r="B25" t="s">
        <v>76</v>
      </c>
      <c r="E25" s="4">
        <v>0</v>
      </c>
      <c r="F25" s="4">
        <v>0</v>
      </c>
      <c r="G25" s="4">
        <v>9.2739999999999991</v>
      </c>
      <c r="H25" s="4">
        <v>9.4280000000000008</v>
      </c>
      <c r="I25" s="4">
        <v>10.183</v>
      </c>
      <c r="J25" s="29">
        <f>+'Debt Calcs'!J9</f>
        <v>0</v>
      </c>
      <c r="K25" s="29">
        <f>+'Debt Calcs'!K9</f>
        <v>0</v>
      </c>
      <c r="L25" s="29">
        <f>+'Debt Calcs'!L9</f>
        <v>0</v>
      </c>
      <c r="M25" s="29">
        <f>+'Debt Calcs'!M9</f>
        <v>0</v>
      </c>
      <c r="N25" s="29">
        <f>+'Debt Calcs'!N9</f>
        <v>0</v>
      </c>
      <c r="O25" s="29">
        <f>+'Debt Calcs'!O9</f>
        <v>0</v>
      </c>
      <c r="P25" s="29">
        <f>+'Debt Calcs'!P9</f>
        <v>0</v>
      </c>
      <c r="Q25" s="29">
        <f>+'Debt Calcs'!Q9</f>
        <v>0</v>
      </c>
      <c r="R25" s="29">
        <f>+'Debt Calcs'!R9</f>
        <v>0</v>
      </c>
      <c r="S25" s="29">
        <f>+'Debt Calcs'!S9</f>
        <v>0</v>
      </c>
    </row>
    <row r="26" spans="2:19" x14ac:dyDescent="0.45">
      <c r="B26" t="s">
        <v>75</v>
      </c>
      <c r="E26" s="4">
        <v>10.523999999999999</v>
      </c>
      <c r="F26" s="4">
        <v>11.007</v>
      </c>
      <c r="G26" s="4">
        <v>0</v>
      </c>
      <c r="H26" s="4">
        <v>3.532</v>
      </c>
      <c r="I26" s="4">
        <v>26.335000000000001</v>
      </c>
      <c r="J26" s="29">
        <f>+'Debt Calcs'!J10</f>
        <v>0</v>
      </c>
      <c r="K26" s="29">
        <f>+'Debt Calcs'!K10</f>
        <v>0</v>
      </c>
      <c r="L26" s="29">
        <f>+'Debt Calcs'!L10</f>
        <v>0</v>
      </c>
      <c r="M26" s="29">
        <f>+'Debt Calcs'!M10</f>
        <v>0</v>
      </c>
      <c r="N26" s="29">
        <f>+'Debt Calcs'!N10</f>
        <v>0</v>
      </c>
      <c r="O26" s="29">
        <f>+'Debt Calcs'!O10</f>
        <v>0</v>
      </c>
      <c r="P26" s="29">
        <f>+'Debt Calcs'!P10</f>
        <v>0</v>
      </c>
      <c r="Q26" s="29">
        <f>+'Debt Calcs'!Q10</f>
        <v>0</v>
      </c>
      <c r="R26" s="29">
        <f>+'Debt Calcs'!R10</f>
        <v>0</v>
      </c>
      <c r="S26" s="29">
        <f>+'Debt Calcs'!S10</f>
        <v>0</v>
      </c>
    </row>
    <row r="27" spans="2:19" s="7" customFormat="1" x14ac:dyDescent="0.45">
      <c r="B27" s="7" t="s">
        <v>80</v>
      </c>
      <c r="E27" s="7">
        <f t="shared" ref="E27:S27" si="6">SUM(E21:E26)</f>
        <v>298.654</v>
      </c>
      <c r="F27" s="7">
        <f t="shared" si="6"/>
        <v>271.24099999999999</v>
      </c>
      <c r="G27" s="7">
        <f t="shared" si="6"/>
        <v>233.26</v>
      </c>
      <c r="H27" s="7">
        <f t="shared" si="6"/>
        <v>250.66600000000003</v>
      </c>
      <c r="I27" s="7">
        <f t="shared" si="6"/>
        <v>368.91199999999998</v>
      </c>
      <c r="J27" s="7">
        <f t="shared" ca="1" si="6"/>
        <v>372.19521029457303</v>
      </c>
      <c r="K27" s="7">
        <f t="shared" ca="1" si="6"/>
        <v>401.06796385084886</v>
      </c>
      <c r="L27" s="7">
        <f t="shared" ca="1" si="6"/>
        <v>434.43392848583602</v>
      </c>
      <c r="M27" s="7">
        <f t="shared" ca="1" si="6"/>
        <v>459.99559547681019</v>
      </c>
      <c r="N27" s="7">
        <f t="shared" ca="1" si="6"/>
        <v>481.36742625458305</v>
      </c>
      <c r="O27" s="7">
        <f t="shared" ca="1" si="6"/>
        <v>500.22743804850285</v>
      </c>
      <c r="P27" s="7">
        <f t="shared" ca="1" si="6"/>
        <v>518.91664520574295</v>
      </c>
      <c r="Q27" s="7">
        <f t="shared" ca="1" si="6"/>
        <v>538.19022251309525</v>
      </c>
      <c r="R27" s="7">
        <f t="shared" ca="1" si="6"/>
        <v>557.50737275850759</v>
      </c>
      <c r="S27" s="7">
        <f t="shared" ca="1" si="6"/>
        <v>573.46245951138974</v>
      </c>
    </row>
    <row r="29" spans="2:19" x14ac:dyDescent="0.45">
      <c r="B29" t="s">
        <v>81</v>
      </c>
      <c r="E29" s="4">
        <v>746.04600000000005</v>
      </c>
      <c r="F29" s="4">
        <v>523.06100000000004</v>
      </c>
      <c r="G29" s="4">
        <v>502.00599999999997</v>
      </c>
      <c r="H29" s="4">
        <v>478.86200000000002</v>
      </c>
      <c r="I29" s="4">
        <v>477.80399999999997</v>
      </c>
      <c r="J29" s="29">
        <f ca="1">+'Debt Calcs'!J13</f>
        <v>477.80399999999997</v>
      </c>
      <c r="K29" s="29">
        <f ca="1">+'Debt Calcs'!K13</f>
        <v>504.93736841585167</v>
      </c>
      <c r="L29" s="29">
        <f ca="1">+'Debt Calcs'!L13</f>
        <v>534.94309982550146</v>
      </c>
      <c r="M29" s="29">
        <f ca="1">+'Debt Calcs'!M13</f>
        <v>557.81034528584701</v>
      </c>
      <c r="N29" s="29">
        <f ca="1">+'Debt Calcs'!N13</f>
        <v>574.10169300303119</v>
      </c>
      <c r="O29" s="29">
        <f ca="1">+'Debt Calcs'!O13</f>
        <v>585.59967084384346</v>
      </c>
      <c r="P29" s="29">
        <f ca="1">+'Debt Calcs'!P13</f>
        <v>593.27101012835158</v>
      </c>
      <c r="Q29" s="29">
        <f ca="1">+'Debt Calcs'!Q13</f>
        <v>597.12071956812167</v>
      </c>
      <c r="R29" s="29">
        <f ca="1">+'Debt Calcs'!R13</f>
        <v>597.12071934249116</v>
      </c>
      <c r="S29" s="29">
        <f ca="1">+'Debt Calcs'!S13</f>
        <v>597.12072003529647</v>
      </c>
    </row>
    <row r="30" spans="2:19" x14ac:dyDescent="0.45">
      <c r="B30" t="s">
        <v>82</v>
      </c>
      <c r="E30" s="4">
        <v>0</v>
      </c>
      <c r="F30" s="4">
        <v>0</v>
      </c>
      <c r="G30" s="4">
        <v>41.552</v>
      </c>
      <c r="H30" s="4">
        <v>34.406999999999996</v>
      </c>
      <c r="I30" s="4">
        <v>26.056000000000001</v>
      </c>
      <c r="J30" s="29">
        <f>+'Debt Calcs'!J14</f>
        <v>36.239000000000004</v>
      </c>
      <c r="K30" s="29">
        <f>+'Debt Calcs'!K14</f>
        <v>36.239000000000004</v>
      </c>
      <c r="L30" s="29">
        <f>+'Debt Calcs'!L14</f>
        <v>36.239000000000004</v>
      </c>
      <c r="M30" s="29">
        <f>+'Debt Calcs'!M14</f>
        <v>36.239000000000004</v>
      </c>
      <c r="N30" s="29">
        <f>+'Debt Calcs'!N14</f>
        <v>36.239000000000004</v>
      </c>
      <c r="O30" s="29">
        <f>+'Debt Calcs'!O14</f>
        <v>36.239000000000004</v>
      </c>
      <c r="P30" s="29">
        <f>+'Debt Calcs'!P14</f>
        <v>36.239000000000004</v>
      </c>
      <c r="Q30" s="29">
        <f>+'Debt Calcs'!Q14</f>
        <v>36.239000000000004</v>
      </c>
      <c r="R30" s="29">
        <f>+'Debt Calcs'!R14</f>
        <v>36.239000000000004</v>
      </c>
      <c r="S30" s="29">
        <f>+'Debt Calcs'!S14</f>
        <v>36.239000000000004</v>
      </c>
    </row>
    <row r="31" spans="2:19" x14ac:dyDescent="0.45">
      <c r="B31" t="s">
        <v>68</v>
      </c>
      <c r="E31" s="4">
        <v>17.678999999999998</v>
      </c>
      <c r="F31" s="4">
        <v>16.405999999999999</v>
      </c>
      <c r="G31" s="4">
        <v>18.260999999999999</v>
      </c>
      <c r="H31" s="4">
        <v>10.327999999999999</v>
      </c>
      <c r="I31" s="4">
        <v>7.7610000000000001</v>
      </c>
      <c r="J31" s="37">
        <f t="shared" ref="J31:S31" si="7">+I31</f>
        <v>7.7610000000000001</v>
      </c>
      <c r="K31" s="4">
        <f t="shared" si="7"/>
        <v>7.7610000000000001</v>
      </c>
      <c r="L31" s="4">
        <f t="shared" si="7"/>
        <v>7.7610000000000001</v>
      </c>
      <c r="M31" s="4">
        <f t="shared" si="7"/>
        <v>7.7610000000000001</v>
      </c>
      <c r="N31" s="4">
        <f t="shared" si="7"/>
        <v>7.7610000000000001</v>
      </c>
      <c r="O31" s="4">
        <f t="shared" si="7"/>
        <v>7.7610000000000001</v>
      </c>
      <c r="P31" s="4">
        <f t="shared" si="7"/>
        <v>7.7610000000000001</v>
      </c>
      <c r="Q31" s="4">
        <f t="shared" si="7"/>
        <v>7.7610000000000001</v>
      </c>
      <c r="R31" s="4">
        <f t="shared" si="7"/>
        <v>7.7610000000000001</v>
      </c>
      <c r="S31" s="4">
        <f t="shared" si="7"/>
        <v>7.7610000000000001</v>
      </c>
    </row>
    <row r="32" spans="2:19" x14ac:dyDescent="0.45">
      <c r="B32" t="s">
        <v>84</v>
      </c>
      <c r="E32" s="4">
        <v>13.621</v>
      </c>
      <c r="F32" s="4">
        <v>8.2690000000000001</v>
      </c>
      <c r="G32" s="4">
        <v>9.7360000000000007</v>
      </c>
      <c r="H32" s="4">
        <v>50.725999999999999</v>
      </c>
      <c r="I32" s="4">
        <v>23.238</v>
      </c>
      <c r="J32" s="37">
        <f>+I32</f>
        <v>23.238</v>
      </c>
      <c r="K32" s="4">
        <f t="shared" ref="K32:S32" si="8">+J32</f>
        <v>23.238</v>
      </c>
      <c r="L32" s="4">
        <f t="shared" si="8"/>
        <v>23.238</v>
      </c>
      <c r="M32" s="4">
        <f t="shared" si="8"/>
        <v>23.238</v>
      </c>
      <c r="N32" s="4">
        <f t="shared" si="8"/>
        <v>23.238</v>
      </c>
      <c r="O32" s="4">
        <f t="shared" si="8"/>
        <v>23.238</v>
      </c>
      <c r="P32" s="4">
        <f t="shared" si="8"/>
        <v>23.238</v>
      </c>
      <c r="Q32" s="4">
        <f t="shared" si="8"/>
        <v>23.238</v>
      </c>
      <c r="R32" s="4">
        <f t="shared" si="8"/>
        <v>23.238</v>
      </c>
      <c r="S32" s="4">
        <f t="shared" si="8"/>
        <v>23.238</v>
      </c>
    </row>
    <row r="33" spans="2:19" s="7" customFormat="1" x14ac:dyDescent="0.45">
      <c r="B33" s="7" t="s">
        <v>85</v>
      </c>
      <c r="E33" s="7">
        <f>+SUM(E29:E32,E27)</f>
        <v>1076</v>
      </c>
      <c r="F33" s="7">
        <f t="shared" ref="F33:S33" si="9">+SUM(F29:F32,F27)</f>
        <v>818.97699999999998</v>
      </c>
      <c r="G33" s="7">
        <f t="shared" si="9"/>
        <v>804.81499999999994</v>
      </c>
      <c r="H33" s="7">
        <f t="shared" si="9"/>
        <v>824.98900000000003</v>
      </c>
      <c r="I33" s="7">
        <f t="shared" si="9"/>
        <v>903.77099999999996</v>
      </c>
      <c r="J33" s="7">
        <f t="shared" ca="1" si="9"/>
        <v>917.23721029457295</v>
      </c>
      <c r="K33" s="7">
        <f t="shared" ca="1" si="9"/>
        <v>973.24333226670046</v>
      </c>
      <c r="L33" s="7">
        <f t="shared" ca="1" si="9"/>
        <v>1036.6150283113375</v>
      </c>
      <c r="M33" s="7">
        <f t="shared" ca="1" si="9"/>
        <v>1085.0439407626573</v>
      </c>
      <c r="N33" s="7">
        <f t="shared" ca="1" si="9"/>
        <v>1122.7071192576143</v>
      </c>
      <c r="O33" s="7">
        <f t="shared" ca="1" si="9"/>
        <v>1153.0651088923462</v>
      </c>
      <c r="P33" s="7">
        <f t="shared" ca="1" si="9"/>
        <v>1179.4256553340945</v>
      </c>
      <c r="Q33" s="7">
        <f t="shared" ca="1" si="9"/>
        <v>1202.5489420812169</v>
      </c>
      <c r="R33" s="7">
        <f t="shared" ca="1" si="9"/>
        <v>1221.8660921009987</v>
      </c>
      <c r="S33" s="7">
        <f t="shared" ca="1" si="9"/>
        <v>1237.8211795466864</v>
      </c>
    </row>
    <row r="35" spans="2:19" x14ac:dyDescent="0.45">
      <c r="B35" t="s">
        <v>86</v>
      </c>
      <c r="E35" s="4">
        <v>315.07799999999997</v>
      </c>
      <c r="F35" s="4">
        <v>243.03299999999999</v>
      </c>
      <c r="G35" s="4">
        <v>81.350999999999999</v>
      </c>
      <c r="H35" s="4">
        <v>68.587999999999994</v>
      </c>
      <c r="I35" s="4">
        <v>79.427999999999997</v>
      </c>
      <c r="J35" s="29">
        <f ca="1">+'FS Calcs'!J78</f>
        <v>69.648124307342485</v>
      </c>
      <c r="K35" s="29">
        <f ca="1">+'FS Calcs'!K78</f>
        <v>76.770258011332501</v>
      </c>
      <c r="L35" s="29">
        <f ca="1">+'FS Calcs'!L78</f>
        <v>92.244449810133247</v>
      </c>
      <c r="M35" s="29">
        <f ca="1">+'FS Calcs'!M78</f>
        <v>114.68402122415139</v>
      </c>
      <c r="N35" s="29">
        <f ca="1">+'FS Calcs'!N78</f>
        <v>141.59679051055389</v>
      </c>
      <c r="O35" s="29">
        <f ca="1">+'FS Calcs'!O78</f>
        <v>172.60778422232414</v>
      </c>
      <c r="P35" s="29">
        <f ca="1">+'FS Calcs'!P78</f>
        <v>207.90609770616842</v>
      </c>
      <c r="Q35" s="29">
        <f ca="1">+'FS Calcs'!Q78</f>
        <v>247.86599041659679</v>
      </c>
      <c r="R35" s="29">
        <f ca="1">+'FS Calcs'!R78</f>
        <v>291.97959663079007</v>
      </c>
      <c r="S35" s="29">
        <f ca="1">+'FS Calcs'!S78</f>
        <v>341.05157078635591</v>
      </c>
    </row>
    <row r="36" spans="2:19" x14ac:dyDescent="0.45">
      <c r="B36" t="s">
        <v>87</v>
      </c>
      <c r="E36" s="4">
        <v>85.713999999999999</v>
      </c>
      <c r="F36" s="4">
        <v>256.94499999999999</v>
      </c>
      <c r="G36" s="4">
        <v>260.13499999999999</v>
      </c>
      <c r="H36" s="4">
        <v>234.32499999999999</v>
      </c>
      <c r="I36" s="4">
        <v>235.97499999999999</v>
      </c>
      <c r="J36" s="29">
        <f>+'FS Calcs'!J84</f>
        <v>228.59307752000001</v>
      </c>
      <c r="K36" s="29">
        <f>+'FS Calcs'!K84</f>
        <v>221.33250916560002</v>
      </c>
      <c r="L36" s="29">
        <f>+'FS Calcs'!L84</f>
        <v>214.203791796568</v>
      </c>
      <c r="M36" s="29">
        <f>+'FS Calcs'!M84</f>
        <v>207.21787430318506</v>
      </c>
      <c r="N36" s="29">
        <f>+'FS Calcs'!N84</f>
        <v>200.38617390965501</v>
      </c>
      <c r="O36" s="29">
        <f>+'FS Calcs'!O84</f>
        <v>193.72059302146658</v>
      </c>
      <c r="P36" s="29">
        <f>+'FS Calcs'!P84</f>
        <v>187.23353663412291</v>
      </c>
      <c r="Q36" s="29">
        <f>+'FS Calcs'!Q84</f>
        <v>180.93793032119919</v>
      </c>
      <c r="R36" s="29">
        <f>+'FS Calcs'!R84</f>
        <v>174.84723882024883</v>
      </c>
      <c r="S36" s="29">
        <f>+'FS Calcs'!S84</f>
        <v>168.9754852356582</v>
      </c>
    </row>
    <row r="37" spans="2:19" s="7" customFormat="1" x14ac:dyDescent="0.45">
      <c r="B37" s="7" t="s">
        <v>88</v>
      </c>
      <c r="E37" s="7">
        <f>+E36+E35</f>
        <v>400.79199999999997</v>
      </c>
      <c r="F37" s="7">
        <f t="shared" ref="F37:S37" si="10">+F36+F35</f>
        <v>499.97799999999995</v>
      </c>
      <c r="G37" s="7">
        <f t="shared" si="10"/>
        <v>341.48599999999999</v>
      </c>
      <c r="H37" s="7">
        <f t="shared" si="10"/>
        <v>302.91300000000001</v>
      </c>
      <c r="I37" s="7">
        <f t="shared" si="10"/>
        <v>315.40300000000002</v>
      </c>
      <c r="J37" s="7">
        <f t="shared" ca="1" si="10"/>
        <v>298.24120182734248</v>
      </c>
      <c r="K37" s="7">
        <f t="shared" ca="1" si="10"/>
        <v>298.1027671769325</v>
      </c>
      <c r="L37" s="7">
        <f t="shared" ca="1" si="10"/>
        <v>306.44824160670123</v>
      </c>
      <c r="M37" s="7">
        <f t="shared" ca="1" si="10"/>
        <v>321.90189552733648</v>
      </c>
      <c r="N37" s="7">
        <f t="shared" ca="1" si="10"/>
        <v>341.98296442020887</v>
      </c>
      <c r="O37" s="7">
        <f t="shared" ca="1" si="10"/>
        <v>366.32837724379073</v>
      </c>
      <c r="P37" s="7">
        <f t="shared" ca="1" si="10"/>
        <v>395.13963434029131</v>
      </c>
      <c r="Q37" s="7">
        <f t="shared" ca="1" si="10"/>
        <v>428.80392073779598</v>
      </c>
      <c r="R37" s="7">
        <f t="shared" ca="1" si="10"/>
        <v>466.8268354510389</v>
      </c>
      <c r="S37" s="7">
        <f t="shared" ca="1" si="10"/>
        <v>510.02705602201411</v>
      </c>
    </row>
    <row r="39" spans="2:19" x14ac:dyDescent="0.45">
      <c r="B39" t="s">
        <v>89</v>
      </c>
      <c r="E39" t="b">
        <f>+E19=E33+E37</f>
        <v>1</v>
      </c>
      <c r="F39" t="b">
        <f>+F19=F33+F37</f>
        <v>1</v>
      </c>
      <c r="G39" t="b">
        <f>+G19=G33+G37</f>
        <v>1</v>
      </c>
      <c r="H39" t="b">
        <f>+H19=H33+H37</f>
        <v>1</v>
      </c>
      <c r="I39" t="b">
        <f>+I19=I33+I37</f>
        <v>1</v>
      </c>
      <c r="J39" t="b">
        <f t="shared" ref="J39:S39" ca="1" si="11">+J19=J33+J37</f>
        <v>1</v>
      </c>
      <c r="K39" t="b">
        <f t="shared" ca="1" si="11"/>
        <v>1</v>
      </c>
      <c r="L39" t="b">
        <f t="shared" ca="1" si="11"/>
        <v>1</v>
      </c>
      <c r="M39" t="b">
        <f t="shared" ca="1" si="11"/>
        <v>0</v>
      </c>
      <c r="N39" t="b">
        <f t="shared" ca="1" si="11"/>
        <v>0</v>
      </c>
      <c r="O39" t="b">
        <f t="shared" ca="1" si="11"/>
        <v>0</v>
      </c>
      <c r="P39" t="b">
        <f t="shared" ca="1" si="11"/>
        <v>0</v>
      </c>
      <c r="Q39" t="b">
        <f t="shared" ca="1" si="11"/>
        <v>0</v>
      </c>
      <c r="R39" t="b">
        <f t="shared" ca="1" si="11"/>
        <v>0</v>
      </c>
      <c r="S39" t="b">
        <f t="shared" ca="1" si="11"/>
        <v>0</v>
      </c>
    </row>
    <row r="40" spans="2:19" x14ac:dyDescent="0.45">
      <c r="F40" s="6"/>
      <c r="G40" s="6"/>
      <c r="H40" s="6"/>
      <c r="I40" s="6"/>
      <c r="J40" s="7"/>
      <c r="K40" s="6"/>
      <c r="L40" s="6"/>
      <c r="M40" s="6"/>
      <c r="N40" s="6"/>
      <c r="O40" s="6"/>
      <c r="P40" s="6"/>
      <c r="Q40" s="6"/>
      <c r="R40" s="6"/>
      <c r="S40" s="6"/>
    </row>
    <row r="41" spans="2:19" x14ac:dyDescent="0.45">
      <c r="B41" s="43" t="s">
        <v>210</v>
      </c>
      <c r="C41" s="43"/>
      <c r="D41" s="43"/>
      <c r="E41" s="43">
        <f>+SUM(E8:E9,E13)-SUM(E22:E23)</f>
        <v>100.81</v>
      </c>
      <c r="F41" s="43">
        <f t="shared" ref="F41:S41" si="12">+SUM(F8:F9,F13)-SUM(F22:F23)</f>
        <v>119.42399999999998</v>
      </c>
      <c r="G41" s="43">
        <f t="shared" si="12"/>
        <v>82.733000000000004</v>
      </c>
      <c r="H41" s="43">
        <f t="shared" si="12"/>
        <v>81.117999999999995</v>
      </c>
      <c r="I41" s="43">
        <f t="shared" si="12"/>
        <v>103.96100000000001</v>
      </c>
      <c r="J41" s="43">
        <f t="shared" si="12"/>
        <v>109.31820735790001</v>
      </c>
      <c r="K41" s="43">
        <f t="shared" si="12"/>
        <v>122.72824970802185</v>
      </c>
      <c r="L41" s="43">
        <f t="shared" si="12"/>
        <v>135.47727284101774</v>
      </c>
      <c r="M41" s="43">
        <f t="shared" si="12"/>
        <v>145.1812520478631</v>
      </c>
      <c r="N41" s="43">
        <f t="shared" si="12"/>
        <v>153.2559642337427</v>
      </c>
      <c r="O41" s="43">
        <f t="shared" si="12"/>
        <v>160.35842728753499</v>
      </c>
      <c r="P41" s="43">
        <f t="shared" si="12"/>
        <v>167.40546907518797</v>
      </c>
      <c r="Q41" s="43">
        <f t="shared" si="12"/>
        <v>174.69253837660784</v>
      </c>
      <c r="R41" s="43">
        <f t="shared" si="12"/>
        <v>182.26364215036313</v>
      </c>
      <c r="S41" s="43">
        <f t="shared" si="12"/>
        <v>190.70382523507692</v>
      </c>
    </row>
    <row r="42" spans="2:19" x14ac:dyDescent="0.45">
      <c r="B42" s="7" t="s">
        <v>211</v>
      </c>
      <c r="C42" s="7"/>
      <c r="D42" s="7"/>
      <c r="E42" s="7">
        <f>+E41+E10</f>
        <v>286.81799999999998</v>
      </c>
      <c r="F42" s="7">
        <f t="shared" ref="F42:S42" si="13">+F41+F10</f>
        <v>267.98500000000001</v>
      </c>
      <c r="G42" s="7">
        <f t="shared" si="13"/>
        <v>223.28100000000001</v>
      </c>
      <c r="H42" s="7">
        <f t="shared" si="13"/>
        <v>228.90099999999998</v>
      </c>
      <c r="I42" s="7">
        <f t="shared" si="13"/>
        <v>267.524</v>
      </c>
      <c r="J42" s="7">
        <f t="shared" si="13"/>
        <v>294.01435035790007</v>
      </c>
      <c r="K42" s="7">
        <f t="shared" si="13"/>
        <v>333.44849679757692</v>
      </c>
      <c r="L42" s="7">
        <f t="shared" si="13"/>
        <v>375.8493193875878</v>
      </c>
      <c r="M42" s="7">
        <f t="shared" si="13"/>
        <v>414.07223467456873</v>
      </c>
      <c r="N42" s="7">
        <f t="shared" si="13"/>
        <v>448.63509571068994</v>
      </c>
      <c r="O42" s="7">
        <f t="shared" si="13"/>
        <v>480.92034531287982</v>
      </c>
      <c r="P42" s="7">
        <f t="shared" si="13"/>
        <v>511.99008860867087</v>
      </c>
      <c r="Q42" s="7">
        <f t="shared" si="13"/>
        <v>542.09999579550083</v>
      </c>
      <c r="R42" s="7">
        <f t="shared" si="13"/>
        <v>571.22917691843725</v>
      </c>
      <c r="S42" s="7">
        <f t="shared" si="13"/>
        <v>599.69586636084057</v>
      </c>
    </row>
    <row r="43" spans="2:19" x14ac:dyDescent="0.4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2:19" x14ac:dyDescent="0.45">
      <c r="B44" s="7" t="s">
        <v>93</v>
      </c>
      <c r="C44" s="7"/>
      <c r="D44" s="7"/>
      <c r="E44" s="7">
        <f>+E6</f>
        <v>46.55</v>
      </c>
      <c r="F44" s="7">
        <f>+F6</f>
        <v>39.999000000000002</v>
      </c>
      <c r="G44" s="7">
        <f>+G6</f>
        <v>67.888999999999996</v>
      </c>
      <c r="H44" s="7">
        <f>+H6</f>
        <v>78.430999999999997</v>
      </c>
      <c r="I44" s="7">
        <f>+I6</f>
        <v>59.899000000000001</v>
      </c>
      <c r="J44" s="7">
        <f t="shared" ref="J44:S44" ca="1" si="14">+J6</f>
        <v>35</v>
      </c>
      <c r="K44" s="7">
        <f t="shared" ca="1" si="14"/>
        <v>35</v>
      </c>
      <c r="L44" s="7">
        <f t="shared" ca="1" si="14"/>
        <v>35</v>
      </c>
      <c r="M44" s="7">
        <f t="shared" ca="1" si="14"/>
        <v>35</v>
      </c>
      <c r="N44" s="7">
        <f t="shared" ca="1" si="14"/>
        <v>35</v>
      </c>
      <c r="O44" s="7">
        <f t="shared" ca="1" si="14"/>
        <v>35</v>
      </c>
      <c r="P44" s="7">
        <f t="shared" ca="1" si="14"/>
        <v>35</v>
      </c>
      <c r="Q44" s="7">
        <f t="shared" ca="1" si="14"/>
        <v>35</v>
      </c>
      <c r="R44" s="7">
        <f t="shared" ca="1" si="14"/>
        <v>35</v>
      </c>
      <c r="S44" s="7">
        <f t="shared" ca="1" si="14"/>
        <v>35</v>
      </c>
    </row>
    <row r="45" spans="2:19" x14ac:dyDescent="0.45">
      <c r="B45" s="7" t="s">
        <v>94</v>
      </c>
      <c r="C45" s="7"/>
      <c r="D45" s="7"/>
      <c r="E45" s="7">
        <f t="shared" ref="E45:S45" si="15">+E44+E7</f>
        <v>46.55</v>
      </c>
      <c r="F45" s="7">
        <f t="shared" si="15"/>
        <v>39.999000000000002</v>
      </c>
      <c r="G45" s="7">
        <f t="shared" si="15"/>
        <v>84.525999999999996</v>
      </c>
      <c r="H45" s="7">
        <f t="shared" si="15"/>
        <v>92.057000000000002</v>
      </c>
      <c r="I45" s="7">
        <f t="shared" si="15"/>
        <v>68.734000000000009</v>
      </c>
      <c r="J45" s="7">
        <f t="shared" ca="1" si="15"/>
        <v>43.835000000000001</v>
      </c>
      <c r="K45" s="7">
        <f t="shared" ca="1" si="15"/>
        <v>43.835000000000001</v>
      </c>
      <c r="L45" s="7">
        <f t="shared" ca="1" si="15"/>
        <v>43.835000000000001</v>
      </c>
      <c r="M45" s="7">
        <f t="shared" ca="1" si="15"/>
        <v>43.835000000000001</v>
      </c>
      <c r="N45" s="7">
        <f t="shared" ca="1" si="15"/>
        <v>43.835000000000001</v>
      </c>
      <c r="O45" s="7">
        <f t="shared" ca="1" si="15"/>
        <v>43.835000000000001</v>
      </c>
      <c r="P45" s="7">
        <f t="shared" ca="1" si="15"/>
        <v>43.835000000000001</v>
      </c>
      <c r="Q45" s="7">
        <f t="shared" ca="1" si="15"/>
        <v>43.835000000000001</v>
      </c>
      <c r="R45" s="7">
        <f t="shared" ca="1" si="15"/>
        <v>43.835000000000001</v>
      </c>
      <c r="S45" s="7">
        <f t="shared" ca="1" si="15"/>
        <v>43.835000000000001</v>
      </c>
    </row>
    <row r="46" spans="2:19" x14ac:dyDescent="0.4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2:19" x14ac:dyDescent="0.45">
      <c r="B47" s="7" t="s">
        <v>95</v>
      </c>
      <c r="C47" s="7"/>
      <c r="D47" s="7"/>
      <c r="E47" s="7">
        <f>+E21+E26+E29+E24</f>
        <v>866.60300000000007</v>
      </c>
      <c r="F47" s="7">
        <f t="shared" ref="F47:S47" si="16">+F21+F26+F29+F24</f>
        <v>626.51599999999996</v>
      </c>
      <c r="G47" s="7">
        <f t="shared" si="16"/>
        <v>578.69399999999996</v>
      </c>
      <c r="H47" s="7">
        <f t="shared" si="16"/>
        <v>547.79700000000003</v>
      </c>
      <c r="I47" s="7">
        <f t="shared" si="16"/>
        <v>597.46100000000001</v>
      </c>
      <c r="J47" s="7">
        <f t="shared" ca="1" si="16"/>
        <v>603.5817096305575</v>
      </c>
      <c r="K47" s="7">
        <f t="shared" ca="1" si="16"/>
        <v>635.44636841585168</v>
      </c>
      <c r="L47" s="7">
        <f t="shared" ca="1" si="16"/>
        <v>665.45209982550148</v>
      </c>
      <c r="M47" s="7">
        <f t="shared" ca="1" si="16"/>
        <v>688.31934528584702</v>
      </c>
      <c r="N47" s="7">
        <f t="shared" ca="1" si="16"/>
        <v>704.6106930030312</v>
      </c>
      <c r="O47" s="7">
        <f t="shared" ca="1" si="16"/>
        <v>716.10867084384347</v>
      </c>
      <c r="P47" s="7">
        <f t="shared" ca="1" si="16"/>
        <v>723.78001012835159</v>
      </c>
      <c r="Q47" s="7">
        <f t="shared" ca="1" si="16"/>
        <v>727.62971956812169</v>
      </c>
      <c r="R47" s="7">
        <f t="shared" ca="1" si="16"/>
        <v>726.9754864788847</v>
      </c>
      <c r="S47" s="7">
        <f t="shared" ca="1" si="16"/>
        <v>721.39080306402093</v>
      </c>
    </row>
    <row r="48" spans="2:19" x14ac:dyDescent="0.45">
      <c r="B48" s="7" t="s">
        <v>96</v>
      </c>
      <c r="C48" s="7"/>
      <c r="D48" s="7"/>
      <c r="E48" s="7">
        <f t="shared" ref="E48:S48" si="17">+E47+E25+E30</f>
        <v>866.60300000000007</v>
      </c>
      <c r="F48" s="7">
        <f t="shared" si="17"/>
        <v>626.51599999999996</v>
      </c>
      <c r="G48" s="7">
        <f t="shared" si="17"/>
        <v>629.52</v>
      </c>
      <c r="H48" s="7">
        <f t="shared" si="17"/>
        <v>591.63200000000006</v>
      </c>
      <c r="I48" s="7">
        <f t="shared" si="17"/>
        <v>633.70000000000005</v>
      </c>
      <c r="J48" s="7">
        <f t="shared" ca="1" si="17"/>
        <v>639.82070963055753</v>
      </c>
      <c r="K48" s="7">
        <f t="shared" ca="1" si="17"/>
        <v>671.68536841585171</v>
      </c>
      <c r="L48" s="7">
        <f t="shared" ca="1" si="17"/>
        <v>701.69109982550151</v>
      </c>
      <c r="M48" s="7">
        <f t="shared" ca="1" si="17"/>
        <v>724.55834528584705</v>
      </c>
      <c r="N48" s="7">
        <f t="shared" ca="1" si="17"/>
        <v>740.84969300303123</v>
      </c>
      <c r="O48" s="7">
        <f t="shared" ca="1" si="17"/>
        <v>752.3476708438435</v>
      </c>
      <c r="P48" s="7">
        <f t="shared" ca="1" si="17"/>
        <v>760.01901012835162</v>
      </c>
      <c r="Q48" s="7">
        <f t="shared" ca="1" si="17"/>
        <v>763.86871956812172</v>
      </c>
      <c r="R48" s="7">
        <f t="shared" ca="1" si="17"/>
        <v>763.21448647888474</v>
      </c>
      <c r="S48" s="7">
        <f t="shared" ca="1" si="17"/>
        <v>757.62980306402096</v>
      </c>
    </row>
    <row r="49" spans="1:19" x14ac:dyDescent="0.4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45">
      <c r="B50" s="7" t="s">
        <v>97</v>
      </c>
      <c r="C50" s="7"/>
      <c r="D50" s="7"/>
      <c r="E50" s="7">
        <f>+E48-E44</f>
        <v>820.05300000000011</v>
      </c>
      <c r="F50" s="7">
        <f>+F48-F44</f>
        <v>586.51699999999994</v>
      </c>
      <c r="G50" s="7">
        <f>+G48-G44</f>
        <v>561.63099999999997</v>
      </c>
      <c r="H50" s="7">
        <f>+H48-H44</f>
        <v>513.20100000000002</v>
      </c>
      <c r="I50" s="7">
        <f>+I48-I44</f>
        <v>573.80100000000004</v>
      </c>
      <c r="J50" s="7">
        <f t="shared" ref="J50:S50" ca="1" si="18">+J48-J44</f>
        <v>604.82070963055753</v>
      </c>
      <c r="K50" s="7">
        <f t="shared" ca="1" si="18"/>
        <v>636.68536841585171</v>
      </c>
      <c r="L50" s="7">
        <f t="shared" ca="1" si="18"/>
        <v>666.69109982550151</v>
      </c>
      <c r="M50" s="7">
        <f t="shared" ca="1" si="18"/>
        <v>689.55834528584705</v>
      </c>
      <c r="N50" s="7">
        <f t="shared" ca="1" si="18"/>
        <v>705.84969300303123</v>
      </c>
      <c r="O50" s="7">
        <f t="shared" ca="1" si="18"/>
        <v>717.3476708438435</v>
      </c>
      <c r="P50" s="7">
        <f t="shared" ca="1" si="18"/>
        <v>725.01901012835162</v>
      </c>
      <c r="Q50" s="7">
        <f t="shared" ca="1" si="18"/>
        <v>728.86871956812172</v>
      </c>
      <c r="R50" s="7">
        <f t="shared" ca="1" si="18"/>
        <v>728.21448647888474</v>
      </c>
      <c r="S50" s="7">
        <f t="shared" ca="1" si="18"/>
        <v>722.62980306402096</v>
      </c>
    </row>
    <row r="51" spans="1:19" x14ac:dyDescent="0.4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x14ac:dyDescent="0.45">
      <c r="B52" s="44" t="s">
        <v>258</v>
      </c>
      <c r="C52" s="44"/>
      <c r="D52" s="44"/>
      <c r="E52" s="74">
        <f>+E50/'P&amp;L'!E56</f>
        <v>7.7757412552269534</v>
      </c>
      <c r="F52" s="74">
        <f>+F50/'P&amp;L'!F56</f>
        <v>5.5501438358756934</v>
      </c>
      <c r="G52" s="74">
        <f>+G50/'P&amp;L'!G56</f>
        <v>5.2758588297182811</v>
      </c>
      <c r="H52" s="74">
        <f>+H50/'P&amp;L'!H56</f>
        <v>4.322784703504043</v>
      </c>
      <c r="I52" s="74">
        <f>+I50/'P&amp;L'!I56</f>
        <v>4.8862405477212318</v>
      </c>
      <c r="J52" s="74">
        <f ca="1">+J50/'P&amp;L'!J56</f>
        <v>4.7864459936442678</v>
      </c>
      <c r="K52" s="74">
        <f ca="1">+K50/'P&amp;L'!K56</f>
        <v>4.2311875590191876</v>
      </c>
      <c r="L52" s="74">
        <f ca="1">+L50/'P&amp;L'!L56</f>
        <v>3.9429669064369217</v>
      </c>
      <c r="M52" s="74">
        <f ca="1">+M50/'P&amp;L'!M56</f>
        <v>3.7563997366588526</v>
      </c>
      <c r="N52" s="74">
        <f ca="1">+N50/'P&amp;L'!N56</f>
        <v>3.6171536750862012</v>
      </c>
      <c r="O52" s="74">
        <f ca="1">+O50/'P&amp;L'!O56</f>
        <v>3.4919165222782063</v>
      </c>
      <c r="P52" s="74">
        <f ca="1">+P50/'P&amp;L'!P56</f>
        <v>3.3604737477040789</v>
      </c>
      <c r="Q52" s="74">
        <f ca="1">+Q50/'P&amp;L'!Q56</f>
        <v>3.2177327915461351</v>
      </c>
      <c r="R52" s="74">
        <f ca="1">+R50/'P&amp;L'!R56</f>
        <v>3.0671474386934738</v>
      </c>
      <c r="S52" s="74">
        <f ca="1">+S50/'P&amp;L'!S56</f>
        <v>2.8932254273195053</v>
      </c>
    </row>
    <row r="53" spans="1:19" x14ac:dyDescent="0.45">
      <c r="J53" s="3">
        <v>2023</v>
      </c>
      <c r="K53" s="3">
        <f t="shared" ref="K53" si="19">+J53+1</f>
        <v>2024</v>
      </c>
      <c r="L53" s="3">
        <f t="shared" ref="L53" si="20">+K53+1</f>
        <v>2025</v>
      </c>
      <c r="M53" s="3">
        <f t="shared" ref="M53" si="21">+L53+1</f>
        <v>2026</v>
      </c>
      <c r="N53" s="3">
        <f t="shared" ref="N53" si="22">+M53+1</f>
        <v>2027</v>
      </c>
    </row>
    <row r="55" spans="1:19" x14ac:dyDescent="0.45">
      <c r="A55" t="s">
        <v>36</v>
      </c>
      <c r="B55" s="20" t="s">
        <v>364</v>
      </c>
    </row>
    <row r="56" spans="1:19" x14ac:dyDescent="0.45">
      <c r="B56" t="s">
        <v>139</v>
      </c>
      <c r="I56" s="29">
        <f>+'P&amp;L'!I34</f>
        <v>31.762000000000068</v>
      </c>
      <c r="J56" s="29">
        <f ca="1">+'P&amp;L'!J34</f>
        <v>17.119381827342494</v>
      </c>
      <c r="K56" s="29">
        <f ca="1">+'P&amp;L'!K34</f>
        <v>34.828368949589965</v>
      </c>
      <c r="L56" s="29">
        <f ca="1">+'P&amp;L'!L34</f>
        <v>44.011614101769354</v>
      </c>
      <c r="M56" s="29">
        <f ca="1">+'P&amp;L'!M34</f>
        <v>51.833116386068014</v>
      </c>
      <c r="N56" s="29">
        <f ca="1">+'P&amp;L'!N34</f>
        <v>57.188120607689953</v>
      </c>
      <c r="O56" s="29">
        <f ca="1">+'P&amp;L'!O34</f>
        <v>62.194605572088811</v>
      </c>
      <c r="P56" s="29">
        <f ca="1">+'P&amp;L'!P34</f>
        <v>67.417433704194963</v>
      </c>
      <c r="Q56" s="29">
        <f ca="1">+'P&amp;L'!Q34</f>
        <v>73.042586511665419</v>
      </c>
      <c r="R56" s="29">
        <f ca="1">+'P&amp;L'!R34</f>
        <v>78.188780955964518</v>
      </c>
      <c r="S56" s="29">
        <f ca="1">+'P&amp;L'!S34</f>
        <v>84.169403551385301</v>
      </c>
    </row>
    <row r="57" spans="1:19" x14ac:dyDescent="0.45">
      <c r="B57" t="s">
        <v>199</v>
      </c>
      <c r="I57" s="29">
        <f>+'FS Calcs'!I53*-1</f>
        <v>13.378</v>
      </c>
      <c r="J57" s="29">
        <f>+'FS Calcs'!J53*-1</f>
        <v>15.794633399999997</v>
      </c>
      <c r="K57" s="29">
        <f>+'FS Calcs'!K53*-1</f>
        <v>13.127354072549998</v>
      </c>
      <c r="L57" s="29">
        <f>+'FS Calcs'!L53*-1</f>
        <v>12.250789042903127</v>
      </c>
      <c r="M57" s="29">
        <f>+'FS Calcs'!M53*-1</f>
        <v>10.602883298669784</v>
      </c>
      <c r="N57" s="29">
        <f>+'FS Calcs'!N53*-1</f>
        <v>11.272757593556287</v>
      </c>
      <c r="O57" s="29">
        <f>+'FS Calcs'!O53*-1</f>
        <v>11.863373427597894</v>
      </c>
      <c r="P57" s="29">
        <f>+'FS Calcs'!P53*-1</f>
        <v>12.448842887841975</v>
      </c>
      <c r="Q57" s="29">
        <f>+'FS Calcs'!Q53*-1</f>
        <v>13.053066427452135</v>
      </c>
      <c r="R57" s="29">
        <f>+'FS Calcs'!R53*-1</f>
        <v>13.67962568103898</v>
      </c>
      <c r="S57" s="29">
        <f>+'FS Calcs'!S53*-1</f>
        <v>14.361634449762814</v>
      </c>
    </row>
    <row r="58" spans="1:19" x14ac:dyDescent="0.45">
      <c r="B58" t="s">
        <v>200</v>
      </c>
      <c r="I58" s="29">
        <f>+'FS Calcs'!I64*-1</f>
        <v>10.601000000000001</v>
      </c>
      <c r="J58" s="29">
        <f>+'FS Calcs'!J64*-1</f>
        <v>15.794633399999999</v>
      </c>
      <c r="K58" s="29">
        <f>+'FS Calcs'!K64*-1</f>
        <v>16.669655965142859</v>
      </c>
      <c r="L58" s="29">
        <f>+'FS Calcs'!L64*-1</f>
        <v>17.734475566869289</v>
      </c>
      <c r="M58" s="29">
        <f>+'FS Calcs'!M64*-1</f>
        <v>18.1763713691482</v>
      </c>
      <c r="N58" s="29">
        <f>+'FS Calcs'!N64*-1</f>
        <v>18.251131341948277</v>
      </c>
      <c r="O58" s="29">
        <f>+'FS Calcs'!O64*-1</f>
        <v>18.077521413482504</v>
      </c>
      <c r="P58" s="29">
        <f>+'FS Calcs'!P64*-1</f>
        <v>17.784061268345678</v>
      </c>
      <c r="Q58" s="29">
        <f>+'FS Calcs'!Q64*-1</f>
        <v>17.404088569936182</v>
      </c>
      <c r="R58" s="29">
        <f>+'FS Calcs'!R64*-1</f>
        <v>18.239500908051973</v>
      </c>
      <c r="S58" s="29">
        <f>+'FS Calcs'!S64*-1</f>
        <v>19.148845933017089</v>
      </c>
    </row>
    <row r="59" spans="1:19" x14ac:dyDescent="0.45">
      <c r="B59" t="s">
        <v>201</v>
      </c>
      <c r="I59" s="29">
        <f>+'FS Calcs'!I44*-1</f>
        <v>10.241</v>
      </c>
      <c r="J59" s="29">
        <f>+'FS Calcs'!J44*-1</f>
        <v>10</v>
      </c>
      <c r="K59" s="29">
        <f>+'FS Calcs'!K44*-1</f>
        <v>10</v>
      </c>
      <c r="L59" s="29">
        <f>+'FS Calcs'!L44*-1</f>
        <v>10</v>
      </c>
      <c r="M59" s="29">
        <f>+'FS Calcs'!M44*-1</f>
        <v>10</v>
      </c>
      <c r="N59" s="29">
        <f>+'FS Calcs'!N44*-1</f>
        <v>10</v>
      </c>
      <c r="O59" s="29">
        <f>+'FS Calcs'!O44*-1</f>
        <v>10</v>
      </c>
      <c r="P59" s="29">
        <f>+'FS Calcs'!P44*-1</f>
        <v>10</v>
      </c>
      <c r="Q59" s="29">
        <f>+'FS Calcs'!Q44*-1</f>
        <v>10</v>
      </c>
      <c r="R59" s="29">
        <f>+'FS Calcs'!R44*-1</f>
        <v>10</v>
      </c>
      <c r="S59" s="29">
        <f>+'FS Calcs'!S44*-1</f>
        <v>10</v>
      </c>
    </row>
    <row r="60" spans="1:19" x14ac:dyDescent="0.45">
      <c r="B60" t="s">
        <v>202</v>
      </c>
      <c r="I60" s="29">
        <f>+('FS Calcs'!I31+'FS Calcs'!I33)*-1</f>
        <v>-24.196999999999996</v>
      </c>
      <c r="J60" s="29">
        <f>+('FS Calcs'!J31+'FS Calcs'!J33)*-1</f>
        <v>-21.133143000000047</v>
      </c>
      <c r="K60" s="29">
        <f>+('FS Calcs'!K31+'FS Calcs'!K33)*-1</f>
        <v>-26.02410408955501</v>
      </c>
      <c r="L60" s="29">
        <f>+('FS Calcs'!L31+'FS Calcs'!L33)*-1</f>
        <v>-29.651799457015002</v>
      </c>
      <c r="M60" s="29">
        <f>+('FS Calcs'!M31+'FS Calcs'!M33)*-1</f>
        <v>-28.518936080135632</v>
      </c>
      <c r="N60" s="29">
        <f>+('FS Calcs'!N31+'FS Calcs'!N33)*-1</f>
        <v>-26.488148850241629</v>
      </c>
      <c r="O60" s="29">
        <f>+('FS Calcs'!O31+'FS Calcs'!O33)*-1</f>
        <v>-25.182786548397615</v>
      </c>
      <c r="P60" s="29">
        <f>+('FS Calcs'!P31+'FS Calcs'!P33)*-1</f>
        <v>-24.022701508138098</v>
      </c>
      <c r="Q60" s="29">
        <f>+('FS Calcs'!Q31+'FS Calcs'!Q33)*-1</f>
        <v>-22.822837885410081</v>
      </c>
      <c r="R60" s="29">
        <f>+('FS Calcs'!R31+'FS Calcs'!R33)*-1</f>
        <v>-21.558077349181119</v>
      </c>
      <c r="S60" s="29">
        <f>+('FS Calcs'!S31+'FS Calcs'!S33)*-1</f>
        <v>-20.026506357689584</v>
      </c>
    </row>
    <row r="61" spans="1:19" x14ac:dyDescent="0.45">
      <c r="B61" t="s">
        <v>203</v>
      </c>
      <c r="I61">
        <f>+H41-I41</f>
        <v>-22.843000000000018</v>
      </c>
      <c r="J61">
        <f>+I41-J41</f>
        <v>-5.3572073578999948</v>
      </c>
      <c r="K61">
        <f t="shared" ref="K61:S61" si="23">+J41-K41</f>
        <v>-13.410042350121842</v>
      </c>
      <c r="L61">
        <f t="shared" si="23"/>
        <v>-12.749023132995887</v>
      </c>
      <c r="M61">
        <f t="shared" si="23"/>
        <v>-9.7039792068453607</v>
      </c>
      <c r="N61">
        <f t="shared" si="23"/>
        <v>-8.0747121858796049</v>
      </c>
      <c r="O61">
        <f t="shared" si="23"/>
        <v>-7.1024630537922917</v>
      </c>
      <c r="P61">
        <f t="shared" si="23"/>
        <v>-7.0470417876529723</v>
      </c>
      <c r="Q61">
        <f t="shared" si="23"/>
        <v>-7.2870693014198764</v>
      </c>
      <c r="R61">
        <f t="shared" si="23"/>
        <v>-7.5711037737552829</v>
      </c>
      <c r="S61">
        <f t="shared" si="23"/>
        <v>-8.4401830847137944</v>
      </c>
    </row>
    <row r="62" spans="1:19" x14ac:dyDescent="0.45">
      <c r="B62" t="s">
        <v>204</v>
      </c>
      <c r="I62" s="29">
        <f>+'P&amp;L'!I18</f>
        <v>-0.78800000000000003</v>
      </c>
      <c r="J62" s="29">
        <f>+'P&amp;L'!J18</f>
        <v>0</v>
      </c>
      <c r="K62" s="29">
        <f>+'P&amp;L'!K18</f>
        <v>0</v>
      </c>
      <c r="L62" s="29">
        <f>+'P&amp;L'!L18</f>
        <v>0</v>
      </c>
      <c r="M62" s="29">
        <f>+'P&amp;L'!M18</f>
        <v>0</v>
      </c>
      <c r="N62" s="29">
        <f>+'P&amp;L'!N18</f>
        <v>0</v>
      </c>
      <c r="O62" s="29">
        <f>+'P&amp;L'!O18</f>
        <v>0</v>
      </c>
      <c r="P62" s="29">
        <f>+'P&amp;L'!P18</f>
        <v>0</v>
      </c>
      <c r="Q62" s="29">
        <f>+'P&amp;L'!Q18</f>
        <v>0</v>
      </c>
      <c r="R62" s="29">
        <f>+'P&amp;L'!R18</f>
        <v>0</v>
      </c>
      <c r="S62" s="29">
        <f>+'P&amp;L'!S18</f>
        <v>0</v>
      </c>
    </row>
    <row r="63" spans="1:19" x14ac:dyDescent="0.45">
      <c r="B63" t="s">
        <v>217</v>
      </c>
      <c r="I63" s="29">
        <f>+'P&amp;L'!I22*-1</f>
        <v>30.486000000000001</v>
      </c>
      <c r="J63" s="29">
        <f ca="1">+'P&amp;L'!J22*-1</f>
        <v>33.667631151878524</v>
      </c>
      <c r="K63" s="29">
        <f ca="1">+'P&amp;L'!K22*-1</f>
        <v>34.897667717522374</v>
      </c>
      <c r="L63" s="29">
        <f ca="1">+'P&amp;L'!L22*-1</f>
        <v>36.633587110757887</v>
      </c>
      <c r="M63" s="29">
        <f ca="1">+'P&amp;L'!M22*-1</f>
        <v>38.11403046311775</v>
      </c>
      <c r="N63" s="29">
        <f ca="1">+'P&amp;L'!N22*-1</f>
        <v>39.210471072088588</v>
      </c>
      <c r="O63" s="29">
        <f ca="1">+'P&amp;L'!O22*-1</f>
        <v>39.988572187712492</v>
      </c>
      <c r="P63" s="29">
        <f ca="1">+'P&amp;L'!P22*-1</f>
        <v>40.525313067221461</v>
      </c>
      <c r="Q63" s="29">
        <f ca="1">+'P&amp;L'!Q22*-1</f>
        <v>40.847902431501254</v>
      </c>
      <c r="R63" s="29">
        <f ca="1">+'P&amp;L'!R22*-1</f>
        <v>40.943590981520437</v>
      </c>
      <c r="S63" s="29">
        <f ca="1">+'P&amp;L'!S22*-1</f>
        <v>40.828171030632731</v>
      </c>
    </row>
    <row r="64" spans="1:19" x14ac:dyDescent="0.45">
      <c r="B64" t="s">
        <v>207</v>
      </c>
      <c r="I64">
        <f>+I65-SUM(I56:I63)</f>
        <v>-15.540000000000049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</row>
    <row r="65" spans="2:19" x14ac:dyDescent="0.45">
      <c r="B65" s="43" t="s">
        <v>138</v>
      </c>
      <c r="C65" s="43"/>
      <c r="D65" s="43"/>
      <c r="E65" s="43"/>
      <c r="F65" s="43"/>
      <c r="G65" s="43"/>
      <c r="H65" s="43"/>
      <c r="I65" s="68">
        <f>+I101</f>
        <v>33.100000000000009</v>
      </c>
      <c r="J65" s="67">
        <f t="shared" ref="J65:S65" ca="1" si="24">SUM(J56:J64)</f>
        <v>65.885929421320967</v>
      </c>
      <c r="K65" s="67">
        <f t="shared" ca="1" si="24"/>
        <v>70.088900265128359</v>
      </c>
      <c r="L65" s="67">
        <f t="shared" ca="1" si="24"/>
        <v>78.229643232288765</v>
      </c>
      <c r="M65" s="67">
        <f t="shared" ca="1" si="24"/>
        <v>90.503486230022759</v>
      </c>
      <c r="N65" s="67">
        <f t="shared" ca="1" si="24"/>
        <v>101.35961957916189</v>
      </c>
      <c r="O65" s="67">
        <f t="shared" ca="1" si="24"/>
        <v>109.8388229986918</v>
      </c>
      <c r="P65" s="67">
        <f t="shared" ca="1" si="24"/>
        <v>117.10590763181301</v>
      </c>
      <c r="Q65" s="67">
        <f t="shared" ca="1" si="24"/>
        <v>124.23773675372503</v>
      </c>
      <c r="R65" s="67">
        <f t="shared" ca="1" si="24"/>
        <v>131.92231740363951</v>
      </c>
      <c r="S65" s="67">
        <f t="shared" ca="1" si="24"/>
        <v>140.04136552239456</v>
      </c>
    </row>
    <row r="66" spans="2:19" x14ac:dyDescent="0.45">
      <c r="J66" s="29"/>
    </row>
    <row r="67" spans="2:19" x14ac:dyDescent="0.45">
      <c r="B67" t="s">
        <v>257</v>
      </c>
      <c r="I67" s="29">
        <f>+('FS Calcs'!I52*-1)+'Debt Calcs'!I62</f>
        <v>-2.9949999999999997</v>
      </c>
      <c r="J67" s="29">
        <f>+('FS Calcs'!J52*-1)+'Debt Calcs'!J62</f>
        <v>-5.5843166999999987</v>
      </c>
      <c r="K67" s="29">
        <f>+('FS Calcs'!K52*-1)+'Debt Calcs'!K62</f>
        <v>-6.4385693816999989</v>
      </c>
      <c r="L67" s="29">
        <f>+('FS Calcs'!L52*-1)+'Debt Calcs'!L62</f>
        <v>-7.4876312343225013</v>
      </c>
      <c r="M67" s="29">
        <f>+('FS Calcs'!M52*-1)+'Debt Calcs'!M62</f>
        <v>-8.2898832986697837</v>
      </c>
      <c r="N67" s="29">
        <f>+('FS Calcs'!N52*-1)+'Debt Calcs'!N62</f>
        <v>-8.9597575935562865</v>
      </c>
      <c r="O67" s="29">
        <f>+('FS Calcs'!O52*-1)+'Debt Calcs'!O62</f>
        <v>-9.5503734275978935</v>
      </c>
      <c r="P67" s="29">
        <f>+('FS Calcs'!P52*-1)+'Debt Calcs'!P62</f>
        <v>-10.135842887841974</v>
      </c>
      <c r="Q67" s="29">
        <f>+('FS Calcs'!Q52*-1)+'Debt Calcs'!Q62</f>
        <v>-10.740066427452135</v>
      </c>
      <c r="R67" s="29">
        <f>+('FS Calcs'!R52*-1)+'Debt Calcs'!R62</f>
        <v>-11.366625681038979</v>
      </c>
      <c r="S67" s="29">
        <f>+('FS Calcs'!S52*-1)+'Debt Calcs'!S62</f>
        <v>-12.048634449762814</v>
      </c>
    </row>
    <row r="68" spans="2:19" x14ac:dyDescent="0.45">
      <c r="B68" t="s">
        <v>205</v>
      </c>
      <c r="I68" s="29">
        <f>+'FS Calcs'!I63*-1</f>
        <v>-14.308999999999999</v>
      </c>
      <c r="J68" s="29">
        <f>+'FS Calcs'!J63*-1</f>
        <v>-10.5297556</v>
      </c>
      <c r="K68" s="29">
        <f>+'FS Calcs'!K63*-1</f>
        <v>-11.6687591756</v>
      </c>
      <c r="L68" s="29">
        <f>+'FS Calcs'!L63*-1</f>
        <v>-13.067508312430002</v>
      </c>
      <c r="M68" s="29">
        <f>+'FS Calcs'!M63*-1</f>
        <v>-14.137177731559714</v>
      </c>
      <c r="N68" s="29">
        <f>+'FS Calcs'!N63*-1</f>
        <v>-15.03034345807505</v>
      </c>
      <c r="O68" s="29">
        <f>+'FS Calcs'!O63*-1</f>
        <v>-15.817831236797192</v>
      </c>
      <c r="P68" s="29">
        <f>+'FS Calcs'!P63*-1</f>
        <v>-16.5984571837893</v>
      </c>
      <c r="Q68" s="29">
        <f>+'FS Calcs'!Q63*-1</f>
        <v>-17.404088569936182</v>
      </c>
      <c r="R68" s="29">
        <f>+'FS Calcs'!R63*-1</f>
        <v>-18.239500908051973</v>
      </c>
      <c r="S68" s="29">
        <f>+'FS Calcs'!S63*-1</f>
        <v>-19.148845933017089</v>
      </c>
    </row>
    <row r="69" spans="2:19" x14ac:dyDescent="0.45">
      <c r="B69" t="s">
        <v>206</v>
      </c>
      <c r="I69" s="29">
        <f>+'FS Calcs'!I42*-1</f>
        <v>-1</v>
      </c>
      <c r="J69" s="29">
        <f>+'FS Calcs'!J42*-1</f>
        <v>-10.5297556</v>
      </c>
      <c r="K69" s="29">
        <f>+'FS Calcs'!K42*-1</f>
        <v>-11.6687591756</v>
      </c>
      <c r="L69" s="29">
        <f>+'FS Calcs'!L42*-1</f>
        <v>-13.067508312430002</v>
      </c>
      <c r="M69" s="29">
        <f>+'FS Calcs'!M42*-1</f>
        <v>-14.137177731559714</v>
      </c>
      <c r="N69" s="29">
        <f>+'FS Calcs'!N42*-1</f>
        <v>-15.03034345807505</v>
      </c>
      <c r="O69" s="29">
        <f>+'FS Calcs'!O42*-1</f>
        <v>-15.817831236797192</v>
      </c>
      <c r="P69" s="29">
        <f>+'FS Calcs'!P42*-1</f>
        <v>-16.5984571837893</v>
      </c>
      <c r="Q69" s="29">
        <f>+'FS Calcs'!Q42*-1</f>
        <v>-17.404088569936182</v>
      </c>
      <c r="R69" s="29">
        <f>+'FS Calcs'!R42*-1</f>
        <v>-18.239500908051973</v>
      </c>
      <c r="S69" s="29">
        <f>+'FS Calcs'!S42*-1</f>
        <v>-19.148845933017089</v>
      </c>
    </row>
    <row r="70" spans="2:19" x14ac:dyDescent="0.45">
      <c r="B70" t="s">
        <v>207</v>
      </c>
      <c r="I70">
        <f>+I71-SUM(I67:I69)</f>
        <v>7.4649999999999999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 spans="2:19" s="7" customFormat="1" x14ac:dyDescent="0.45">
      <c r="B71" s="43" t="s">
        <v>195</v>
      </c>
      <c r="C71" s="43"/>
      <c r="D71" s="43"/>
      <c r="E71" s="43"/>
      <c r="F71" s="43"/>
      <c r="G71" s="43"/>
      <c r="H71" s="43"/>
      <c r="I71" s="68">
        <f>+I106</f>
        <v>-10.838999999999999</v>
      </c>
      <c r="J71" s="67">
        <f t="shared" ref="J71:S71" si="25">SUM(J67:J70)</f>
        <v>-26.643827899999998</v>
      </c>
      <c r="K71" s="67">
        <f t="shared" si="25"/>
        <v>-29.776087732900002</v>
      </c>
      <c r="L71" s="67">
        <f t="shared" si="25"/>
        <v>-33.622647859182507</v>
      </c>
      <c r="M71" s="67">
        <f t="shared" si="25"/>
        <v>-36.564238761789213</v>
      </c>
      <c r="N71" s="67">
        <f t="shared" si="25"/>
        <v>-39.020444509706387</v>
      </c>
      <c r="O71" s="67">
        <f t="shared" si="25"/>
        <v>-41.186035901192277</v>
      </c>
      <c r="P71" s="67">
        <f t="shared" si="25"/>
        <v>-43.332757255420574</v>
      </c>
      <c r="Q71" s="67">
        <f t="shared" si="25"/>
        <v>-45.548243567324498</v>
      </c>
      <c r="R71" s="67">
        <f t="shared" si="25"/>
        <v>-47.845627497142928</v>
      </c>
      <c r="S71" s="67">
        <f t="shared" si="25"/>
        <v>-50.346326315796986</v>
      </c>
    </row>
    <row r="72" spans="2:19" s="7" customFormat="1" x14ac:dyDescent="0.45">
      <c r="I72" s="54"/>
      <c r="J72" s="69"/>
      <c r="K72" s="69"/>
      <c r="L72" s="69"/>
      <c r="M72" s="69"/>
      <c r="N72" s="69"/>
      <c r="O72" s="69"/>
      <c r="P72" s="69"/>
      <c r="Q72" s="69"/>
      <c r="R72" s="69"/>
      <c r="S72" s="69"/>
    </row>
    <row r="73" spans="2:19" s="7" customFormat="1" x14ac:dyDescent="0.45">
      <c r="B73" t="s">
        <v>212</v>
      </c>
      <c r="I73" s="54">
        <f>+I112+I113+I117</f>
        <v>24.298999999999999</v>
      </c>
      <c r="J73" s="29">
        <f ca="1">+'Debt Calcs'!J39+'Debt Calcs'!J45+'Debt Calcs'!J51+'Debt Calcs'!J56</f>
        <v>6.1207096305575526</v>
      </c>
      <c r="K73" s="29">
        <f ca="1">+'Debt Calcs'!K39+'Debt Calcs'!K45+'Debt Calcs'!K51+'Debt Calcs'!K56</f>
        <v>31.864658785293972</v>
      </c>
      <c r="L73" s="29">
        <f ca="1">+'Debt Calcs'!L39+'Debt Calcs'!L45+'Debt Calcs'!L51+'Debt Calcs'!L56</f>
        <v>30.005731409652075</v>
      </c>
      <c r="M73" s="29">
        <f ca="1">+'Debt Calcs'!M39+'Debt Calcs'!M45+'Debt Calcs'!M51+'Debt Calcs'!M56</f>
        <v>22.867245460319236</v>
      </c>
      <c r="N73" s="29">
        <f ca="1">+'Debt Calcs'!N39+'Debt Calcs'!N45+'Debt Calcs'!N51+'Debt Calcs'!N56</f>
        <v>16.291347717424333</v>
      </c>
      <c r="O73" s="29">
        <f ca="1">+'Debt Calcs'!O39+'Debt Calcs'!O45+'Debt Calcs'!O51+'Debt Calcs'!O56</f>
        <v>11.497977838960081</v>
      </c>
      <c r="P73" s="29">
        <f ca="1">+'Debt Calcs'!P39+'Debt Calcs'!P45+'Debt Calcs'!P51+'Debt Calcs'!P56</f>
        <v>7.6713392966711833</v>
      </c>
      <c r="Q73" s="29">
        <f ca="1">+'Debt Calcs'!Q39+'Debt Calcs'!Q45+'Debt Calcs'!Q51+'Debt Calcs'!Q56</f>
        <v>3.8497093714246993</v>
      </c>
      <c r="R73" s="29">
        <f ca="1">+'Debt Calcs'!R39+'Debt Calcs'!R45+'Debt Calcs'!R51+'Debt Calcs'!R56</f>
        <v>-0.65423275060001851</v>
      </c>
      <c r="S73" s="29">
        <f ca="1">+'Debt Calcs'!S39+'Debt Calcs'!S45+'Debt Calcs'!S51+'Debt Calcs'!S56</f>
        <v>-5.5846848569178409</v>
      </c>
    </row>
    <row r="74" spans="2:19" s="7" customFormat="1" x14ac:dyDescent="0.45">
      <c r="B74" t="s">
        <v>214</v>
      </c>
      <c r="I74" s="29">
        <f>+'Debt Calcs'!I63</f>
        <v>-9.4949999999999992</v>
      </c>
      <c r="J74" s="29">
        <f>+'Debt Calcs'!J63</f>
        <v>-2.3130000000000002</v>
      </c>
      <c r="K74" s="29">
        <f>+'Debt Calcs'!K63</f>
        <v>-2.3130000000000002</v>
      </c>
      <c r="L74" s="29">
        <f>+'Debt Calcs'!L63</f>
        <v>-2.3130000000000002</v>
      </c>
      <c r="M74" s="29">
        <f>+'Debt Calcs'!M63</f>
        <v>-2.3130000000000002</v>
      </c>
      <c r="N74" s="29">
        <f>+'Debt Calcs'!N63</f>
        <v>-2.3130000000000002</v>
      </c>
      <c r="O74" s="29">
        <f>+'Debt Calcs'!O63</f>
        <v>-2.3130000000000002</v>
      </c>
      <c r="P74" s="29">
        <f>+'Debt Calcs'!P63</f>
        <v>-2.3130000000000002</v>
      </c>
      <c r="Q74" s="29">
        <f>+'Debt Calcs'!Q63</f>
        <v>-2.3130000000000002</v>
      </c>
      <c r="R74" s="29">
        <f>+'Debt Calcs'!R63</f>
        <v>-2.3130000000000002</v>
      </c>
      <c r="S74" s="29">
        <f>+'Debt Calcs'!S63</f>
        <v>-2.3130000000000002</v>
      </c>
    </row>
    <row r="75" spans="2:19" s="7" customFormat="1" x14ac:dyDescent="0.45">
      <c r="B75" t="s">
        <v>151</v>
      </c>
      <c r="I75" s="29">
        <f>+'P&amp;L'!I44</f>
        <v>0</v>
      </c>
      <c r="J75" s="29">
        <f>+'P&amp;L'!J44</f>
        <v>0</v>
      </c>
      <c r="K75" s="29">
        <f>+'P&amp;L'!K44</f>
        <v>0</v>
      </c>
      <c r="L75" s="29">
        <f>+'P&amp;L'!L44</f>
        <v>0</v>
      </c>
      <c r="M75" s="29">
        <f>+'P&amp;L'!M44</f>
        <v>0</v>
      </c>
      <c r="N75" s="29">
        <f>+'P&amp;L'!N44</f>
        <v>0</v>
      </c>
      <c r="O75" s="29">
        <f>+'P&amp;L'!O44</f>
        <v>0</v>
      </c>
      <c r="P75" s="29">
        <f>+'P&amp;L'!P44</f>
        <v>0</v>
      </c>
      <c r="Q75" s="29">
        <f>+'P&amp;L'!Q44</f>
        <v>0</v>
      </c>
      <c r="R75" s="29">
        <f>+'P&amp;L'!R44</f>
        <v>0</v>
      </c>
      <c r="S75" s="29">
        <f>+'P&amp;L'!S44</f>
        <v>0</v>
      </c>
    </row>
    <row r="76" spans="2:19" s="7" customFormat="1" x14ac:dyDescent="0.45">
      <c r="B76" t="s">
        <v>213</v>
      </c>
      <c r="I76" s="29">
        <f>+'P&amp;L'!I45</f>
        <v>-33.609000000000002</v>
      </c>
      <c r="J76" s="29">
        <f>+'P&amp;L'!J45</f>
        <v>-34.281179999999999</v>
      </c>
      <c r="K76" s="29">
        <f>+'P&amp;L'!K45</f>
        <v>-34.966803599999999</v>
      </c>
      <c r="L76" s="29">
        <f>+'P&amp;L'!L45</f>
        <v>-35.666139672</v>
      </c>
      <c r="M76" s="29">
        <f>+'P&amp;L'!M45</f>
        <v>-36.37946246544</v>
      </c>
      <c r="N76" s="29">
        <f>+'P&amp;L'!N45</f>
        <v>-37.107051714748799</v>
      </c>
      <c r="O76" s="29">
        <f>+'P&amp;L'!O45</f>
        <v>-37.849192749043773</v>
      </c>
      <c r="P76" s="29">
        <f>+'P&amp;L'!P45</f>
        <v>-38.606176604024647</v>
      </c>
      <c r="Q76" s="29">
        <f>+'P&amp;L'!Q45</f>
        <v>-39.378300136105139</v>
      </c>
      <c r="R76" s="29">
        <f>+'P&amp;L'!R45</f>
        <v>-40.165866138827241</v>
      </c>
      <c r="S76" s="29">
        <f>+'P&amp;L'!S45</f>
        <v>-40.969183461603784</v>
      </c>
    </row>
    <row r="77" spans="2:19" s="7" customFormat="1" x14ac:dyDescent="0.45">
      <c r="B77" t="s">
        <v>216</v>
      </c>
      <c r="I77" s="29">
        <f>+'P&amp;L'!I22</f>
        <v>-30.486000000000001</v>
      </c>
      <c r="J77" s="29">
        <f ca="1">+'P&amp;L'!J22</f>
        <v>-33.667631151878524</v>
      </c>
      <c r="K77" s="29">
        <f ca="1">+'P&amp;L'!K22</f>
        <v>-34.897667717522374</v>
      </c>
      <c r="L77" s="29">
        <f ca="1">+'P&amp;L'!L22</f>
        <v>-36.633587110757887</v>
      </c>
      <c r="M77" s="29">
        <f ca="1">+'P&amp;L'!M22</f>
        <v>-38.11403046311775</v>
      </c>
      <c r="N77" s="29">
        <f ca="1">+'P&amp;L'!N22</f>
        <v>-39.210471072088588</v>
      </c>
      <c r="O77" s="29">
        <f ca="1">+'P&amp;L'!O22</f>
        <v>-39.988572187712492</v>
      </c>
      <c r="P77" s="29">
        <f ca="1">+'P&amp;L'!P22</f>
        <v>-40.525313067221461</v>
      </c>
      <c r="Q77" s="29">
        <f ca="1">+'P&amp;L'!Q22</f>
        <v>-40.847902431501254</v>
      </c>
      <c r="R77" s="29">
        <f ca="1">+'P&amp;L'!R22</f>
        <v>-40.943590981520437</v>
      </c>
      <c r="S77" s="29">
        <f ca="1">+'P&amp;L'!S22</f>
        <v>-40.828171030632731</v>
      </c>
    </row>
    <row r="78" spans="2:19" s="7" customFormat="1" x14ac:dyDescent="0.45">
      <c r="B78" t="s">
        <v>207</v>
      </c>
      <c r="I78" s="51">
        <f>+I79-SUM(I73:I77)</f>
        <v>3.1599999999999895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</row>
    <row r="79" spans="2:19" s="7" customFormat="1" x14ac:dyDescent="0.45">
      <c r="B79" s="43" t="s">
        <v>194</v>
      </c>
      <c r="C79" s="43"/>
      <c r="D79" s="43"/>
      <c r="E79" s="43"/>
      <c r="F79" s="43"/>
      <c r="G79" s="43"/>
      <c r="H79" s="43"/>
      <c r="I79" s="68">
        <f>+I118</f>
        <v>-46.131000000000007</v>
      </c>
      <c r="J79" s="67">
        <f ca="1">+SUM(J73:J78)</f>
        <v>-64.141101521320962</v>
      </c>
      <c r="K79" s="67">
        <f t="shared" ref="K79:S79" ca="1" si="26">+SUM(K73:K78)</f>
        <v>-40.312812532228399</v>
      </c>
      <c r="L79" s="67">
        <f t="shared" ca="1" si="26"/>
        <v>-44.606995373105811</v>
      </c>
      <c r="M79" s="67">
        <f t="shared" ca="1" si="26"/>
        <v>-53.939247468238513</v>
      </c>
      <c r="N79" s="67">
        <f t="shared" ca="1" si="26"/>
        <v>-62.339175069413052</v>
      </c>
      <c r="O79" s="67">
        <f t="shared" ca="1" si="26"/>
        <v>-68.652787097796192</v>
      </c>
      <c r="P79" s="67">
        <f t="shared" ca="1" si="26"/>
        <v>-73.773150374574925</v>
      </c>
      <c r="Q79" s="67">
        <f t="shared" ca="1" si="26"/>
        <v>-78.689493196181701</v>
      </c>
      <c r="R79" s="67">
        <f t="shared" ca="1" si="26"/>
        <v>-84.076689870947689</v>
      </c>
      <c r="S79" s="67">
        <f t="shared" ca="1" si="26"/>
        <v>-89.695039349154357</v>
      </c>
    </row>
    <row r="80" spans="2:19" s="7" customFormat="1" x14ac:dyDescent="0.45">
      <c r="I80" s="54"/>
      <c r="J80" s="69"/>
      <c r="K80" s="69"/>
      <c r="L80" s="69"/>
      <c r="M80" s="69"/>
      <c r="N80" s="69"/>
      <c r="O80" s="69"/>
      <c r="P80" s="69"/>
      <c r="Q80" s="69"/>
      <c r="R80" s="69"/>
      <c r="S80" s="69"/>
    </row>
    <row r="81" spans="1:19" s="7" customFormat="1" x14ac:dyDescent="0.45">
      <c r="I81" s="54"/>
      <c r="J81" s="69"/>
      <c r="K81" s="69"/>
      <c r="L81" s="69"/>
      <c r="M81" s="69"/>
      <c r="N81" s="69"/>
      <c r="O81" s="69"/>
      <c r="P81" s="69"/>
      <c r="Q81" s="69"/>
      <c r="R81" s="69"/>
      <c r="S81" s="69"/>
    </row>
    <row r="83" spans="1:19" x14ac:dyDescent="0.45">
      <c r="A83" t="s">
        <v>36</v>
      </c>
      <c r="B83" s="20" t="s">
        <v>121</v>
      </c>
    </row>
    <row r="84" spans="1:19" x14ac:dyDescent="0.45">
      <c r="B84" t="s">
        <v>124</v>
      </c>
      <c r="H84" s="4"/>
      <c r="I84" s="4">
        <v>31.762</v>
      </c>
    </row>
    <row r="85" spans="1:19" x14ac:dyDescent="0.45">
      <c r="B85" t="s">
        <v>125</v>
      </c>
      <c r="H85" s="4"/>
      <c r="I85" s="4">
        <v>13.378</v>
      </c>
    </row>
    <row r="86" spans="1:19" x14ac:dyDescent="0.45">
      <c r="B86" t="s">
        <v>126</v>
      </c>
      <c r="H86" s="4"/>
      <c r="I86" s="4">
        <v>10.601000000000001</v>
      </c>
    </row>
    <row r="87" spans="1:19" x14ac:dyDescent="0.45">
      <c r="B87" t="s">
        <v>10</v>
      </c>
      <c r="H87" s="4"/>
      <c r="I87" s="4">
        <v>10.241</v>
      </c>
    </row>
    <row r="88" spans="1:19" x14ac:dyDescent="0.45">
      <c r="B88" t="s">
        <v>127</v>
      </c>
      <c r="H88" s="4"/>
      <c r="I88" s="4">
        <v>12.813000000000001</v>
      </c>
    </row>
    <row r="89" spans="1:19" x14ac:dyDescent="0.45">
      <c r="B89" t="s">
        <v>128</v>
      </c>
      <c r="H89" s="4"/>
      <c r="I89" s="4">
        <v>16.667000000000002</v>
      </c>
    </row>
    <row r="90" spans="1:19" x14ac:dyDescent="0.45">
      <c r="B90" t="s">
        <v>11</v>
      </c>
      <c r="H90" s="4"/>
      <c r="I90" s="4">
        <v>7.4139999999999997</v>
      </c>
    </row>
    <row r="91" spans="1:19" x14ac:dyDescent="0.45">
      <c r="B91" t="s">
        <v>8</v>
      </c>
      <c r="H91" s="4"/>
      <c r="I91" s="4">
        <v>-13.715999999999999</v>
      </c>
    </row>
    <row r="92" spans="1:19" x14ac:dyDescent="0.45">
      <c r="B92" t="s">
        <v>129</v>
      </c>
      <c r="H92" s="4"/>
      <c r="I92" s="4">
        <v>-9.0860000000000003</v>
      </c>
    </row>
    <row r="93" spans="1:19" x14ac:dyDescent="0.45">
      <c r="B93" t="s">
        <v>130</v>
      </c>
      <c r="H93" s="4"/>
      <c r="I93" s="4">
        <v>-3.0409999999999999</v>
      </c>
    </row>
    <row r="94" spans="1:19" x14ac:dyDescent="0.45">
      <c r="B94" t="s">
        <v>131</v>
      </c>
      <c r="H94" s="4"/>
      <c r="I94" s="4">
        <v>29.8</v>
      </c>
    </row>
    <row r="95" spans="1:19" x14ac:dyDescent="0.45">
      <c r="B95" t="s">
        <v>132</v>
      </c>
      <c r="H95" s="4"/>
      <c r="I95" s="4">
        <v>-1.9039999999999999</v>
      </c>
    </row>
    <row r="96" spans="1:19" x14ac:dyDescent="0.45">
      <c r="B96" t="s">
        <v>133</v>
      </c>
      <c r="H96" s="4"/>
      <c r="I96" s="4">
        <v>1.208</v>
      </c>
    </row>
    <row r="97" spans="2:19" x14ac:dyDescent="0.45">
      <c r="B97" t="s">
        <v>134</v>
      </c>
      <c r="H97" s="4"/>
      <c r="I97" s="4">
        <v>0</v>
      </c>
    </row>
    <row r="98" spans="2:19" x14ac:dyDescent="0.45">
      <c r="B98" t="s">
        <v>135</v>
      </c>
      <c r="H98" s="4"/>
      <c r="I98" s="4">
        <v>-0.42</v>
      </c>
    </row>
    <row r="99" spans="2:19" x14ac:dyDescent="0.45">
      <c r="B99" t="s">
        <v>136</v>
      </c>
      <c r="H99" s="4"/>
      <c r="I99" s="4">
        <v>-24.196999999999999</v>
      </c>
    </row>
    <row r="100" spans="2:19" x14ac:dyDescent="0.45">
      <c r="B100" t="s">
        <v>137</v>
      </c>
      <c r="H100" s="4"/>
      <c r="I100" s="4">
        <v>-48.42</v>
      </c>
    </row>
    <row r="101" spans="2:19" s="7" customFormat="1" x14ac:dyDescent="0.45">
      <c r="B101" s="43" t="s">
        <v>138</v>
      </c>
      <c r="C101" s="43"/>
      <c r="D101" s="43"/>
      <c r="E101" s="43"/>
      <c r="F101" s="43"/>
      <c r="G101" s="43"/>
      <c r="H101" s="43"/>
      <c r="I101" s="43">
        <f>SUM(I84:I100)</f>
        <v>33.100000000000009</v>
      </c>
      <c r="J101"/>
      <c r="K101"/>
      <c r="L101"/>
      <c r="M101"/>
      <c r="N101"/>
      <c r="O101"/>
      <c r="P101"/>
      <c r="Q101"/>
      <c r="R101"/>
      <c r="S101"/>
    </row>
    <row r="103" spans="2:19" x14ac:dyDescent="0.45">
      <c r="B103" t="s">
        <v>191</v>
      </c>
      <c r="I103" s="4">
        <v>-0.3</v>
      </c>
    </row>
    <row r="104" spans="2:19" x14ac:dyDescent="0.45">
      <c r="B104" t="s">
        <v>192</v>
      </c>
      <c r="I104" s="4">
        <v>-2.9950000000000001</v>
      </c>
    </row>
    <row r="105" spans="2:19" x14ac:dyDescent="0.45">
      <c r="B105" t="s">
        <v>193</v>
      </c>
      <c r="I105" s="4">
        <v>-7.5439999999999996</v>
      </c>
    </row>
    <row r="106" spans="2:19" x14ac:dyDescent="0.45">
      <c r="B106" s="43" t="s">
        <v>195</v>
      </c>
      <c r="C106" s="43"/>
      <c r="D106" s="43"/>
      <c r="E106" s="43"/>
      <c r="F106" s="43"/>
      <c r="G106" s="43"/>
      <c r="H106" s="43"/>
      <c r="I106" s="43">
        <f>SUM(I103:I105)</f>
        <v>-10.838999999999999</v>
      </c>
    </row>
    <row r="108" spans="2:19" x14ac:dyDescent="0.45">
      <c r="B108" t="s">
        <v>181</v>
      </c>
      <c r="H108" s="4"/>
      <c r="I108" s="4">
        <v>0.41599999999999998</v>
      </c>
    </row>
    <row r="109" spans="2:19" x14ac:dyDescent="0.45">
      <c r="B109" t="s">
        <v>182</v>
      </c>
      <c r="H109" s="4"/>
      <c r="I109" s="4">
        <v>-1.46</v>
      </c>
    </row>
    <row r="110" spans="2:19" x14ac:dyDescent="0.45">
      <c r="B110" t="s">
        <v>183</v>
      </c>
      <c r="H110" s="4"/>
      <c r="I110" s="4">
        <v>-0.06</v>
      </c>
    </row>
    <row r="111" spans="2:19" x14ac:dyDescent="0.45">
      <c r="B111" t="s">
        <v>184</v>
      </c>
      <c r="H111" s="4"/>
      <c r="I111" s="4">
        <v>-33.609000000000002</v>
      </c>
    </row>
    <row r="112" spans="2:19" x14ac:dyDescent="0.45">
      <c r="B112" t="s">
        <v>185</v>
      </c>
      <c r="H112" s="4"/>
      <c r="I112" s="4">
        <v>9.0869999999999997</v>
      </c>
    </row>
    <row r="113" spans="2:19" x14ac:dyDescent="0.45">
      <c r="B113" t="s">
        <v>186</v>
      </c>
      <c r="H113" s="4"/>
      <c r="I113" s="4">
        <v>-3.62</v>
      </c>
    </row>
    <row r="114" spans="2:19" x14ac:dyDescent="0.45">
      <c r="B114" t="s">
        <v>187</v>
      </c>
      <c r="H114" s="4"/>
      <c r="I114" s="4">
        <v>-26.256</v>
      </c>
    </row>
    <row r="115" spans="2:19" x14ac:dyDescent="0.45">
      <c r="B115" t="s">
        <v>188</v>
      </c>
      <c r="H115" s="4"/>
      <c r="I115" s="4">
        <v>3.4000000000000002E-2</v>
      </c>
    </row>
    <row r="116" spans="2:19" x14ac:dyDescent="0.45">
      <c r="B116" t="s">
        <v>189</v>
      </c>
      <c r="H116" s="4"/>
      <c r="I116" s="4">
        <v>-9.4949999999999992</v>
      </c>
    </row>
    <row r="117" spans="2:19" x14ac:dyDescent="0.45">
      <c r="B117" t="s">
        <v>190</v>
      </c>
      <c r="H117" s="4"/>
      <c r="I117" s="4">
        <v>18.832000000000001</v>
      </c>
    </row>
    <row r="118" spans="2:19" s="7" customFormat="1" x14ac:dyDescent="0.45">
      <c r="B118" s="43" t="s">
        <v>194</v>
      </c>
      <c r="C118" s="43"/>
      <c r="D118" s="43"/>
      <c r="E118" s="43"/>
      <c r="F118" s="43"/>
      <c r="G118" s="43"/>
      <c r="H118" s="43"/>
      <c r="I118" s="43">
        <f>SUM(I108:I117)</f>
        <v>-46.131000000000007</v>
      </c>
      <c r="J118"/>
      <c r="K118"/>
      <c r="L118"/>
      <c r="M118"/>
      <c r="N118"/>
      <c r="O118"/>
      <c r="P118"/>
      <c r="Q118"/>
      <c r="R118"/>
      <c r="S118"/>
    </row>
    <row r="120" spans="2:19" x14ac:dyDescent="0.45">
      <c r="B120" t="s">
        <v>196</v>
      </c>
      <c r="H120" s="4"/>
      <c r="I120" s="4">
        <v>0.54500000000000004</v>
      </c>
    </row>
    <row r="122" spans="2:19" x14ac:dyDescent="0.45">
      <c r="B122" t="s">
        <v>197</v>
      </c>
      <c r="I122">
        <f>+I120+I118+I106+I101</f>
        <v>-23.324999999999996</v>
      </c>
    </row>
  </sheetData>
  <pageMargins left="0.7" right="0.7" top="0.75" bottom="0.75" header="0.3" footer="0.3"/>
  <pageSetup paperSize="9" scale="2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9AD-ECAE-42A1-A1EB-143B101DD5D5}">
  <sheetPr>
    <tabColor theme="6" tint="0.79998168889431442"/>
  </sheetPr>
  <dimension ref="A1:T96"/>
  <sheetViews>
    <sheetView showGridLines="0" zoomScale="85" zoomScaleNormal="85" workbookViewId="0">
      <pane xSplit="4" ySplit="4" topLeftCell="E67" activePane="bottomRight" state="frozen"/>
      <selection pane="topRight" activeCell="E1" sqref="E1"/>
      <selection pane="bottomLeft" activeCell="A5" sqref="A5"/>
      <selection pane="bottomRight" activeCell="K96" sqref="K96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  <c r="I1" s="6"/>
    </row>
    <row r="2" spans="1:19" x14ac:dyDescent="0.45">
      <c r="A2" s="1" t="s">
        <v>3</v>
      </c>
      <c r="I2" s="6"/>
    </row>
    <row r="3" spans="1:19" x14ac:dyDescent="0.45">
      <c r="I3" s="6"/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5" spans="1:19" x14ac:dyDescent="0.45">
      <c r="E5" s="18"/>
      <c r="F5" s="18"/>
      <c r="G5" s="18"/>
      <c r="H5" s="18"/>
      <c r="I5" s="77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x14ac:dyDescent="0.45">
      <c r="A6" t="s">
        <v>36</v>
      </c>
      <c r="B6" s="20" t="s">
        <v>43</v>
      </c>
      <c r="E6" s="18"/>
      <c r="F6" s="18"/>
      <c r="G6" s="18"/>
      <c r="H6" s="18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19" x14ac:dyDescent="0.45">
      <c r="A7" s="31"/>
      <c r="B7" s="14" t="s">
        <v>30</v>
      </c>
      <c r="D7" s="6"/>
      <c r="E7" s="4">
        <v>164.374</v>
      </c>
      <c r="F7" s="4">
        <v>143.76300000000001</v>
      </c>
      <c r="G7" s="4">
        <v>145.22499999999999</v>
      </c>
      <c r="H7" s="4">
        <v>185.084</v>
      </c>
      <c r="I7" s="4">
        <v>206.572</v>
      </c>
      <c r="J7">
        <f>+J29</f>
        <v>216.90060000000003</v>
      </c>
      <c r="K7">
        <f t="shared" ref="K7:S7" si="1">+K29</f>
        <v>238.59066000000004</v>
      </c>
      <c r="L7">
        <f t="shared" si="1"/>
        <v>262.44972600000006</v>
      </c>
      <c r="M7">
        <f t="shared" si="1"/>
        <v>275.57221230000005</v>
      </c>
      <c r="N7">
        <f t="shared" si="1"/>
        <v>283.83937866900004</v>
      </c>
      <c r="O7">
        <f t="shared" si="1"/>
        <v>292.35456002907006</v>
      </c>
      <c r="P7">
        <f t="shared" si="1"/>
        <v>301.12519682994218</v>
      </c>
      <c r="Q7">
        <f t="shared" si="1"/>
        <v>310.15895273484045</v>
      </c>
      <c r="R7">
        <f t="shared" si="1"/>
        <v>319.46372131688565</v>
      </c>
      <c r="S7">
        <f t="shared" si="1"/>
        <v>329.04763295639225</v>
      </c>
    </row>
    <row r="8" spans="1:19" x14ac:dyDescent="0.45">
      <c r="A8" s="31"/>
      <c r="B8" s="14" t="s">
        <v>31</v>
      </c>
      <c r="D8" s="6"/>
      <c r="E8" s="4">
        <v>57.281999999999996</v>
      </c>
      <c r="F8" s="4">
        <v>68.995999999999995</v>
      </c>
      <c r="G8" s="4">
        <v>62.277999999999999</v>
      </c>
      <c r="H8" s="4">
        <v>45.753999999999998</v>
      </c>
      <c r="I8" s="4">
        <v>55.41</v>
      </c>
      <c r="J8">
        <f>+J36</f>
        <v>45.657840000000007</v>
      </c>
      <c r="K8">
        <f t="shared" ref="K8:S8" si="2">+K36</f>
        <v>54.081711480000003</v>
      </c>
      <c r="L8">
        <f t="shared" si="2"/>
        <v>69.630203530499998</v>
      </c>
      <c r="M8">
        <f t="shared" si="2"/>
        <v>75.30506511823576</v>
      </c>
      <c r="N8">
        <f t="shared" si="2"/>
        <v>81.054606840013051</v>
      </c>
      <c r="O8">
        <f t="shared" si="2"/>
        <v>86.825694847021992</v>
      </c>
      <c r="P8">
        <f t="shared" si="2"/>
        <v>92.560531991667801</v>
      </c>
      <c r="Q8">
        <f t="shared" si="2"/>
        <v>98.197468389960349</v>
      </c>
      <c r="R8">
        <f t="shared" si="2"/>
        <v>103.16626029049236</v>
      </c>
      <c r="S8">
        <f t="shared" si="2"/>
        <v>108.38647306119128</v>
      </c>
    </row>
    <row r="9" spans="1:19" x14ac:dyDescent="0.45">
      <c r="A9" s="31"/>
      <c r="B9" s="14" t="s">
        <v>32</v>
      </c>
      <c r="D9" s="6"/>
      <c r="E9" s="4">
        <v>157.74600000000001</v>
      </c>
      <c r="F9" s="4">
        <v>174.572</v>
      </c>
      <c r="G9" s="4">
        <v>168.60400000000001</v>
      </c>
      <c r="H9" s="4">
        <v>175.19399999999999</v>
      </c>
      <c r="I9" s="4">
        <v>203.55699999999999</v>
      </c>
      <c r="J9">
        <f>+J64</f>
        <v>223.9127</v>
      </c>
      <c r="K9">
        <f t="shared" ref="K9:S9" si="3">+K64</f>
        <v>252.34961289999998</v>
      </c>
      <c r="L9">
        <f t="shared" si="3"/>
        <v>284.41615066699995</v>
      </c>
      <c r="M9">
        <f t="shared" si="3"/>
        <v>320.57744715270991</v>
      </c>
      <c r="N9">
        <f t="shared" si="3"/>
        <v>352.63519186798095</v>
      </c>
      <c r="O9">
        <f t="shared" si="3"/>
        <v>379.08283125807947</v>
      </c>
      <c r="P9">
        <f t="shared" si="3"/>
        <v>404.91379369039458</v>
      </c>
      <c r="Q9">
        <f t="shared" si="3"/>
        <v>431.7776041616462</v>
      </c>
      <c r="R9">
        <f t="shared" si="3"/>
        <v>460.47747671327306</v>
      </c>
      <c r="S9">
        <f t="shared" si="3"/>
        <v>491.14060355132324</v>
      </c>
    </row>
    <row r="10" spans="1:19" s="7" customFormat="1" x14ac:dyDescent="0.45">
      <c r="A10" s="32"/>
      <c r="B10" s="7" t="s">
        <v>34</v>
      </c>
      <c r="E10" s="33">
        <f>SUM(E7:E9)</f>
        <v>379.40200000000004</v>
      </c>
      <c r="F10" s="33">
        <f>SUM(F7:F9)</f>
        <v>387.33100000000002</v>
      </c>
      <c r="G10" s="7">
        <f>SUM(G7:G9)</f>
        <v>376.10699999999997</v>
      </c>
      <c r="H10" s="7">
        <f>SUM(H7:H9)</f>
        <v>406.03199999999998</v>
      </c>
      <c r="I10" s="7">
        <f>SUM(I7:I9)</f>
        <v>465.53899999999999</v>
      </c>
      <c r="J10" s="7">
        <f t="shared" ref="J10:S10" si="4">SUM(J7:J9)</f>
        <v>486.47113999999999</v>
      </c>
      <c r="K10" s="7">
        <f t="shared" si="4"/>
        <v>545.02198438000005</v>
      </c>
      <c r="L10" s="7">
        <f t="shared" si="4"/>
        <v>616.49608019750008</v>
      </c>
      <c r="M10" s="7">
        <f t="shared" si="4"/>
        <v>671.4547245709457</v>
      </c>
      <c r="N10" s="7">
        <f t="shared" si="4"/>
        <v>717.52917737699408</v>
      </c>
      <c r="O10" s="7">
        <f t="shared" si="4"/>
        <v>758.26308613417154</v>
      </c>
      <c r="P10" s="7">
        <f t="shared" si="4"/>
        <v>798.59952251200457</v>
      </c>
      <c r="Q10" s="7">
        <f t="shared" si="4"/>
        <v>840.13402528644701</v>
      </c>
      <c r="R10" s="7">
        <f t="shared" si="4"/>
        <v>883.10745832065106</v>
      </c>
      <c r="S10" s="7">
        <f t="shared" si="4"/>
        <v>928.57470956890677</v>
      </c>
    </row>
    <row r="11" spans="1:19" x14ac:dyDescent="0.45">
      <c r="A11" s="31"/>
    </row>
    <row r="12" spans="1:19" s="7" customFormat="1" x14ac:dyDescent="0.45">
      <c r="A12" s="32"/>
      <c r="B12" s="7" t="s">
        <v>33</v>
      </c>
      <c r="D12" s="6"/>
      <c r="E12" s="8">
        <v>55.014000000000003</v>
      </c>
      <c r="F12" s="8">
        <v>52.469000000000001</v>
      </c>
      <c r="G12" s="8">
        <v>49.527000000000001</v>
      </c>
      <c r="H12" s="8">
        <v>46.502000000000002</v>
      </c>
      <c r="I12" s="8">
        <v>41.683999999999997</v>
      </c>
      <c r="J12" s="7">
        <f>+J82</f>
        <v>40.016639999999995</v>
      </c>
      <c r="K12" s="7">
        <f t="shared" ref="K12:S12" si="5">+K82</f>
        <v>38.415974399999996</v>
      </c>
      <c r="L12" s="7">
        <f t="shared" si="5"/>
        <v>36.879335423999997</v>
      </c>
      <c r="M12" s="7">
        <f t="shared" si="5"/>
        <v>35.404162007039993</v>
      </c>
      <c r="N12" s="7">
        <f t="shared" si="5"/>
        <v>33.98799552675839</v>
      </c>
      <c r="O12" s="7">
        <f t="shared" si="5"/>
        <v>32.628475705688054</v>
      </c>
      <c r="P12" s="7">
        <f t="shared" si="5"/>
        <v>31.323336677460532</v>
      </c>
      <c r="Q12" s="7">
        <f t="shared" si="5"/>
        <v>30.070403210362109</v>
      </c>
      <c r="R12" s="7">
        <f t="shared" si="5"/>
        <v>28.867587081947622</v>
      </c>
      <c r="S12" s="7">
        <f t="shared" si="5"/>
        <v>28.867587081947622</v>
      </c>
    </row>
    <row r="13" spans="1:19" x14ac:dyDescent="0.45">
      <c r="A13" s="31"/>
    </row>
    <row r="14" spans="1:19" s="7" customFormat="1" x14ac:dyDescent="0.45">
      <c r="A14" s="32"/>
      <c r="B14" s="7" t="s">
        <v>35</v>
      </c>
      <c r="D14" s="6"/>
      <c r="E14" s="7">
        <f>+E12+E10</f>
        <v>434.41600000000005</v>
      </c>
      <c r="F14" s="7">
        <f>+F12+F10</f>
        <v>439.8</v>
      </c>
      <c r="G14" s="7">
        <f>+G12+G10</f>
        <v>425.63399999999996</v>
      </c>
      <c r="H14" s="7">
        <f>+H12+H10</f>
        <v>452.53399999999999</v>
      </c>
      <c r="I14" s="7">
        <f>+I12+I10</f>
        <v>507.22299999999996</v>
      </c>
      <c r="J14" s="7">
        <f t="shared" ref="J14:S14" si="6">+J12+J10</f>
        <v>526.48777999999993</v>
      </c>
      <c r="K14" s="7">
        <f t="shared" si="6"/>
        <v>583.43795878000003</v>
      </c>
      <c r="L14" s="7">
        <f t="shared" si="6"/>
        <v>653.37541562150011</v>
      </c>
      <c r="M14" s="7">
        <f t="shared" si="6"/>
        <v>706.85888657798569</v>
      </c>
      <c r="N14" s="7">
        <f t="shared" si="6"/>
        <v>751.51717290375245</v>
      </c>
      <c r="O14" s="7">
        <f t="shared" si="6"/>
        <v>790.89156183985961</v>
      </c>
      <c r="P14" s="7">
        <f t="shared" si="6"/>
        <v>829.92285918946504</v>
      </c>
      <c r="Q14" s="7">
        <f t="shared" si="6"/>
        <v>870.2044284968091</v>
      </c>
      <c r="R14" s="7">
        <f t="shared" si="6"/>
        <v>911.97504540259865</v>
      </c>
      <c r="S14" s="7">
        <f t="shared" si="6"/>
        <v>957.44229665085436</v>
      </c>
    </row>
    <row r="15" spans="1:19" x14ac:dyDescent="0.45">
      <c r="B15" s="21" t="s">
        <v>42</v>
      </c>
      <c r="E15" s="21" t="b">
        <f>+E14='P&amp;L'!E6</f>
        <v>1</v>
      </c>
      <c r="F15" s="21" t="b">
        <f>+F14='P&amp;L'!F6</f>
        <v>1</v>
      </c>
      <c r="G15" s="21" t="b">
        <f>+G14='P&amp;L'!G6</f>
        <v>1</v>
      </c>
      <c r="H15" s="21" t="b">
        <f>+H14='P&amp;L'!H6</f>
        <v>1</v>
      </c>
      <c r="I15" s="21" t="b">
        <f>+I14='P&amp;L'!I6</f>
        <v>1</v>
      </c>
    </row>
    <row r="17" spans="1:19" x14ac:dyDescent="0.45">
      <c r="A17" t="s">
        <v>36</v>
      </c>
      <c r="B17" s="20" t="s">
        <v>111</v>
      </c>
    </row>
    <row r="18" spans="1:19" s="7" customFormat="1" x14ac:dyDescent="0.45">
      <c r="A18" s="41"/>
      <c r="B18" s="7" t="s">
        <v>29</v>
      </c>
      <c r="G18" s="8"/>
      <c r="H18" s="8">
        <v>162.69200000000001</v>
      </c>
      <c r="I18" s="8">
        <v>193.45500000000001</v>
      </c>
      <c r="J18" s="7">
        <f>+J19*J10</f>
        <v>194.58845600000001</v>
      </c>
      <c r="K18" s="7">
        <f t="shared" ref="K18:S18" si="7">+K19*K10</f>
        <v>223.4590135958</v>
      </c>
      <c r="L18" s="7">
        <f t="shared" si="7"/>
        <v>252.763392880975</v>
      </c>
      <c r="M18" s="7">
        <f t="shared" si="7"/>
        <v>275.29643707408775</v>
      </c>
      <c r="N18" s="7">
        <f t="shared" si="7"/>
        <v>294.18696272456754</v>
      </c>
      <c r="O18" s="7">
        <f t="shared" si="7"/>
        <v>310.88786531501029</v>
      </c>
      <c r="P18" s="7">
        <f t="shared" si="7"/>
        <v>327.42580422992188</v>
      </c>
      <c r="Q18" s="7">
        <f t="shared" si="7"/>
        <v>344.45495036744325</v>
      </c>
      <c r="R18" s="7">
        <f t="shared" si="7"/>
        <v>362.07405791146692</v>
      </c>
      <c r="S18" s="7">
        <f t="shared" si="7"/>
        <v>380.71563092325175</v>
      </c>
    </row>
    <row r="19" spans="1:19" x14ac:dyDescent="0.45">
      <c r="A19" s="38"/>
      <c r="B19" t="s">
        <v>16</v>
      </c>
      <c r="G19" s="6"/>
      <c r="H19" s="6">
        <f>+H18/H10</f>
        <v>0.40068763053158374</v>
      </c>
      <c r="I19" s="6">
        <f>+I18/I10</f>
        <v>0.41555057685822244</v>
      </c>
      <c r="J19" s="23">
        <v>0.4</v>
      </c>
      <c r="K19" s="23">
        <v>0.41</v>
      </c>
      <c r="L19" s="23">
        <v>0.41</v>
      </c>
      <c r="M19" s="23">
        <v>0.41</v>
      </c>
      <c r="N19" s="23">
        <v>0.41</v>
      </c>
      <c r="O19" s="23">
        <v>0.41</v>
      </c>
      <c r="P19" s="23">
        <v>0.41</v>
      </c>
      <c r="Q19" s="23">
        <v>0.41</v>
      </c>
      <c r="R19" s="23">
        <v>0.41</v>
      </c>
      <c r="S19" s="23">
        <v>0.41</v>
      </c>
    </row>
    <row r="20" spans="1:19" x14ac:dyDescent="0.45">
      <c r="A20" s="38"/>
    </row>
    <row r="21" spans="1:19" s="7" customFormat="1" x14ac:dyDescent="0.45">
      <c r="A21" s="41"/>
      <c r="B21" s="7" t="s">
        <v>90</v>
      </c>
      <c r="G21" s="8"/>
      <c r="H21" s="8">
        <v>32.195</v>
      </c>
      <c r="I21" s="8">
        <v>28.106000000000002</v>
      </c>
      <c r="J21" s="7">
        <f>+J22*J12</f>
        <v>26.010815999999998</v>
      </c>
      <c r="K21" s="7">
        <f t="shared" ref="K21:S21" si="8">+K22*K12</f>
        <v>24.97038336</v>
      </c>
      <c r="L21" s="7">
        <f t="shared" si="8"/>
        <v>23.9715680256</v>
      </c>
      <c r="M21" s="7">
        <f t="shared" si="8"/>
        <v>23.012705304575995</v>
      </c>
      <c r="N21" s="7">
        <f t="shared" si="8"/>
        <v>22.092197092392954</v>
      </c>
      <c r="O21" s="7">
        <f t="shared" si="8"/>
        <v>21.208509208697237</v>
      </c>
      <c r="P21" s="7">
        <f t="shared" si="8"/>
        <v>20.360168840349345</v>
      </c>
      <c r="Q21" s="7">
        <f t="shared" si="8"/>
        <v>19.545762086735373</v>
      </c>
      <c r="R21" s="7">
        <f t="shared" si="8"/>
        <v>18.763931603265956</v>
      </c>
      <c r="S21" s="7">
        <f t="shared" si="8"/>
        <v>18.763931603265956</v>
      </c>
    </row>
    <row r="22" spans="1:19" x14ac:dyDescent="0.45">
      <c r="A22" s="38"/>
      <c r="B22" t="s">
        <v>16</v>
      </c>
      <c r="G22" s="6"/>
      <c r="H22" s="6">
        <f>+H21/H12</f>
        <v>0.69233581351339724</v>
      </c>
      <c r="I22" s="6">
        <f>+I21/I12</f>
        <v>0.67426350638134547</v>
      </c>
      <c r="J22" s="23">
        <v>0.65</v>
      </c>
      <c r="K22" s="23">
        <f>+J22</f>
        <v>0.65</v>
      </c>
      <c r="L22" s="23">
        <f t="shared" ref="L22:S22" si="9">+K22</f>
        <v>0.65</v>
      </c>
      <c r="M22" s="23">
        <f t="shared" si="9"/>
        <v>0.65</v>
      </c>
      <c r="N22" s="23">
        <f t="shared" si="9"/>
        <v>0.65</v>
      </c>
      <c r="O22" s="23">
        <f t="shared" si="9"/>
        <v>0.65</v>
      </c>
      <c r="P22" s="23">
        <f t="shared" si="9"/>
        <v>0.65</v>
      </c>
      <c r="Q22" s="23">
        <f t="shared" si="9"/>
        <v>0.65</v>
      </c>
      <c r="R22" s="23">
        <f t="shared" si="9"/>
        <v>0.65</v>
      </c>
      <c r="S22" s="23">
        <f t="shared" si="9"/>
        <v>0.65</v>
      </c>
    </row>
    <row r="23" spans="1:19" x14ac:dyDescent="0.45">
      <c r="A23" s="38"/>
      <c r="H23" s="6"/>
      <c r="I23" s="6"/>
    </row>
    <row r="24" spans="1:19" x14ac:dyDescent="0.45">
      <c r="A24" s="38"/>
      <c r="B24" t="s">
        <v>92</v>
      </c>
      <c r="E24" s="39"/>
      <c r="F24" s="39"/>
      <c r="G24" s="39"/>
      <c r="H24" s="29">
        <f>+'P&amp;L'!H9</f>
        <v>4.3719999999999999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 spans="1:19" x14ac:dyDescent="0.45">
      <c r="A25" s="38"/>
    </row>
    <row r="26" spans="1:19" s="7" customFormat="1" x14ac:dyDescent="0.45">
      <c r="A26" s="41"/>
      <c r="B26" s="7" t="s">
        <v>108</v>
      </c>
      <c r="H26" s="7">
        <f>+H21+H18+H24</f>
        <v>199.25900000000001</v>
      </c>
      <c r="I26" s="7">
        <f>+I21+I18+I24</f>
        <v>221.56100000000001</v>
      </c>
      <c r="J26" s="7">
        <f t="shared" ref="J26:S26" si="10">+J21+J18+J24</f>
        <v>220.59927200000001</v>
      </c>
      <c r="K26" s="7">
        <f t="shared" si="10"/>
        <v>248.4293969558</v>
      </c>
      <c r="L26" s="7">
        <f t="shared" si="10"/>
        <v>276.734960906575</v>
      </c>
      <c r="M26" s="7">
        <f t="shared" si="10"/>
        <v>298.30914237866375</v>
      </c>
      <c r="N26" s="7">
        <f t="shared" si="10"/>
        <v>316.27915981696049</v>
      </c>
      <c r="O26" s="7">
        <f t="shared" si="10"/>
        <v>332.09637452370754</v>
      </c>
      <c r="P26" s="7">
        <f t="shared" si="10"/>
        <v>347.78597307027121</v>
      </c>
      <c r="Q26" s="7">
        <f t="shared" si="10"/>
        <v>364.0007124541786</v>
      </c>
      <c r="R26" s="7">
        <f t="shared" si="10"/>
        <v>380.8379895147329</v>
      </c>
      <c r="S26" s="7">
        <f t="shared" si="10"/>
        <v>399.47956252651773</v>
      </c>
    </row>
    <row r="27" spans="1:19" x14ac:dyDescent="0.45">
      <c r="G27" s="40"/>
      <c r="H27" s="40" t="b">
        <f>+ROUND(H26-'P&amp;L'!H13, 1)=0</f>
        <v>1</v>
      </c>
      <c r="I27" s="40" t="b">
        <f>+I26='P&amp;L'!I13</f>
        <v>1</v>
      </c>
    </row>
    <row r="28" spans="1:19" x14ac:dyDescent="0.45">
      <c r="A28" t="s">
        <v>36</v>
      </c>
      <c r="B28" s="20" t="s">
        <v>30</v>
      </c>
      <c r="I28" s="55"/>
    </row>
    <row r="29" spans="1:19" x14ac:dyDescent="0.45">
      <c r="A29" s="31"/>
      <c r="B29" t="s">
        <v>1</v>
      </c>
      <c r="E29" s="22">
        <f>+E7</f>
        <v>164.374</v>
      </c>
      <c r="F29" s="22">
        <f>+F7</f>
        <v>143.76300000000001</v>
      </c>
      <c r="G29" s="22">
        <f>+G7</f>
        <v>145.22499999999999</v>
      </c>
      <c r="H29" s="22">
        <f>+H7</f>
        <v>185.084</v>
      </c>
      <c r="I29" s="22">
        <f>+I7</f>
        <v>206.572</v>
      </c>
      <c r="J29">
        <f>+(1+J30)*I29</f>
        <v>216.90060000000003</v>
      </c>
      <c r="K29">
        <f t="shared" ref="K29:S29" si="11">+(1+K30)*J29</f>
        <v>238.59066000000004</v>
      </c>
      <c r="L29">
        <f t="shared" si="11"/>
        <v>262.44972600000006</v>
      </c>
      <c r="M29">
        <f t="shared" si="11"/>
        <v>275.57221230000005</v>
      </c>
      <c r="N29">
        <f t="shared" si="11"/>
        <v>283.83937866900004</v>
      </c>
      <c r="O29">
        <f t="shared" si="11"/>
        <v>292.35456002907006</v>
      </c>
      <c r="P29">
        <f t="shared" si="11"/>
        <v>301.12519682994218</v>
      </c>
      <c r="Q29">
        <f t="shared" si="11"/>
        <v>310.15895273484045</v>
      </c>
      <c r="R29">
        <f t="shared" si="11"/>
        <v>319.46372131688565</v>
      </c>
      <c r="S29">
        <f t="shared" si="11"/>
        <v>329.04763295639225</v>
      </c>
    </row>
    <row r="30" spans="1:19" x14ac:dyDescent="0.45">
      <c r="A30" s="31"/>
      <c r="B30" t="s">
        <v>4</v>
      </c>
      <c r="F30" s="6">
        <f>+F29/E29-1</f>
        <v>-0.12539087690267314</v>
      </c>
      <c r="G30" s="6">
        <f>+G29/F29-1</f>
        <v>1.0169515104720972E-2</v>
      </c>
      <c r="H30" s="6">
        <f>+H29/G29-1</f>
        <v>0.27446376312618348</v>
      </c>
      <c r="I30" s="6">
        <f>+I29/H29-1</f>
        <v>0.11609863629487149</v>
      </c>
      <c r="J30" s="6">
        <f t="shared" ref="J30:S30" si="12">+CHOOSE(Case, J31,J32,J33)</f>
        <v>0.05</v>
      </c>
      <c r="K30" s="6">
        <f t="shared" si="12"/>
        <v>0.1</v>
      </c>
      <c r="L30" s="6">
        <f t="shared" si="12"/>
        <v>0.1</v>
      </c>
      <c r="M30" s="6">
        <f t="shared" si="12"/>
        <v>0.05</v>
      </c>
      <c r="N30" s="6">
        <f t="shared" si="12"/>
        <v>0.03</v>
      </c>
      <c r="O30" s="6">
        <f t="shared" si="12"/>
        <v>0.03</v>
      </c>
      <c r="P30" s="6">
        <f t="shared" si="12"/>
        <v>0.03</v>
      </c>
      <c r="Q30" s="6">
        <f t="shared" si="12"/>
        <v>0.03</v>
      </c>
      <c r="R30" s="6">
        <f t="shared" si="12"/>
        <v>0.03</v>
      </c>
      <c r="S30" s="6">
        <f t="shared" si="12"/>
        <v>0.03</v>
      </c>
    </row>
    <row r="31" spans="1:19" x14ac:dyDescent="0.45">
      <c r="A31" s="31"/>
      <c r="B31" s="14" t="s">
        <v>51</v>
      </c>
      <c r="J31" s="23">
        <v>0.05</v>
      </c>
      <c r="K31" s="23">
        <v>0.1</v>
      </c>
      <c r="L31" s="23">
        <v>0.1</v>
      </c>
      <c r="M31" s="23">
        <v>0.05</v>
      </c>
      <c r="N31" s="23">
        <v>0.03</v>
      </c>
      <c r="O31" s="23">
        <v>0.03</v>
      </c>
      <c r="P31" s="23">
        <v>0.03</v>
      </c>
      <c r="Q31" s="23">
        <v>0.03</v>
      </c>
      <c r="R31" s="23">
        <v>0.03</v>
      </c>
      <c r="S31" s="23">
        <v>0.03</v>
      </c>
    </row>
    <row r="32" spans="1:19" x14ac:dyDescent="0.45">
      <c r="A32" s="31"/>
      <c r="B32" s="14" t="s">
        <v>53</v>
      </c>
      <c r="J32" s="23">
        <v>0.05</v>
      </c>
      <c r="K32" s="23">
        <v>0.15</v>
      </c>
      <c r="L32" s="23">
        <v>0.1</v>
      </c>
      <c r="M32" s="23">
        <v>0.05</v>
      </c>
      <c r="N32" s="23">
        <v>0.05</v>
      </c>
      <c r="O32" s="23">
        <v>0.05</v>
      </c>
      <c r="P32" s="23">
        <v>0.05</v>
      </c>
      <c r="Q32" s="23">
        <v>0.05</v>
      </c>
      <c r="R32" s="23">
        <v>0.05</v>
      </c>
      <c r="S32" s="23">
        <v>0.05</v>
      </c>
    </row>
    <row r="33" spans="1:19" x14ac:dyDescent="0.45">
      <c r="A33" s="31"/>
      <c r="B33" s="14" t="s">
        <v>52</v>
      </c>
      <c r="J33" s="23">
        <v>0.05</v>
      </c>
      <c r="K33" s="23">
        <v>0.05</v>
      </c>
      <c r="L33" s="23">
        <v>0.05</v>
      </c>
      <c r="M33" s="23">
        <v>0.05</v>
      </c>
      <c r="N33" s="23">
        <v>0.05</v>
      </c>
      <c r="O33" s="23">
        <v>0.05</v>
      </c>
      <c r="P33" s="23">
        <v>0.05</v>
      </c>
      <c r="Q33" s="23">
        <v>0.05</v>
      </c>
      <c r="R33" s="23">
        <v>0.05</v>
      </c>
      <c r="S33" s="23">
        <v>0.05</v>
      </c>
    </row>
    <row r="35" spans="1:19" x14ac:dyDescent="0.45">
      <c r="A35" t="s">
        <v>36</v>
      </c>
      <c r="B35" s="20" t="s">
        <v>44</v>
      </c>
    </row>
    <row r="36" spans="1:19" x14ac:dyDescent="0.45">
      <c r="A36" s="31"/>
      <c r="B36" t="s">
        <v>1</v>
      </c>
      <c r="E36" s="22">
        <f>+E8</f>
        <v>57.281999999999996</v>
      </c>
      <c r="F36" s="22">
        <f>+F8</f>
        <v>68.995999999999995</v>
      </c>
      <c r="G36" s="22">
        <f>+G8</f>
        <v>62.277999999999999</v>
      </c>
      <c r="H36" s="22">
        <f>+H8</f>
        <v>45.753999999999998</v>
      </c>
      <c r="I36" s="22">
        <f>+I8</f>
        <v>55.41</v>
      </c>
      <c r="J36">
        <f>+J39*J45</f>
        <v>45.657840000000007</v>
      </c>
      <c r="K36">
        <f t="shared" ref="K36:S36" si="13">+K39*K45</f>
        <v>54.081711480000003</v>
      </c>
      <c r="L36">
        <f t="shared" si="13"/>
        <v>69.630203530499998</v>
      </c>
      <c r="M36">
        <f t="shared" si="13"/>
        <v>75.30506511823576</v>
      </c>
      <c r="N36">
        <f t="shared" si="13"/>
        <v>81.054606840013051</v>
      </c>
      <c r="O36">
        <f t="shared" si="13"/>
        <v>86.825694847021992</v>
      </c>
      <c r="P36">
        <f t="shared" si="13"/>
        <v>92.560531991667801</v>
      </c>
      <c r="Q36">
        <f t="shared" si="13"/>
        <v>98.197468389960349</v>
      </c>
      <c r="R36">
        <f t="shared" si="13"/>
        <v>103.16626029049236</v>
      </c>
      <c r="S36">
        <f t="shared" si="13"/>
        <v>108.38647306119128</v>
      </c>
    </row>
    <row r="37" spans="1:19" x14ac:dyDescent="0.45">
      <c r="A37" s="31"/>
      <c r="B37" t="s">
        <v>4</v>
      </c>
      <c r="F37" s="6">
        <f t="shared" ref="F37:S37" si="14">+F36/E36-1</f>
        <v>0.20449704968401949</v>
      </c>
      <c r="G37" s="6">
        <f t="shared" si="14"/>
        <v>-9.7367963360194709E-2</v>
      </c>
      <c r="H37" s="6">
        <f t="shared" si="14"/>
        <v>-0.26532643951315071</v>
      </c>
      <c r="I37" s="6">
        <f t="shared" si="14"/>
        <v>0.21104165755999471</v>
      </c>
      <c r="J37" s="6">
        <f t="shared" si="14"/>
        <v>-0.17599999999999982</v>
      </c>
      <c r="K37" s="6">
        <f t="shared" si="14"/>
        <v>0.18449999999999989</v>
      </c>
      <c r="L37" s="6">
        <f t="shared" si="14"/>
        <v>0.28749999999999987</v>
      </c>
      <c r="M37" s="6">
        <f t="shared" si="14"/>
        <v>8.1500000000000128E-2</v>
      </c>
      <c r="N37" s="6">
        <f t="shared" si="14"/>
        <v>7.6349999999999918E-2</v>
      </c>
      <c r="O37" s="6">
        <f t="shared" si="14"/>
        <v>7.1200000000000152E-2</v>
      </c>
      <c r="P37" s="6">
        <f t="shared" si="14"/>
        <v>6.6050000000000164E-2</v>
      </c>
      <c r="Q37" s="6">
        <f t="shared" si="14"/>
        <v>6.0899999999999732E-2</v>
      </c>
      <c r="R37" s="6">
        <f t="shared" si="14"/>
        <v>5.06000000000002E-2</v>
      </c>
      <c r="S37" s="6">
        <f t="shared" si="14"/>
        <v>5.0599999999999978E-2</v>
      </c>
    </row>
    <row r="38" spans="1:19" x14ac:dyDescent="0.45">
      <c r="A38" s="31"/>
      <c r="F38" s="6"/>
      <c r="G38" s="6"/>
      <c r="H38" s="6"/>
      <c r="I38" s="6"/>
    </row>
    <row r="39" spans="1:19" x14ac:dyDescent="0.45">
      <c r="A39" s="31"/>
      <c r="B39" t="s">
        <v>45</v>
      </c>
      <c r="E39" s="4">
        <v>25</v>
      </c>
      <c r="F39" s="4">
        <f>7.2+7+8.7+9.3</f>
        <v>32.200000000000003</v>
      </c>
      <c r="G39" s="4">
        <f>12+9.9+10.3+11.6</f>
        <v>43.800000000000004</v>
      </c>
      <c r="H39" s="4">
        <v>35</v>
      </c>
      <c r="I39" s="4">
        <v>32.9</v>
      </c>
      <c r="J39">
        <f>+(1+J40)*I39</f>
        <v>33.887</v>
      </c>
      <c r="K39">
        <f t="shared" ref="K39:S39" si="15">+(1+K40)*J39</f>
        <v>34.90361</v>
      </c>
      <c r="L39">
        <f t="shared" si="15"/>
        <v>35.950718299999998</v>
      </c>
      <c r="M39">
        <f t="shared" si="15"/>
        <v>37.029239849</v>
      </c>
      <c r="N39">
        <f t="shared" si="15"/>
        <v>38.140117044470003</v>
      </c>
      <c r="O39">
        <f t="shared" si="15"/>
        <v>39.284320555804101</v>
      </c>
      <c r="P39">
        <f t="shared" si="15"/>
        <v>40.462850172478227</v>
      </c>
      <c r="Q39">
        <f t="shared" si="15"/>
        <v>41.676735677652573</v>
      </c>
      <c r="R39">
        <f t="shared" si="15"/>
        <v>42.927037747982155</v>
      </c>
      <c r="S39">
        <f t="shared" si="15"/>
        <v>44.21484888042162</v>
      </c>
    </row>
    <row r="40" spans="1:19" x14ac:dyDescent="0.45">
      <c r="A40" s="31"/>
      <c r="B40" t="s">
        <v>4</v>
      </c>
      <c r="F40" s="24">
        <f>+F39/E39-1</f>
        <v>0.28800000000000003</v>
      </c>
      <c r="G40" s="24">
        <f>+G39/F39-1</f>
        <v>0.36024844720496896</v>
      </c>
      <c r="H40" s="24">
        <f>+H39/G39-1</f>
        <v>-0.20091324200913252</v>
      </c>
      <c r="I40" s="24">
        <f>+I39/H39-1</f>
        <v>-6.0000000000000053E-2</v>
      </c>
      <c r="J40" s="6">
        <f t="shared" ref="J40:S40" si="16">+CHOOSE(Case, J41,J42,J43)</f>
        <v>0.03</v>
      </c>
      <c r="K40" s="6">
        <f t="shared" si="16"/>
        <v>0.03</v>
      </c>
      <c r="L40" s="6">
        <f t="shared" si="16"/>
        <v>0.03</v>
      </c>
      <c r="M40" s="6">
        <f t="shared" si="16"/>
        <v>0.03</v>
      </c>
      <c r="N40" s="6">
        <f t="shared" si="16"/>
        <v>0.03</v>
      </c>
      <c r="O40" s="6">
        <f t="shared" si="16"/>
        <v>0.03</v>
      </c>
      <c r="P40" s="6">
        <f t="shared" si="16"/>
        <v>0.03</v>
      </c>
      <c r="Q40" s="6">
        <f t="shared" si="16"/>
        <v>0.03</v>
      </c>
      <c r="R40" s="6">
        <f t="shared" si="16"/>
        <v>0.03</v>
      </c>
      <c r="S40" s="6">
        <f t="shared" si="16"/>
        <v>0.03</v>
      </c>
    </row>
    <row r="41" spans="1:19" x14ac:dyDescent="0.45">
      <c r="A41" s="31"/>
      <c r="B41" s="14" t="s">
        <v>51</v>
      </c>
      <c r="J41" s="23">
        <v>0.03</v>
      </c>
      <c r="K41" s="23">
        <v>0.03</v>
      </c>
      <c r="L41" s="23">
        <v>0.03</v>
      </c>
      <c r="M41" s="23">
        <v>0.03</v>
      </c>
      <c r="N41" s="23">
        <v>0.03</v>
      </c>
      <c r="O41" s="23">
        <v>0.03</v>
      </c>
      <c r="P41" s="23">
        <v>0.03</v>
      </c>
      <c r="Q41" s="23">
        <v>0.03</v>
      </c>
      <c r="R41" s="23">
        <v>0.03</v>
      </c>
      <c r="S41" s="23">
        <v>0.03</v>
      </c>
    </row>
    <row r="42" spans="1:19" x14ac:dyDescent="0.45">
      <c r="A42" s="31"/>
      <c r="B42" s="14" t="s">
        <v>53</v>
      </c>
      <c r="J42" s="23">
        <v>0.05</v>
      </c>
      <c r="K42" s="23">
        <v>0.05</v>
      </c>
      <c r="L42" s="23">
        <v>0.05</v>
      </c>
      <c r="M42" s="23">
        <v>0.05</v>
      </c>
      <c r="N42" s="23">
        <v>0.05</v>
      </c>
      <c r="O42" s="23">
        <v>0.05</v>
      </c>
      <c r="P42" s="23">
        <v>0.05</v>
      </c>
      <c r="Q42" s="23">
        <v>0.05</v>
      </c>
      <c r="R42" s="23">
        <v>0.05</v>
      </c>
      <c r="S42" s="23">
        <v>0.05</v>
      </c>
    </row>
    <row r="43" spans="1:19" x14ac:dyDescent="0.45">
      <c r="A43" s="31"/>
      <c r="B43" s="14" t="s">
        <v>52</v>
      </c>
      <c r="J43" s="23">
        <v>0</v>
      </c>
      <c r="K43" s="23">
        <v>0.03</v>
      </c>
      <c r="L43" s="23">
        <v>0.03</v>
      </c>
      <c r="M43" s="23">
        <v>0.03</v>
      </c>
      <c r="N43" s="23">
        <v>0.03</v>
      </c>
      <c r="O43" s="23">
        <v>0.03</v>
      </c>
      <c r="P43" s="23">
        <v>0.03</v>
      </c>
      <c r="Q43" s="23">
        <v>0.03</v>
      </c>
      <c r="R43" s="23">
        <v>0.03</v>
      </c>
      <c r="S43" s="23">
        <v>0.03</v>
      </c>
    </row>
    <row r="44" spans="1:19" x14ac:dyDescent="0.45">
      <c r="A44" s="31"/>
      <c r="K44" s="15"/>
      <c r="L44" s="15"/>
      <c r="M44" s="15"/>
      <c r="N44" s="15"/>
      <c r="O44" s="15"/>
      <c r="P44" s="15"/>
      <c r="Q44" s="15"/>
      <c r="R44" s="15"/>
      <c r="S44" s="15"/>
    </row>
    <row r="45" spans="1:19" x14ac:dyDescent="0.45">
      <c r="A45" s="31"/>
      <c r="B45" t="s">
        <v>47</v>
      </c>
      <c r="E45" s="28">
        <f>+E36/E39</f>
        <v>2.29128</v>
      </c>
      <c r="F45" s="28">
        <f>+F36/F39</f>
        <v>2.1427329192546583</v>
      </c>
      <c r="G45" s="28">
        <f>+G36/G39</f>
        <v>1.4218721461187214</v>
      </c>
      <c r="H45" s="28">
        <f>+H36/H39</f>
        <v>1.3072571428571429</v>
      </c>
      <c r="I45" s="28">
        <f>+I36/I39</f>
        <v>1.6841945288753799</v>
      </c>
      <c r="J45" s="15">
        <f>+(1+J46)*I45</f>
        <v>1.3473556231003041</v>
      </c>
      <c r="K45" s="15">
        <f t="shared" ref="K45:S45" si="17">+(1+K46)*J45</f>
        <v>1.5494589665653495</v>
      </c>
      <c r="L45" s="15">
        <f t="shared" si="17"/>
        <v>1.936823708206687</v>
      </c>
      <c r="M45" s="15">
        <f t="shared" si="17"/>
        <v>2.0336648936170216</v>
      </c>
      <c r="N45" s="15">
        <f t="shared" si="17"/>
        <v>2.1251798138297873</v>
      </c>
      <c r="O45" s="15">
        <f t="shared" si="17"/>
        <v>2.2101870063829789</v>
      </c>
      <c r="P45" s="15">
        <f t="shared" si="17"/>
        <v>2.2875435516063831</v>
      </c>
      <c r="Q45" s="15">
        <f t="shared" si="17"/>
        <v>2.3561698581545745</v>
      </c>
      <c r="R45" s="15">
        <f t="shared" si="17"/>
        <v>2.4032932553176658</v>
      </c>
      <c r="S45" s="15">
        <f t="shared" si="17"/>
        <v>2.4513591204240193</v>
      </c>
    </row>
    <row r="46" spans="1:19" x14ac:dyDescent="0.45">
      <c r="A46" s="31"/>
      <c r="B46" t="s">
        <v>4</v>
      </c>
      <c r="F46" s="24">
        <f>+F45/E45-1</f>
        <v>-6.4831483164581205E-2</v>
      </c>
      <c r="G46" s="24">
        <f>+G45/F45-1</f>
        <v>-0.33642119680817972</v>
      </c>
      <c r="H46" s="24">
        <f>+H45/G45-1</f>
        <v>-8.060851573359995E-2</v>
      </c>
      <c r="I46" s="24">
        <f>+I45/H45-1</f>
        <v>0.2883421888936113</v>
      </c>
      <c r="J46" s="6">
        <f t="shared" ref="J46:S46" si="18">+CHOOSE(Case, J47,J48,J49)</f>
        <v>-0.2</v>
      </c>
      <c r="K46" s="6">
        <f t="shared" si="18"/>
        <v>0.15</v>
      </c>
      <c r="L46" s="6">
        <f t="shared" si="18"/>
        <v>0.25</v>
      </c>
      <c r="M46" s="6">
        <f t="shared" si="18"/>
        <v>0.05</v>
      </c>
      <c r="N46" s="6">
        <f t="shared" si="18"/>
        <v>4.4999999999999998E-2</v>
      </c>
      <c r="O46" s="6">
        <f t="shared" si="18"/>
        <v>0.04</v>
      </c>
      <c r="P46" s="6">
        <f t="shared" si="18"/>
        <v>3.5000000000000003E-2</v>
      </c>
      <c r="Q46" s="6">
        <f t="shared" si="18"/>
        <v>0.03</v>
      </c>
      <c r="R46" s="6">
        <f t="shared" si="18"/>
        <v>0.02</v>
      </c>
      <c r="S46" s="6">
        <f t="shared" si="18"/>
        <v>0.02</v>
      </c>
    </row>
    <row r="47" spans="1:19" x14ac:dyDescent="0.45">
      <c r="A47" s="31"/>
      <c r="B47" s="14" t="s">
        <v>51</v>
      </c>
      <c r="J47" s="23">
        <v>-0.2</v>
      </c>
      <c r="K47" s="23">
        <v>0.15</v>
      </c>
      <c r="L47" s="23">
        <v>0.25</v>
      </c>
      <c r="M47" s="23">
        <v>0.05</v>
      </c>
      <c r="N47" s="23">
        <v>4.4999999999999998E-2</v>
      </c>
      <c r="O47" s="23">
        <v>0.04</v>
      </c>
      <c r="P47" s="23">
        <v>3.5000000000000003E-2</v>
      </c>
      <c r="Q47" s="23">
        <v>0.03</v>
      </c>
      <c r="R47" s="23">
        <v>0.02</v>
      </c>
      <c r="S47" s="23">
        <v>0.02</v>
      </c>
    </row>
    <row r="48" spans="1:19" x14ac:dyDescent="0.45">
      <c r="A48" s="31"/>
      <c r="B48" s="14" t="s">
        <v>53</v>
      </c>
      <c r="J48" s="23">
        <v>-0.2</v>
      </c>
      <c r="K48" s="23">
        <v>0.2</v>
      </c>
      <c r="L48" s="23">
        <v>0.3</v>
      </c>
      <c r="M48" s="23">
        <v>0.1</v>
      </c>
      <c r="N48" s="23">
        <v>0.05</v>
      </c>
      <c r="O48" s="23">
        <v>4.4999999999999998E-2</v>
      </c>
      <c r="P48" s="23">
        <v>0.04</v>
      </c>
      <c r="Q48" s="23">
        <v>0.03</v>
      </c>
      <c r="R48" s="23">
        <v>0.02</v>
      </c>
      <c r="S48" s="23">
        <v>0.02</v>
      </c>
    </row>
    <row r="49" spans="1:19" x14ac:dyDescent="0.45">
      <c r="A49" s="31"/>
      <c r="B49" s="14" t="s">
        <v>52</v>
      </c>
      <c r="J49" s="23">
        <v>-0.3</v>
      </c>
      <c r="K49" s="23">
        <v>0.1</v>
      </c>
      <c r="L49" s="23">
        <v>0.1</v>
      </c>
      <c r="M49" s="23">
        <v>0.05</v>
      </c>
      <c r="N49" s="23">
        <v>4.4999999999999998E-2</v>
      </c>
      <c r="O49" s="23">
        <v>0.04</v>
      </c>
      <c r="P49" s="23">
        <v>3.5000000000000003E-2</v>
      </c>
      <c r="Q49" s="23">
        <v>0.03</v>
      </c>
      <c r="R49" s="23">
        <v>0.02</v>
      </c>
      <c r="S49" s="23">
        <v>0.02</v>
      </c>
    </row>
    <row r="51" spans="1:19" x14ac:dyDescent="0.45">
      <c r="B51" s="20" t="s">
        <v>56</v>
      </c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x14ac:dyDescent="0.45">
      <c r="B52" t="s">
        <v>46</v>
      </c>
      <c r="E52" s="17">
        <v>1.3600421936244125</v>
      </c>
      <c r="F52" s="17">
        <v>1.3511735635497422</v>
      </c>
      <c r="G52" s="17">
        <v>1.4737851158089246</v>
      </c>
      <c r="H52" s="17">
        <v>1.6806006347469979</v>
      </c>
      <c r="I52" s="17">
        <v>1.4820115113941466</v>
      </c>
      <c r="J52" s="17">
        <v>1.4822099302950418</v>
      </c>
      <c r="K52" s="17">
        <v>1.5684875175933506</v>
      </c>
      <c r="L52" s="17">
        <v>1.6575047229571465</v>
      </c>
      <c r="M52" s="17">
        <v>1.737463582151723</v>
      </c>
      <c r="N52" s="17">
        <v>1.8087072796189312</v>
      </c>
      <c r="O52" s="17">
        <v>1.8717475333691</v>
      </c>
      <c r="P52" s="17">
        <v>1.9271993605779758</v>
      </c>
      <c r="Q52" s="17">
        <v>1.9757297929303284</v>
      </c>
      <c r="R52" s="17">
        <v>1.9757297929303284</v>
      </c>
      <c r="S52" s="17">
        <v>1.9757297929303284</v>
      </c>
    </row>
    <row r="53" spans="1:19" x14ac:dyDescent="0.45">
      <c r="B53" t="s">
        <v>48</v>
      </c>
      <c r="E53" s="17">
        <v>1.8245270429341323</v>
      </c>
      <c r="F53" s="17">
        <v>1.7463244889719707</v>
      </c>
      <c r="G53" s="17">
        <v>1.8424133179901814</v>
      </c>
      <c r="H53" s="17">
        <v>2.1068821074504474</v>
      </c>
      <c r="I53" s="17">
        <v>1.8286951217431735</v>
      </c>
      <c r="J53" s="17">
        <v>1.7842480776747838</v>
      </c>
      <c r="K53" s="17">
        <v>1.9290466352826341</v>
      </c>
      <c r="L53" s="17">
        <v>2.0277097479742459</v>
      </c>
      <c r="M53" s="17">
        <v>2.1009687509061314</v>
      </c>
      <c r="N53" s="17">
        <v>2.1787008722337782</v>
      </c>
      <c r="O53" s="17">
        <v>2.2611487598196058</v>
      </c>
      <c r="P53" s="17">
        <v>2.3485559669422842</v>
      </c>
      <c r="Q53" s="17">
        <v>2.4309662190705215</v>
      </c>
      <c r="R53" s="17">
        <v>2.4309662190705215</v>
      </c>
      <c r="S53" s="17">
        <v>2.4309662190705215</v>
      </c>
    </row>
    <row r="54" spans="1:19" x14ac:dyDescent="0.4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1:19" x14ac:dyDescent="0.45">
      <c r="B55" t="s">
        <v>58</v>
      </c>
      <c r="E55" s="17"/>
      <c r="F55" s="17"/>
      <c r="G55" s="17"/>
      <c r="H55" s="17"/>
      <c r="I55" s="17"/>
      <c r="J55" s="30">
        <f>+Output!J8</f>
        <v>1.3503000000000001</v>
      </c>
      <c r="K55" s="30">
        <f>+Output!K8</f>
        <v>1.3440000000000001</v>
      </c>
      <c r="L55" s="30">
        <f>+Output!L8</f>
        <v>1.3365</v>
      </c>
      <c r="M55" s="30">
        <f>+Output!M8</f>
        <v>1.3303</v>
      </c>
      <c r="N55" s="30">
        <f>+Output!N8</f>
        <v>1.3236000000000001</v>
      </c>
      <c r="O55" s="30">
        <f>+Output!O8</f>
        <v>1.3171999999999999</v>
      </c>
      <c r="P55" s="30">
        <f>+Output!P8</f>
        <v>1.3128</v>
      </c>
      <c r="Q55" s="30">
        <f>+Output!Q8</f>
        <v>1.3102</v>
      </c>
      <c r="R55" s="30">
        <f>+Output!R8</f>
        <v>1.3098000000000001</v>
      </c>
      <c r="S55" s="30">
        <f>+Output!S8</f>
        <v>1.3089</v>
      </c>
    </row>
    <row r="57" spans="1:19" x14ac:dyDescent="0.45">
      <c r="B57" t="s">
        <v>49</v>
      </c>
      <c r="J57" s="15">
        <f>+J52/J$55</f>
        <v>1.0976893507332013</v>
      </c>
      <c r="K57" s="15">
        <f t="shared" ref="K57:S58" si="19">+K52/K$55</f>
        <v>1.1670294029712429</v>
      </c>
      <c r="L57" s="15">
        <f t="shared" si="19"/>
        <v>1.2401831073379321</v>
      </c>
      <c r="M57" s="15">
        <f t="shared" si="19"/>
        <v>1.3060689935741734</v>
      </c>
      <c r="N57" s="15">
        <f t="shared" si="19"/>
        <v>1.3665059531723565</v>
      </c>
      <c r="O57" s="15">
        <f t="shared" si="19"/>
        <v>1.4210048082061191</v>
      </c>
      <c r="P57" s="15">
        <f t="shared" si="19"/>
        <v>1.4680068255469043</v>
      </c>
      <c r="Q57" s="15">
        <f t="shared" si="19"/>
        <v>1.5079604586554178</v>
      </c>
      <c r="R57" s="15">
        <f t="shared" si="19"/>
        <v>1.5084209749048161</v>
      </c>
      <c r="S57" s="15">
        <f t="shared" si="19"/>
        <v>1.5094581655820372</v>
      </c>
    </row>
    <row r="58" spans="1:19" x14ac:dyDescent="0.45">
      <c r="B58" t="s">
        <v>50</v>
      </c>
      <c r="J58" s="15">
        <f>+J53/J$55</f>
        <v>1.3213716045877091</v>
      </c>
      <c r="K58" s="15">
        <f t="shared" si="19"/>
        <v>1.4353025560138646</v>
      </c>
      <c r="L58" s="15">
        <f t="shared" si="19"/>
        <v>1.5171790108299632</v>
      </c>
      <c r="M58" s="15">
        <f t="shared" si="19"/>
        <v>1.5793195150763975</v>
      </c>
      <c r="N58" s="15">
        <f t="shared" si="19"/>
        <v>1.6460417590161514</v>
      </c>
      <c r="O58" s="15">
        <f t="shared" si="19"/>
        <v>1.716632827072279</v>
      </c>
      <c r="P58" s="15">
        <f t="shared" si="19"/>
        <v>1.7889670680547565</v>
      </c>
      <c r="Q58" s="15">
        <f t="shared" si="19"/>
        <v>1.855416134231813</v>
      </c>
      <c r="R58" s="15">
        <f t="shared" si="19"/>
        <v>1.8559827600171945</v>
      </c>
      <c r="S58" s="15">
        <f t="shared" si="19"/>
        <v>1.8572589342734522</v>
      </c>
    </row>
    <row r="59" spans="1:19" x14ac:dyDescent="0.45"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spans="1:19" s="1" customFormat="1" x14ac:dyDescent="0.45">
      <c r="B60" s="1" t="s">
        <v>321</v>
      </c>
      <c r="J60" s="87"/>
      <c r="K60" s="80">
        <f>+K57/J57-1</f>
        <v>6.3169103527993542E-2</v>
      </c>
      <c r="L60" s="80">
        <f t="shared" ref="L60:S60" si="20">+L57/K57-1</f>
        <v>6.2683685758422758E-2</v>
      </c>
      <c r="M60" s="80">
        <f t="shared" si="20"/>
        <v>5.3125934264389496E-2</v>
      </c>
      <c r="N60" s="80">
        <f t="shared" si="20"/>
        <v>4.6273941036446997E-2</v>
      </c>
      <c r="O60" s="80">
        <f t="shared" si="20"/>
        <v>3.9881900922014379E-2</v>
      </c>
      <c r="P60" s="80">
        <f t="shared" si="20"/>
        <v>3.3076606827334265E-2</v>
      </c>
      <c r="Q60" s="80">
        <f t="shared" si="20"/>
        <v>2.7216244783895283E-2</v>
      </c>
      <c r="R60" s="80">
        <f t="shared" si="20"/>
        <v>3.0539013589847563E-4</v>
      </c>
      <c r="S60" s="80">
        <f t="shared" si="20"/>
        <v>6.8760027504022325E-4</v>
      </c>
    </row>
    <row r="61" spans="1:19" s="1" customFormat="1" x14ac:dyDescent="0.45">
      <c r="B61" s="1" t="s">
        <v>322</v>
      </c>
      <c r="K61" s="80">
        <f>+K58/J58-1</f>
        <v>8.6221734318033816E-2</v>
      </c>
      <c r="L61" s="80">
        <f t="shared" ref="L61:S61" si="21">+L58/K58-1</f>
        <v>5.7044735601591068E-2</v>
      </c>
      <c r="M61" s="80">
        <f t="shared" si="21"/>
        <v>4.0957925072032664E-2</v>
      </c>
      <c r="N61" s="80">
        <f t="shared" si="21"/>
        <v>4.2247463735371138E-2</v>
      </c>
      <c r="O61" s="80">
        <f t="shared" si="21"/>
        <v>4.2885344596798269E-2</v>
      </c>
      <c r="P61" s="80">
        <f t="shared" si="21"/>
        <v>4.21372816840766E-2</v>
      </c>
      <c r="Q61" s="80">
        <f t="shared" si="21"/>
        <v>3.7143817437237825E-2</v>
      </c>
      <c r="R61" s="80">
        <f t="shared" si="21"/>
        <v>3.0539013589869768E-4</v>
      </c>
      <c r="S61" s="80">
        <f t="shared" si="21"/>
        <v>6.8760027504022325E-4</v>
      </c>
    </row>
    <row r="63" spans="1:19" x14ac:dyDescent="0.45">
      <c r="A63" t="s">
        <v>36</v>
      </c>
      <c r="B63" s="20" t="s">
        <v>32</v>
      </c>
    </row>
    <row r="64" spans="1:19" x14ac:dyDescent="0.45">
      <c r="A64" s="31"/>
      <c r="B64" t="s">
        <v>1</v>
      </c>
      <c r="E64" s="22">
        <f>+E9</f>
        <v>157.74600000000001</v>
      </c>
      <c r="F64" s="22">
        <f>+F9</f>
        <v>174.572</v>
      </c>
      <c r="G64" s="22">
        <f>+G9</f>
        <v>168.60400000000001</v>
      </c>
      <c r="H64" s="22">
        <f>+H9</f>
        <v>175.19399999999999</v>
      </c>
      <c r="I64" s="22">
        <f>+I9</f>
        <v>203.55699999999999</v>
      </c>
      <c r="J64">
        <f>+J67+J74</f>
        <v>223.9127</v>
      </c>
      <c r="K64">
        <f t="shared" ref="K64:S64" si="22">+K67+K74</f>
        <v>252.34961289999998</v>
      </c>
      <c r="L64">
        <f t="shared" si="22"/>
        <v>284.41615066699995</v>
      </c>
      <c r="M64">
        <f t="shared" si="22"/>
        <v>320.57744715270991</v>
      </c>
      <c r="N64">
        <f t="shared" si="22"/>
        <v>352.63519186798095</v>
      </c>
      <c r="O64">
        <f t="shared" si="22"/>
        <v>379.08283125807947</v>
      </c>
      <c r="P64">
        <f t="shared" si="22"/>
        <v>404.91379369039458</v>
      </c>
      <c r="Q64">
        <f t="shared" si="22"/>
        <v>431.7776041616462</v>
      </c>
      <c r="R64">
        <f t="shared" si="22"/>
        <v>460.47747671327306</v>
      </c>
      <c r="S64">
        <f t="shared" si="22"/>
        <v>491.14060355132324</v>
      </c>
    </row>
    <row r="65" spans="1:19" x14ac:dyDescent="0.45">
      <c r="A65" s="31"/>
      <c r="B65" t="s">
        <v>4</v>
      </c>
      <c r="F65" s="6">
        <f t="shared" ref="F65:S65" si="23">+F64/E64-1</f>
        <v>0.10666514523347659</v>
      </c>
      <c r="G65" s="6">
        <f t="shared" si="23"/>
        <v>-3.4186467474738191E-2</v>
      </c>
      <c r="H65" s="6">
        <f t="shared" si="23"/>
        <v>3.9085668192925249E-2</v>
      </c>
      <c r="I65" s="6">
        <f t="shared" si="23"/>
        <v>0.16189481374932924</v>
      </c>
      <c r="J65" s="6">
        <f t="shared" si="23"/>
        <v>0.10000000000000009</v>
      </c>
      <c r="K65" s="6">
        <f t="shared" si="23"/>
        <v>0.127</v>
      </c>
      <c r="L65" s="6">
        <f t="shared" si="23"/>
        <v>0.12707187222715155</v>
      </c>
      <c r="M65" s="6">
        <f t="shared" si="23"/>
        <v>0.12714220483227168</v>
      </c>
      <c r="N65" s="6">
        <f t="shared" si="23"/>
        <v>0.10000000000000009</v>
      </c>
      <c r="O65" s="6">
        <f t="shared" si="23"/>
        <v>7.4999999999999734E-2</v>
      </c>
      <c r="P65" s="6">
        <f t="shared" si="23"/>
        <v>6.8140681408832782E-2</v>
      </c>
      <c r="Q65" s="6">
        <f t="shared" si="23"/>
        <v>6.6344517993358831E-2</v>
      </c>
      <c r="R65" s="6">
        <f t="shared" si="23"/>
        <v>6.6469108807418298E-2</v>
      </c>
      <c r="S65" s="6">
        <f t="shared" si="23"/>
        <v>6.6589851596896343E-2</v>
      </c>
    </row>
    <row r="66" spans="1:19" x14ac:dyDescent="0.45">
      <c r="A66" s="31"/>
      <c r="F66" s="6"/>
      <c r="G66" s="6"/>
      <c r="H66" s="6"/>
      <c r="I66" s="6"/>
    </row>
    <row r="67" spans="1:19" x14ac:dyDescent="0.45">
      <c r="A67" s="31"/>
      <c r="B67" t="s">
        <v>59</v>
      </c>
      <c r="E67" s="22">
        <f>+E68*E64</f>
        <v>110.4222</v>
      </c>
      <c r="F67" s="22">
        <f>+F68*F64</f>
        <v>122.20039999999999</v>
      </c>
      <c r="G67" s="22">
        <f>+G68*G64</f>
        <v>126.453</v>
      </c>
      <c r="H67" s="22">
        <f>+H68*H64</f>
        <v>157.6746</v>
      </c>
      <c r="I67" s="22">
        <f>+I68*I64</f>
        <v>183.2013</v>
      </c>
      <c r="J67">
        <f>+(1+J69)*I67</f>
        <v>201.52143000000001</v>
      </c>
      <c r="K67">
        <f t="shared" ref="K67:S67" si="24">+(1+K69)*J67</f>
        <v>227.71921589999999</v>
      </c>
      <c r="L67">
        <f t="shared" si="24"/>
        <v>257.32271396699997</v>
      </c>
      <c r="M67">
        <f t="shared" si="24"/>
        <v>290.77466678270991</v>
      </c>
      <c r="N67">
        <f t="shared" si="24"/>
        <v>319.85213346098095</v>
      </c>
      <c r="O67">
        <f t="shared" si="24"/>
        <v>343.8410434705545</v>
      </c>
      <c r="P67">
        <f t="shared" si="24"/>
        <v>367.90991651349333</v>
      </c>
      <c r="Q67">
        <f t="shared" si="24"/>
        <v>393.6636106694379</v>
      </c>
      <c r="R67">
        <f t="shared" si="24"/>
        <v>421.22006341629856</v>
      </c>
      <c r="S67">
        <f t="shared" si="24"/>
        <v>450.70546785543951</v>
      </c>
    </row>
    <row r="68" spans="1:19" x14ac:dyDescent="0.45">
      <c r="A68" s="31"/>
      <c r="B68" t="s">
        <v>61</v>
      </c>
      <c r="E68" s="35">
        <v>0.7</v>
      </c>
      <c r="F68" s="35">
        <v>0.7</v>
      </c>
      <c r="G68" s="35">
        <v>0.75</v>
      </c>
      <c r="H68" s="35">
        <v>0.9</v>
      </c>
      <c r="I68" s="35">
        <v>0.9</v>
      </c>
      <c r="J68" s="6">
        <f>+J67/J64</f>
        <v>0.9</v>
      </c>
      <c r="K68" s="6">
        <f t="shared" ref="K68:S68" si="25">+K67/K64</f>
        <v>0.9023957409050577</v>
      </c>
      <c r="L68" s="6">
        <f t="shared" si="25"/>
        <v>0.90474016107572763</v>
      </c>
      <c r="M68" s="6">
        <f t="shared" si="25"/>
        <v>0.90703407044163287</v>
      </c>
      <c r="N68" s="6">
        <f t="shared" si="25"/>
        <v>0.90703407044163287</v>
      </c>
      <c r="O68" s="6">
        <f t="shared" si="25"/>
        <v>0.90703407044163287</v>
      </c>
      <c r="P68" s="6">
        <f t="shared" si="25"/>
        <v>0.9086129498339709</v>
      </c>
      <c r="Q68" s="6">
        <f t="shared" si="25"/>
        <v>0.91172772018546056</v>
      </c>
      <c r="R68" s="6">
        <f t="shared" si="25"/>
        <v>0.91474628992240803</v>
      </c>
      <c r="S68" s="6">
        <f t="shared" si="25"/>
        <v>0.91767095735211734</v>
      </c>
    </row>
    <row r="69" spans="1:19" x14ac:dyDescent="0.45">
      <c r="A69" s="31"/>
      <c r="B69" t="s">
        <v>4</v>
      </c>
      <c r="E69" s="35"/>
      <c r="F69" s="36">
        <f>+F67/E67-1</f>
        <v>0.10666514523347637</v>
      </c>
      <c r="G69" s="36">
        <f>+G67/F67-1</f>
        <v>3.4800213419923454E-2</v>
      </c>
      <c r="H69" s="36">
        <f>+H67/G67-1</f>
        <v>0.24690280183151048</v>
      </c>
      <c r="I69" s="36">
        <f>+I67/H67-1</f>
        <v>0.16189481374932946</v>
      </c>
      <c r="J69" s="6">
        <f t="shared" ref="J69:S69" si="26">+CHOOSE(Case, J70,J71,J72)</f>
        <v>0.1</v>
      </c>
      <c r="K69" s="6">
        <f t="shared" si="26"/>
        <v>0.13</v>
      </c>
      <c r="L69" s="6">
        <f t="shared" si="26"/>
        <v>0.13</v>
      </c>
      <c r="M69" s="6">
        <f t="shared" si="26"/>
        <v>0.13</v>
      </c>
      <c r="N69" s="6">
        <f t="shared" si="26"/>
        <v>0.1</v>
      </c>
      <c r="O69" s="6">
        <f t="shared" si="26"/>
        <v>7.4999999999999997E-2</v>
      </c>
      <c r="P69" s="6">
        <f t="shared" si="26"/>
        <v>7.0000000000000007E-2</v>
      </c>
      <c r="Q69" s="6">
        <f t="shared" si="26"/>
        <v>7.0000000000000007E-2</v>
      </c>
      <c r="R69" s="6">
        <f t="shared" si="26"/>
        <v>7.0000000000000007E-2</v>
      </c>
      <c r="S69" s="6">
        <f t="shared" si="26"/>
        <v>7.0000000000000007E-2</v>
      </c>
    </row>
    <row r="70" spans="1:19" x14ac:dyDescent="0.45">
      <c r="A70" s="31"/>
      <c r="B70" s="14" t="s">
        <v>51</v>
      </c>
      <c r="J70" s="23">
        <v>0.1</v>
      </c>
      <c r="K70" s="23">
        <v>0.13</v>
      </c>
      <c r="L70" s="23">
        <v>0.13</v>
      </c>
      <c r="M70" s="23">
        <v>0.13</v>
      </c>
      <c r="N70" s="23">
        <v>0.1</v>
      </c>
      <c r="O70" s="23">
        <v>7.4999999999999997E-2</v>
      </c>
      <c r="P70" s="23">
        <v>7.0000000000000007E-2</v>
      </c>
      <c r="Q70" s="23">
        <v>7.0000000000000007E-2</v>
      </c>
      <c r="R70" s="23">
        <v>7.0000000000000007E-2</v>
      </c>
      <c r="S70" s="23">
        <v>7.0000000000000007E-2</v>
      </c>
    </row>
    <row r="71" spans="1:19" x14ac:dyDescent="0.45">
      <c r="A71" s="31"/>
      <c r="B71" s="14" t="s">
        <v>53</v>
      </c>
      <c r="J71" s="23">
        <v>0.1</v>
      </c>
      <c r="K71" s="23">
        <v>0.13</v>
      </c>
      <c r="L71" s="23">
        <v>0.13</v>
      </c>
      <c r="M71" s="23">
        <v>0.13</v>
      </c>
      <c r="N71" s="23">
        <v>0.1</v>
      </c>
      <c r="O71" s="23">
        <v>7.4999999999999997E-2</v>
      </c>
      <c r="P71" s="23">
        <v>7.0000000000000007E-2</v>
      </c>
      <c r="Q71" s="23">
        <v>7.0000000000000007E-2</v>
      </c>
      <c r="R71" s="23">
        <v>7.0000000000000007E-2</v>
      </c>
      <c r="S71" s="23">
        <v>7.0000000000000007E-2</v>
      </c>
    </row>
    <row r="72" spans="1:19" x14ac:dyDescent="0.45">
      <c r="A72" s="31"/>
      <c r="B72" s="14" t="s">
        <v>52</v>
      </c>
      <c r="J72" s="23">
        <v>0.05</v>
      </c>
      <c r="K72" s="23">
        <v>0.1</v>
      </c>
      <c r="L72" s="23">
        <v>7.4999999999999997E-2</v>
      </c>
      <c r="M72" s="23">
        <v>0.05</v>
      </c>
      <c r="N72" s="23">
        <v>0.05</v>
      </c>
      <c r="O72" s="23">
        <v>0.05</v>
      </c>
      <c r="P72" s="23">
        <v>0.05</v>
      </c>
      <c r="Q72" s="23">
        <v>0.05</v>
      </c>
      <c r="R72" s="23">
        <v>0.05</v>
      </c>
      <c r="S72" s="23">
        <v>0.05</v>
      </c>
    </row>
    <row r="73" spans="1:19" x14ac:dyDescent="0.45">
      <c r="A73" s="31"/>
      <c r="E73" s="35"/>
      <c r="F73" s="35"/>
      <c r="G73" s="35"/>
      <c r="H73" s="35"/>
      <c r="I73" s="35"/>
    </row>
    <row r="74" spans="1:19" x14ac:dyDescent="0.45">
      <c r="A74" s="31"/>
      <c r="B74" t="s">
        <v>60</v>
      </c>
      <c r="E74" s="22">
        <f>+E64-E67</f>
        <v>47.323800000000006</v>
      </c>
      <c r="F74" s="22">
        <f>+F64-F67</f>
        <v>52.371600000000015</v>
      </c>
      <c r="G74" s="22">
        <f>+G64-G67</f>
        <v>42.15100000000001</v>
      </c>
      <c r="H74" s="22">
        <f>+H64-H67</f>
        <v>17.51939999999999</v>
      </c>
      <c r="I74" s="22">
        <f>+I64-I67</f>
        <v>20.355699999999985</v>
      </c>
      <c r="J74">
        <f>+(1+J76)*I74</f>
        <v>22.391269999999984</v>
      </c>
      <c r="K74">
        <f t="shared" ref="K74:S74" si="27">+(1+K76)*J74</f>
        <v>24.630396999999984</v>
      </c>
      <c r="L74">
        <f t="shared" si="27"/>
        <v>27.093436699999984</v>
      </c>
      <c r="M74">
        <f t="shared" si="27"/>
        <v>29.802780369999983</v>
      </c>
      <c r="N74">
        <f t="shared" si="27"/>
        <v>32.783058406999984</v>
      </c>
      <c r="O74">
        <f t="shared" si="27"/>
        <v>35.241787787524984</v>
      </c>
      <c r="P74">
        <f t="shared" si="27"/>
        <v>37.003877176901234</v>
      </c>
      <c r="Q74">
        <f t="shared" si="27"/>
        <v>38.113993492208273</v>
      </c>
      <c r="R74">
        <f t="shared" si="27"/>
        <v>39.257413296974519</v>
      </c>
      <c r="S74">
        <f t="shared" si="27"/>
        <v>40.435135695883758</v>
      </c>
    </row>
    <row r="75" spans="1:19" x14ac:dyDescent="0.45">
      <c r="A75" s="31"/>
      <c r="B75" t="s">
        <v>61</v>
      </c>
      <c r="E75" s="6">
        <f t="shared" ref="E75:S75" si="28">+E74/E64</f>
        <v>0.30000000000000004</v>
      </c>
      <c r="F75" s="6">
        <f t="shared" si="28"/>
        <v>0.3000000000000001</v>
      </c>
      <c r="G75" s="6">
        <f t="shared" si="28"/>
        <v>0.25000000000000006</v>
      </c>
      <c r="H75" s="6">
        <f t="shared" si="28"/>
        <v>9.999999999999995E-2</v>
      </c>
      <c r="I75" s="6">
        <f t="shared" si="28"/>
        <v>9.9999999999999936E-2</v>
      </c>
      <c r="J75" s="6">
        <f t="shared" si="28"/>
        <v>9.9999999999999936E-2</v>
      </c>
      <c r="K75" s="6">
        <f t="shared" si="28"/>
        <v>9.7604259094942275E-2</v>
      </c>
      <c r="L75" s="6">
        <f t="shared" si="28"/>
        <v>9.5259838924272325E-2</v>
      </c>
      <c r="M75" s="6">
        <f t="shared" si="28"/>
        <v>9.2965929558367105E-2</v>
      </c>
      <c r="N75" s="6">
        <f t="shared" si="28"/>
        <v>9.2965929558367105E-2</v>
      </c>
      <c r="O75" s="6">
        <f t="shared" si="28"/>
        <v>9.2965929558367119E-2</v>
      </c>
      <c r="P75" s="6">
        <f t="shared" si="28"/>
        <v>9.1387050166029063E-2</v>
      </c>
      <c r="Q75" s="6">
        <f t="shared" si="28"/>
        <v>8.8272279814539417E-2</v>
      </c>
      <c r="R75" s="6">
        <f t="shared" si="28"/>
        <v>8.525371007759204E-2</v>
      </c>
      <c r="S75" s="6">
        <f t="shared" si="28"/>
        <v>8.2329042647882739E-2</v>
      </c>
    </row>
    <row r="76" spans="1:19" x14ac:dyDescent="0.45">
      <c r="A76" s="31"/>
      <c r="B76" t="s">
        <v>4</v>
      </c>
      <c r="F76" s="36">
        <f>+F74/E74-1</f>
        <v>0.10666514523347681</v>
      </c>
      <c r="G76" s="36">
        <f>+G74/F74-1</f>
        <v>-0.19515538956228184</v>
      </c>
      <c r="H76" s="36">
        <f>+H74/G74-1</f>
        <v>-0.58436573272283021</v>
      </c>
      <c r="I76" s="36">
        <f>+I74/H74-1</f>
        <v>0.16189481374932901</v>
      </c>
      <c r="J76" s="6">
        <f t="shared" ref="J76:S76" si="29">+CHOOSE(Case, J77,J78,J79)</f>
        <v>0.1</v>
      </c>
      <c r="K76" s="6">
        <f t="shared" si="29"/>
        <v>0.1</v>
      </c>
      <c r="L76" s="6">
        <f t="shared" si="29"/>
        <v>0.1</v>
      </c>
      <c r="M76" s="6">
        <f t="shared" si="29"/>
        <v>0.1</v>
      </c>
      <c r="N76" s="6">
        <f t="shared" si="29"/>
        <v>0.1</v>
      </c>
      <c r="O76" s="6">
        <f t="shared" si="29"/>
        <v>7.4999999999999997E-2</v>
      </c>
      <c r="P76" s="6">
        <f t="shared" si="29"/>
        <v>0.05</v>
      </c>
      <c r="Q76" s="6">
        <f t="shared" si="29"/>
        <v>0.03</v>
      </c>
      <c r="R76" s="6">
        <f t="shared" si="29"/>
        <v>0.03</v>
      </c>
      <c r="S76" s="6">
        <f t="shared" si="29"/>
        <v>0.03</v>
      </c>
    </row>
    <row r="77" spans="1:19" x14ac:dyDescent="0.45">
      <c r="A77" s="31"/>
      <c r="B77" s="14" t="s">
        <v>51</v>
      </c>
      <c r="F77" s="36"/>
      <c r="G77" s="36"/>
      <c r="H77" s="36"/>
      <c r="I77" s="36"/>
      <c r="J77" s="23">
        <v>0.1</v>
      </c>
      <c r="K77" s="23">
        <v>0.1</v>
      </c>
      <c r="L77" s="23">
        <v>0.1</v>
      </c>
      <c r="M77" s="23">
        <v>0.1</v>
      </c>
      <c r="N77" s="23">
        <v>0.1</v>
      </c>
      <c r="O77" s="23">
        <v>7.4999999999999997E-2</v>
      </c>
      <c r="P77" s="23">
        <v>0.05</v>
      </c>
      <c r="Q77" s="23">
        <v>0.03</v>
      </c>
      <c r="R77" s="23">
        <v>0.03</v>
      </c>
      <c r="S77" s="23">
        <v>0.03</v>
      </c>
    </row>
    <row r="78" spans="1:19" x14ac:dyDescent="0.45">
      <c r="A78" s="31"/>
      <c r="B78" s="14" t="s">
        <v>53</v>
      </c>
      <c r="F78" s="36"/>
      <c r="G78" s="36"/>
      <c r="H78" s="36"/>
      <c r="I78" s="36"/>
      <c r="J78" s="23">
        <f>+J77+5%</f>
        <v>0.15000000000000002</v>
      </c>
      <c r="K78" s="23">
        <f t="shared" ref="K78:S78" si="30">+K77+5%</f>
        <v>0.15000000000000002</v>
      </c>
      <c r="L78" s="23">
        <f t="shared" si="30"/>
        <v>0.15000000000000002</v>
      </c>
      <c r="M78" s="23">
        <f t="shared" si="30"/>
        <v>0.15000000000000002</v>
      </c>
      <c r="N78" s="23">
        <f t="shared" si="30"/>
        <v>0.15000000000000002</v>
      </c>
      <c r="O78" s="23">
        <f t="shared" si="30"/>
        <v>0.125</v>
      </c>
      <c r="P78" s="23">
        <f t="shared" si="30"/>
        <v>0.1</v>
      </c>
      <c r="Q78" s="23">
        <f t="shared" si="30"/>
        <v>0.08</v>
      </c>
      <c r="R78" s="23">
        <f t="shared" si="30"/>
        <v>0.08</v>
      </c>
      <c r="S78" s="23">
        <f t="shared" si="30"/>
        <v>0.08</v>
      </c>
    </row>
    <row r="79" spans="1:19" x14ac:dyDescent="0.45">
      <c r="A79" s="31"/>
      <c r="B79" s="14" t="s">
        <v>52</v>
      </c>
      <c r="F79" s="36"/>
      <c r="G79" s="36"/>
      <c r="H79" s="36"/>
      <c r="I79" s="36"/>
      <c r="J79" s="23">
        <v>0</v>
      </c>
      <c r="K79" s="23">
        <v>0.1</v>
      </c>
      <c r="L79" s="23">
        <v>0.1</v>
      </c>
      <c r="M79" s="23">
        <v>0.1</v>
      </c>
      <c r="N79" s="23">
        <v>0.1</v>
      </c>
      <c r="O79" s="23">
        <v>7.4999999999999997E-2</v>
      </c>
      <c r="P79" s="23">
        <v>0.05</v>
      </c>
      <c r="Q79" s="23">
        <v>0.03</v>
      </c>
      <c r="R79" s="23">
        <v>0.03</v>
      </c>
      <c r="S79" s="23">
        <v>0.03</v>
      </c>
    </row>
    <row r="81" spans="1:20" x14ac:dyDescent="0.45">
      <c r="A81" t="s">
        <v>36</v>
      </c>
      <c r="B81" s="20" t="s">
        <v>33</v>
      </c>
    </row>
    <row r="82" spans="1:20" x14ac:dyDescent="0.45">
      <c r="A82" s="31"/>
      <c r="B82" t="s">
        <v>1</v>
      </c>
      <c r="E82" s="22">
        <f>+E12</f>
        <v>55.014000000000003</v>
      </c>
      <c r="F82" s="22">
        <f>+F12</f>
        <v>52.469000000000001</v>
      </c>
      <c r="G82" s="22">
        <f>+G12</f>
        <v>49.527000000000001</v>
      </c>
      <c r="H82" s="22">
        <f>+H12</f>
        <v>46.502000000000002</v>
      </c>
      <c r="I82" s="22">
        <f>+I12</f>
        <v>41.683999999999997</v>
      </c>
      <c r="J82">
        <f>+(1+J83)*I82</f>
        <v>40.016639999999995</v>
      </c>
      <c r="K82">
        <f t="shared" ref="K82:S82" si="31">+(1+K83)*J82</f>
        <v>38.415974399999996</v>
      </c>
      <c r="L82">
        <f t="shared" si="31"/>
        <v>36.879335423999997</v>
      </c>
      <c r="M82">
        <f t="shared" si="31"/>
        <v>35.404162007039993</v>
      </c>
      <c r="N82">
        <f t="shared" si="31"/>
        <v>33.98799552675839</v>
      </c>
      <c r="O82">
        <f t="shared" si="31"/>
        <v>32.628475705688054</v>
      </c>
      <c r="P82">
        <f t="shared" si="31"/>
        <v>31.323336677460532</v>
      </c>
      <c r="Q82">
        <f t="shared" si="31"/>
        <v>30.070403210362109</v>
      </c>
      <c r="R82">
        <f t="shared" si="31"/>
        <v>28.867587081947622</v>
      </c>
      <c r="S82">
        <f t="shared" si="31"/>
        <v>28.867587081947622</v>
      </c>
    </row>
    <row r="83" spans="1:20" x14ac:dyDescent="0.45">
      <c r="A83" s="31"/>
      <c r="B83" t="s">
        <v>4</v>
      </c>
      <c r="F83" s="6">
        <f>+F82/E82-1</f>
        <v>-4.626095175773437E-2</v>
      </c>
      <c r="G83" s="6">
        <f>+G82/F82-1</f>
        <v>-5.6071203948998449E-2</v>
      </c>
      <c r="H83" s="6">
        <f>+H82/G82-1</f>
        <v>-6.1077795949683988E-2</v>
      </c>
      <c r="I83" s="6">
        <f>+I82/H82-1</f>
        <v>-0.10360844694851845</v>
      </c>
      <c r="J83" s="6">
        <f t="shared" ref="J83:S83" si="32">+CHOOSE(Case, J84,J85,J86)</f>
        <v>-0.04</v>
      </c>
      <c r="K83" s="6">
        <f t="shared" si="32"/>
        <v>-0.04</v>
      </c>
      <c r="L83" s="6">
        <f t="shared" si="32"/>
        <v>-0.04</v>
      </c>
      <c r="M83" s="6">
        <f t="shared" si="32"/>
        <v>-0.04</v>
      </c>
      <c r="N83" s="6">
        <f t="shared" si="32"/>
        <v>-0.04</v>
      </c>
      <c r="O83" s="6">
        <f t="shared" si="32"/>
        <v>-0.04</v>
      </c>
      <c r="P83" s="6">
        <f t="shared" si="32"/>
        <v>-0.04</v>
      </c>
      <c r="Q83" s="6">
        <f t="shared" si="32"/>
        <v>-0.04</v>
      </c>
      <c r="R83" s="6">
        <f t="shared" si="32"/>
        <v>-0.04</v>
      </c>
      <c r="S83" s="6">
        <f t="shared" si="32"/>
        <v>0</v>
      </c>
    </row>
    <row r="84" spans="1:20" x14ac:dyDescent="0.45">
      <c r="A84" s="31"/>
      <c r="B84" s="14" t="s">
        <v>51</v>
      </c>
      <c r="J84" s="23">
        <v>-0.04</v>
      </c>
      <c r="K84" s="23">
        <v>-0.04</v>
      </c>
      <c r="L84" s="23">
        <v>-0.04</v>
      </c>
      <c r="M84" s="23">
        <v>-0.04</v>
      </c>
      <c r="N84" s="23">
        <v>-0.04</v>
      </c>
      <c r="O84" s="23">
        <v>-0.04</v>
      </c>
      <c r="P84" s="23">
        <v>-0.04</v>
      </c>
      <c r="Q84" s="23">
        <v>-0.04</v>
      </c>
      <c r="R84" s="23">
        <v>-0.04</v>
      </c>
      <c r="S84" s="23">
        <v>0</v>
      </c>
    </row>
    <row r="85" spans="1:20" x14ac:dyDescent="0.45">
      <c r="A85" s="31"/>
      <c r="B85" s="14" t="s">
        <v>53</v>
      </c>
      <c r="J85" s="23">
        <v>-0.03</v>
      </c>
      <c r="K85" s="23">
        <v>-0.03</v>
      </c>
      <c r="L85" s="23">
        <v>-0.03</v>
      </c>
      <c r="M85" s="23">
        <v>-0.03</v>
      </c>
      <c r="N85" s="23">
        <v>-0.03</v>
      </c>
      <c r="O85" s="23">
        <v>-0.03</v>
      </c>
      <c r="P85" s="23">
        <v>-0.03</v>
      </c>
      <c r="Q85" s="23">
        <v>-0.03</v>
      </c>
      <c r="R85" s="23">
        <v>-0.03</v>
      </c>
      <c r="S85" s="23">
        <v>0</v>
      </c>
    </row>
    <row r="86" spans="1:20" x14ac:dyDescent="0.45">
      <c r="A86" s="31"/>
      <c r="B86" s="14" t="s">
        <v>52</v>
      </c>
      <c r="J86" s="23">
        <v>-0.05</v>
      </c>
      <c r="K86" s="23">
        <v>-0.05</v>
      </c>
      <c r="L86" s="23">
        <v>-0.05</v>
      </c>
      <c r="M86" s="23">
        <v>-0.05</v>
      </c>
      <c r="N86" s="23">
        <v>-0.05</v>
      </c>
      <c r="O86" s="23">
        <v>-0.05</v>
      </c>
      <c r="P86" s="23">
        <v>-0.05</v>
      </c>
      <c r="Q86" s="23">
        <v>-0.05</v>
      </c>
      <c r="R86" s="23">
        <v>-0.05</v>
      </c>
      <c r="S86" s="23">
        <v>0</v>
      </c>
    </row>
    <row r="88" spans="1:20" x14ac:dyDescent="0.45">
      <c r="A88" t="s">
        <v>36</v>
      </c>
      <c r="B88" s="20" t="s">
        <v>109</v>
      </c>
    </row>
    <row r="89" spans="1:20" x14ac:dyDescent="0.45">
      <c r="A89" s="41"/>
      <c r="B89" s="14" t="s">
        <v>110</v>
      </c>
      <c r="H89" s="4">
        <v>191.87899999999999</v>
      </c>
      <c r="I89" s="4">
        <v>226.375</v>
      </c>
      <c r="J89">
        <f>+J93-J90</f>
        <v>144.12714500000004</v>
      </c>
      <c r="K89">
        <f t="shared" ref="K89:S89" si="33">+K93-K90</f>
        <v>173.05247054535499</v>
      </c>
      <c r="L89">
        <f t="shared" si="33"/>
        <v>201.40686996358997</v>
      </c>
      <c r="M89">
        <f t="shared" si="33"/>
        <v>216.59919353879934</v>
      </c>
      <c r="N89">
        <f t="shared" si="33"/>
        <v>229.23155719960209</v>
      </c>
      <c r="O89">
        <f t="shared" si="33"/>
        <v>240.33733706047713</v>
      </c>
      <c r="P89">
        <f t="shared" si="33"/>
        <v>251.35859584643242</v>
      </c>
      <c r="Q89">
        <f t="shared" si="33"/>
        <v>262.75996924565248</v>
      </c>
      <c r="R89">
        <f t="shared" si="33"/>
        <v>274.61057833715972</v>
      </c>
      <c r="S89">
        <f t="shared" si="33"/>
        <v>287.8870157016504</v>
      </c>
    </row>
    <row r="90" spans="1:20" x14ac:dyDescent="0.45">
      <c r="A90" s="38"/>
      <c r="B90" s="14" t="s">
        <v>219</v>
      </c>
      <c r="H90" s="45">
        <f>+H91+H92</f>
        <v>65.768000000000001</v>
      </c>
      <c r="I90" s="45">
        <f>+I91+I92</f>
        <v>59.286999999999999</v>
      </c>
      <c r="J90" s="29">
        <f>+'FS Calcs'!J33*-1</f>
        <v>76.472126999999972</v>
      </c>
      <c r="K90" s="29">
        <f>+'FS Calcs'!K33*-1</f>
        <v>75.376926410445009</v>
      </c>
      <c r="L90" s="29">
        <f>+'FS Calcs'!L33*-1</f>
        <v>75.328090942985028</v>
      </c>
      <c r="M90" s="29">
        <f>+'FS Calcs'!M33*-1</f>
        <v>81.709948839864396</v>
      </c>
      <c r="N90" s="29">
        <f>+'FS Calcs'!N33*-1</f>
        <v>87.047602617358393</v>
      </c>
      <c r="O90" s="29">
        <f>+'FS Calcs'!O33*-1</f>
        <v>91.759037463230413</v>
      </c>
      <c r="P90" s="29">
        <f>+'FS Calcs'!P33*-1</f>
        <v>96.427377223838775</v>
      </c>
      <c r="Q90" s="29">
        <f>+'FS Calcs'!Q33*-1</f>
        <v>101.24074320852611</v>
      </c>
      <c r="R90" s="29">
        <f>+'FS Calcs'!R33*-1</f>
        <v>106.22741117757315</v>
      </c>
      <c r="S90" s="29">
        <f>+'FS Calcs'!S33*-1</f>
        <v>111.59254682486733</v>
      </c>
    </row>
    <row r="91" spans="1:20" x14ac:dyDescent="0.45">
      <c r="A91" s="38"/>
      <c r="B91" s="52" t="s">
        <v>113</v>
      </c>
      <c r="H91" s="4">
        <v>55.387</v>
      </c>
      <c r="I91" s="4">
        <v>50.457000000000001</v>
      </c>
      <c r="J91" s="53"/>
      <c r="K91" s="53"/>
      <c r="L91" s="53"/>
      <c r="M91" s="53"/>
      <c r="N91" s="53"/>
      <c r="O91" s="53"/>
      <c r="P91" s="53"/>
      <c r="Q91" s="53"/>
      <c r="R91" s="53"/>
      <c r="S91" s="53"/>
    </row>
    <row r="92" spans="1:20" x14ac:dyDescent="0.45">
      <c r="A92" s="38"/>
      <c r="B92" s="52" t="s">
        <v>114</v>
      </c>
      <c r="H92" s="4">
        <v>10.381</v>
      </c>
      <c r="I92" s="4">
        <v>8.83</v>
      </c>
      <c r="J92" s="53"/>
      <c r="K92" s="53"/>
      <c r="L92" s="53"/>
      <c r="M92" s="53"/>
      <c r="N92" s="53"/>
      <c r="O92" s="53"/>
      <c r="P92" s="53"/>
      <c r="Q92" s="53"/>
      <c r="R92" s="53"/>
      <c r="S92" s="53"/>
    </row>
    <row r="93" spans="1:20" x14ac:dyDescent="0.45">
      <c r="A93" s="38"/>
      <c r="B93" s="7" t="s">
        <v>112</v>
      </c>
      <c r="C93" s="7"/>
      <c r="D93" s="7"/>
      <c r="E93" s="7"/>
      <c r="F93" s="7"/>
      <c r="G93" s="7"/>
      <c r="H93" s="54">
        <f>+H90+H89</f>
        <v>257.64699999999999</v>
      </c>
      <c r="I93" s="54">
        <f>+I90+I89</f>
        <v>285.66199999999998</v>
      </c>
      <c r="J93" s="7">
        <f>+'RevBuild Calcs'!J26</f>
        <v>220.59927200000001</v>
      </c>
      <c r="K93" s="7">
        <f>+'RevBuild Calcs'!K26</f>
        <v>248.4293969558</v>
      </c>
      <c r="L93" s="7">
        <f>+'RevBuild Calcs'!L26</f>
        <v>276.734960906575</v>
      </c>
      <c r="M93" s="7">
        <f>+'RevBuild Calcs'!M26</f>
        <v>298.30914237866375</v>
      </c>
      <c r="N93" s="7">
        <f>+'RevBuild Calcs'!N26</f>
        <v>316.27915981696049</v>
      </c>
      <c r="O93" s="7">
        <f>+'RevBuild Calcs'!O26</f>
        <v>332.09637452370754</v>
      </c>
      <c r="P93" s="7">
        <f>+'RevBuild Calcs'!P26</f>
        <v>347.78597307027121</v>
      </c>
      <c r="Q93" s="7">
        <f>+'RevBuild Calcs'!Q26</f>
        <v>364.0007124541786</v>
      </c>
      <c r="R93" s="7">
        <f>+'RevBuild Calcs'!R26</f>
        <v>380.8379895147329</v>
      </c>
      <c r="S93" s="7">
        <f>+'RevBuild Calcs'!S26</f>
        <v>399.47956252651773</v>
      </c>
    </row>
    <row r="94" spans="1:20" x14ac:dyDescent="0.45">
      <c r="A94" s="38"/>
      <c r="H94" s="40" t="b">
        <f>+H93='P&amp;L'!H11*-1</f>
        <v>1</v>
      </c>
      <c r="I94" s="40" t="b">
        <f>+I93='P&amp;L'!I11*-1</f>
        <v>1</v>
      </c>
    </row>
    <row r="95" spans="1:20" x14ac:dyDescent="0.45">
      <c r="A95" s="38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</row>
    <row r="96" spans="1:20" x14ac:dyDescent="0.45">
      <c r="A96" s="38"/>
      <c r="B96" t="s">
        <v>208</v>
      </c>
      <c r="H96" s="6">
        <f>+H89/(H7+H9)</f>
        <v>0.53258594751830524</v>
      </c>
      <c r="I96" s="6">
        <f>+I89/(I7+I9)</f>
        <v>0.55196048072679571</v>
      </c>
      <c r="J96" s="6">
        <f>+J89/(J7+J9)</f>
        <v>0.32695734225804901</v>
      </c>
      <c r="K96" s="6">
        <f t="shared" ref="K96:S96" si="34">+K89/(K7+K9)</f>
        <v>0.35249190196422159</v>
      </c>
      <c r="L96" s="6">
        <f t="shared" si="34"/>
        <v>0.36829299204241905</v>
      </c>
      <c r="M96" s="6">
        <f t="shared" si="34"/>
        <v>0.36333023109942952</v>
      </c>
      <c r="N96" s="6">
        <f t="shared" si="34"/>
        <v>0.36015823382575046</v>
      </c>
      <c r="O96" s="6">
        <f t="shared" si="34"/>
        <v>0.35794452346442762</v>
      </c>
      <c r="P96" s="6">
        <f t="shared" si="34"/>
        <v>0.35601234382422159</v>
      </c>
      <c r="Q96" s="6">
        <f t="shared" si="34"/>
        <v>0.35415422896099752</v>
      </c>
      <c r="R96" s="6">
        <f t="shared" si="34"/>
        <v>0.35209138718498761</v>
      </c>
      <c r="S96" s="6">
        <f t="shared" si="34"/>
        <v>0.35100115179345448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01A0-1223-4B1A-9C43-BEFA384DB752}">
  <sheetPr>
    <tabColor theme="6" tint="0.79998168889431442"/>
  </sheetPr>
  <dimension ref="A1:T109"/>
  <sheetViews>
    <sheetView showGridLines="0" zoomScale="85" zoomScaleNormal="85" workbookViewId="0">
      <pane xSplit="4" ySplit="4" topLeftCell="E62" activePane="bottomRight" state="frozen"/>
      <selection pane="topRight" activeCell="E1" sqref="E1"/>
      <selection pane="bottomLeft" activeCell="A5" sqref="A5"/>
      <selection pane="bottomRight" activeCell="I77" sqref="I77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5" spans="1:19" x14ac:dyDescent="0.45"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x14ac:dyDescent="0.45">
      <c r="B6" s="14" t="s">
        <v>30</v>
      </c>
      <c r="E6" s="29">
        <f>+'RevBuild Calcs'!E7</f>
        <v>164.374</v>
      </c>
      <c r="F6" s="29">
        <f>+'RevBuild Calcs'!F7</f>
        <v>143.76300000000001</v>
      </c>
      <c r="G6" s="29">
        <f>+'RevBuild Calcs'!G7</f>
        <v>145.22499999999999</v>
      </c>
      <c r="H6" s="29">
        <f>+'RevBuild Calcs'!H7</f>
        <v>185.084</v>
      </c>
      <c r="I6" s="29">
        <f>+'RevBuild Calcs'!I7</f>
        <v>206.572</v>
      </c>
      <c r="J6" s="29">
        <f>+'RevBuild Calcs'!J7</f>
        <v>216.90060000000003</v>
      </c>
      <c r="K6" s="29">
        <f>+'RevBuild Calcs'!K7</f>
        <v>238.59066000000004</v>
      </c>
      <c r="L6" s="29">
        <f>+'RevBuild Calcs'!L7</f>
        <v>262.44972600000006</v>
      </c>
      <c r="M6" s="29">
        <f>+'RevBuild Calcs'!M7</f>
        <v>275.57221230000005</v>
      </c>
      <c r="N6" s="29">
        <f>+'RevBuild Calcs'!N7</f>
        <v>283.83937866900004</v>
      </c>
      <c r="O6" s="29">
        <f>+'RevBuild Calcs'!O7</f>
        <v>292.35456002907006</v>
      </c>
      <c r="P6" s="29">
        <f>+'RevBuild Calcs'!P7</f>
        <v>301.12519682994218</v>
      </c>
      <c r="Q6" s="29">
        <f>+'RevBuild Calcs'!Q7</f>
        <v>310.15895273484045</v>
      </c>
      <c r="R6" s="29">
        <f>+'RevBuild Calcs'!R7</f>
        <v>319.46372131688565</v>
      </c>
      <c r="S6" s="29">
        <f>+'RevBuild Calcs'!S7</f>
        <v>329.04763295639225</v>
      </c>
    </row>
    <row r="7" spans="1:19" x14ac:dyDescent="0.45">
      <c r="B7" s="14" t="s">
        <v>31</v>
      </c>
      <c r="E7" s="29">
        <f>+'RevBuild Calcs'!E8</f>
        <v>57.281999999999996</v>
      </c>
      <c r="F7" s="29">
        <f>+'RevBuild Calcs'!F8</f>
        <v>68.995999999999995</v>
      </c>
      <c r="G7" s="29">
        <f>+'RevBuild Calcs'!G8</f>
        <v>62.277999999999999</v>
      </c>
      <c r="H7" s="29">
        <f>+'RevBuild Calcs'!H8</f>
        <v>45.753999999999998</v>
      </c>
      <c r="I7" s="29">
        <f>+'RevBuild Calcs'!I8</f>
        <v>55.41</v>
      </c>
      <c r="J7" s="29">
        <f>+'RevBuild Calcs'!J8</f>
        <v>45.657840000000007</v>
      </c>
      <c r="K7" s="29">
        <f>+'RevBuild Calcs'!K8</f>
        <v>54.081711480000003</v>
      </c>
      <c r="L7" s="29">
        <f>+'RevBuild Calcs'!L8</f>
        <v>69.630203530499998</v>
      </c>
      <c r="M7" s="29">
        <f>+'RevBuild Calcs'!M8</f>
        <v>75.30506511823576</v>
      </c>
      <c r="N7" s="29">
        <f>+'RevBuild Calcs'!N8</f>
        <v>81.054606840013051</v>
      </c>
      <c r="O7" s="29">
        <f>+'RevBuild Calcs'!O8</f>
        <v>86.825694847021992</v>
      </c>
      <c r="P7" s="29">
        <f>+'RevBuild Calcs'!P8</f>
        <v>92.560531991667801</v>
      </c>
      <c r="Q7" s="29">
        <f>+'RevBuild Calcs'!Q8</f>
        <v>98.197468389960349</v>
      </c>
      <c r="R7" s="29">
        <f>+'RevBuild Calcs'!R8</f>
        <v>103.16626029049236</v>
      </c>
      <c r="S7" s="29">
        <f>+'RevBuild Calcs'!S8</f>
        <v>108.38647306119128</v>
      </c>
    </row>
    <row r="8" spans="1:19" x14ac:dyDescent="0.45">
      <c r="B8" s="14" t="s">
        <v>32</v>
      </c>
      <c r="E8" s="29">
        <f>+'RevBuild Calcs'!E9</f>
        <v>157.74600000000001</v>
      </c>
      <c r="F8" s="29">
        <f>+'RevBuild Calcs'!F9</f>
        <v>174.572</v>
      </c>
      <c r="G8" s="29">
        <f>+'RevBuild Calcs'!G9</f>
        <v>168.60400000000001</v>
      </c>
      <c r="H8" s="29">
        <f>+'RevBuild Calcs'!H9</f>
        <v>175.19399999999999</v>
      </c>
      <c r="I8" s="29">
        <f>+'RevBuild Calcs'!I9</f>
        <v>203.55699999999999</v>
      </c>
      <c r="J8" s="29">
        <f>+'RevBuild Calcs'!J9</f>
        <v>223.9127</v>
      </c>
      <c r="K8" s="29">
        <f>+'RevBuild Calcs'!K9</f>
        <v>252.34961289999998</v>
      </c>
      <c r="L8" s="29">
        <f>+'RevBuild Calcs'!L9</f>
        <v>284.41615066699995</v>
      </c>
      <c r="M8" s="29">
        <f>+'RevBuild Calcs'!M9</f>
        <v>320.57744715270991</v>
      </c>
      <c r="N8" s="29">
        <f>+'RevBuild Calcs'!N9</f>
        <v>352.63519186798095</v>
      </c>
      <c r="O8" s="29">
        <f>+'RevBuild Calcs'!O9</f>
        <v>379.08283125807947</v>
      </c>
      <c r="P8" s="29">
        <f>+'RevBuild Calcs'!P9</f>
        <v>404.91379369039458</v>
      </c>
      <c r="Q8" s="29">
        <f>+'RevBuild Calcs'!Q9</f>
        <v>431.7776041616462</v>
      </c>
      <c r="R8" s="29">
        <f>+'RevBuild Calcs'!R9</f>
        <v>460.47747671327306</v>
      </c>
      <c r="S8" s="29">
        <f>+'RevBuild Calcs'!S9</f>
        <v>491.14060355132324</v>
      </c>
    </row>
    <row r="9" spans="1:19" x14ac:dyDescent="0.45">
      <c r="B9" s="14" t="s">
        <v>33</v>
      </c>
      <c r="E9" s="29">
        <f>+'RevBuild Calcs'!E12</f>
        <v>55.014000000000003</v>
      </c>
      <c r="F9" s="29">
        <f>+'RevBuild Calcs'!F12</f>
        <v>52.469000000000001</v>
      </c>
      <c r="G9" s="29">
        <f>+'RevBuild Calcs'!G12</f>
        <v>49.527000000000001</v>
      </c>
      <c r="H9" s="29">
        <f>+'RevBuild Calcs'!H12</f>
        <v>46.502000000000002</v>
      </c>
      <c r="I9" s="29">
        <f>+'RevBuild Calcs'!I12</f>
        <v>41.683999999999997</v>
      </c>
      <c r="J9" s="29">
        <f>+'RevBuild Calcs'!J12</f>
        <v>40.016639999999995</v>
      </c>
      <c r="K9" s="29">
        <f>+'RevBuild Calcs'!K12</f>
        <v>38.415974399999996</v>
      </c>
      <c r="L9" s="29">
        <f>+'RevBuild Calcs'!L12</f>
        <v>36.879335423999997</v>
      </c>
      <c r="M9" s="29">
        <f>+'RevBuild Calcs'!M12</f>
        <v>35.404162007039993</v>
      </c>
      <c r="N9" s="29">
        <f>+'RevBuild Calcs'!N12</f>
        <v>33.98799552675839</v>
      </c>
      <c r="O9" s="29">
        <f>+'RevBuild Calcs'!O12</f>
        <v>32.628475705688054</v>
      </c>
      <c r="P9" s="29">
        <f>+'RevBuild Calcs'!P12</f>
        <v>31.323336677460532</v>
      </c>
      <c r="Q9" s="29">
        <f>+'RevBuild Calcs'!Q12</f>
        <v>30.070403210362109</v>
      </c>
      <c r="R9" s="29">
        <f>+'RevBuild Calcs'!R12</f>
        <v>28.867587081947622</v>
      </c>
      <c r="S9" s="29">
        <f>+'RevBuild Calcs'!S12</f>
        <v>28.867587081947622</v>
      </c>
    </row>
    <row r="10" spans="1:19" s="7" customFormat="1" x14ac:dyDescent="0.45">
      <c r="B10" s="43" t="s">
        <v>1</v>
      </c>
      <c r="C10" s="43"/>
      <c r="D10" s="43"/>
      <c r="E10" s="67">
        <f>SUM(E6:E9)</f>
        <v>434.41600000000005</v>
      </c>
      <c r="F10" s="67">
        <f t="shared" ref="F10:S10" si="1">SUM(F6:F9)</f>
        <v>439.8</v>
      </c>
      <c r="G10" s="67">
        <f t="shared" si="1"/>
        <v>425.63399999999996</v>
      </c>
      <c r="H10" s="67">
        <f t="shared" si="1"/>
        <v>452.53399999999999</v>
      </c>
      <c r="I10" s="67">
        <f t="shared" si="1"/>
        <v>507.22299999999996</v>
      </c>
      <c r="J10" s="67">
        <f t="shared" si="1"/>
        <v>526.48777999999993</v>
      </c>
      <c r="K10" s="67">
        <f t="shared" si="1"/>
        <v>583.43795878000003</v>
      </c>
      <c r="L10" s="67">
        <f t="shared" si="1"/>
        <v>653.37541562150011</v>
      </c>
      <c r="M10" s="67">
        <f t="shared" si="1"/>
        <v>706.85888657798569</v>
      </c>
      <c r="N10" s="67">
        <f t="shared" si="1"/>
        <v>751.51717290375245</v>
      </c>
      <c r="O10" s="67">
        <f t="shared" si="1"/>
        <v>790.89156183985961</v>
      </c>
      <c r="P10" s="67">
        <f t="shared" si="1"/>
        <v>829.92285918946504</v>
      </c>
      <c r="Q10" s="67">
        <f t="shared" si="1"/>
        <v>870.2044284968091</v>
      </c>
      <c r="R10" s="67">
        <f t="shared" si="1"/>
        <v>911.97504540259865</v>
      </c>
      <c r="S10" s="67">
        <f t="shared" si="1"/>
        <v>957.44229665085436</v>
      </c>
    </row>
    <row r="11" spans="1:19" s="7" customFormat="1" x14ac:dyDescent="0.45">
      <c r="B11" s="7" t="s">
        <v>106</v>
      </c>
      <c r="E11" s="34">
        <f>+'P&amp;L'!E11</f>
        <v>-244.244</v>
      </c>
      <c r="F11" s="34">
        <f>+'P&amp;L'!F11</f>
        <v>-253.00299999999999</v>
      </c>
      <c r="G11" s="34">
        <f>+'P&amp;L'!G11</f>
        <v>-237.78899999999999</v>
      </c>
      <c r="H11" s="34">
        <f>+'P&amp;L'!H11</f>
        <v>-257.64699999999999</v>
      </c>
      <c r="I11" s="34">
        <f>+'P&amp;L'!I11</f>
        <v>-285.66199999999998</v>
      </c>
      <c r="J11" s="34">
        <f>+'P&amp;L'!J11</f>
        <v>-305.88850799999989</v>
      </c>
      <c r="K11" s="34">
        <f>+'P&amp;L'!K11</f>
        <v>-335.0085618242</v>
      </c>
      <c r="L11" s="34">
        <f>+'P&amp;L'!L11</f>
        <v>-376.64045471492511</v>
      </c>
      <c r="M11" s="34">
        <f>+'P&amp;L'!M11</f>
        <v>-408.54974419932194</v>
      </c>
      <c r="N11" s="34">
        <f>+'P&amp;L'!N11</f>
        <v>-435.23801308679197</v>
      </c>
      <c r="O11" s="34">
        <f>+'P&amp;L'!O11</f>
        <v>-458.79518731615207</v>
      </c>
      <c r="P11" s="34">
        <f>+'P&amp;L'!P11</f>
        <v>-482.13688611919383</v>
      </c>
      <c r="Q11" s="34">
        <f>+'P&amp;L'!Q11</f>
        <v>-506.2037160426305</v>
      </c>
      <c r="R11" s="34">
        <f>+'P&amp;L'!R11</f>
        <v>-531.1370558878657</v>
      </c>
      <c r="S11" s="34">
        <f>+'P&amp;L'!S11</f>
        <v>-557.96273412433663</v>
      </c>
    </row>
    <row r="12" spans="1:19" s="7" customFormat="1" x14ac:dyDescent="0.45">
      <c r="B12" s="7" t="s">
        <v>215</v>
      </c>
      <c r="E12" s="34">
        <f>+'P&amp;L'!E27</f>
        <v>-5.257000000000005</v>
      </c>
      <c r="F12" s="34">
        <f>+'P&amp;L'!F27</f>
        <v>-81.907999999999959</v>
      </c>
      <c r="G12" s="34">
        <f>+'P&amp;L'!G27</f>
        <v>-207.08500000000004</v>
      </c>
      <c r="H12" s="34">
        <f>+'P&amp;L'!H27</f>
        <v>19.811000000000007</v>
      </c>
      <c r="I12" s="34">
        <f>+'P&amp;L'!I27</f>
        <v>30.205000000000069</v>
      </c>
      <c r="J12" s="34">
        <f ca="1">+'P&amp;L'!J27</f>
        <v>24.111805390623232</v>
      </c>
      <c r="K12" s="34">
        <f ca="1">+'P&amp;L'!K27</f>
        <v>49.054040774070387</v>
      </c>
      <c r="L12" s="34">
        <f ca="1">+'P&amp;L'!L27</f>
        <v>61.988188875731396</v>
      </c>
      <c r="M12" s="34">
        <f ca="1">+'P&amp;L'!M27</f>
        <v>73.00438927615312</v>
      </c>
      <c r="N12" s="34">
        <f ca="1">+'P&amp;L'!N27</f>
        <v>80.546648743216622</v>
      </c>
      <c r="O12" s="34">
        <f ca="1">+'P&amp;L'!O27</f>
        <v>87.598036017088589</v>
      </c>
      <c r="P12" s="34">
        <f ca="1">+'P&amp;L'!P27</f>
        <v>94.954131977365194</v>
      </c>
      <c r="Q12" s="34">
        <f ca="1">+'P&amp;L'!Q27</f>
        <v>102.8768824129308</v>
      </c>
      <c r="R12" s="34">
        <f ca="1">+'P&amp;L'!R27</f>
        <v>110.12504359209237</v>
      </c>
      <c r="S12" s="34">
        <f ca="1">+'P&amp;L'!S27</f>
        <v>118.54845573511483</v>
      </c>
    </row>
    <row r="14" spans="1:19" x14ac:dyDescent="0.45">
      <c r="A14" t="s">
        <v>36</v>
      </c>
      <c r="B14" s="20" t="s">
        <v>99</v>
      </c>
    </row>
    <row r="15" spans="1:19" x14ac:dyDescent="0.45">
      <c r="B15" t="s">
        <v>100</v>
      </c>
      <c r="E15" s="29">
        <f>+'BS &amp; CFS'!E8</f>
        <v>251.53800000000001</v>
      </c>
      <c r="F15" s="29">
        <f>+'BS &amp; CFS'!F8</f>
        <v>265.70999999999998</v>
      </c>
      <c r="G15" s="29">
        <f>+'BS &amp; CFS'!G8</f>
        <v>200.21700000000001</v>
      </c>
      <c r="H15" s="29">
        <f>+'BS &amp; CFS'!H8</f>
        <v>195.24</v>
      </c>
      <c r="I15" s="29">
        <f>+'BS &amp; CFS'!I8</f>
        <v>249.66</v>
      </c>
      <c r="J15">
        <f>+J16/365*J10</f>
        <v>259.14230852070983</v>
      </c>
      <c r="K15">
        <f t="shared" ref="K15:S15" si="2">+K16/365*K10</f>
        <v>287.17372987623753</v>
      </c>
      <c r="L15">
        <f t="shared" si="2"/>
        <v>321.59761340488052</v>
      </c>
      <c r="M15">
        <f t="shared" si="2"/>
        <v>347.92268809391516</v>
      </c>
      <c r="N15">
        <f t="shared" si="2"/>
        <v>369.90392270687812</v>
      </c>
      <c r="O15">
        <f t="shared" si="2"/>
        <v>389.28437261113822</v>
      </c>
      <c r="P15">
        <f t="shared" si="2"/>
        <v>408.49594956309522</v>
      </c>
      <c r="Q15">
        <f t="shared" si="2"/>
        <v>428.32292230145987</v>
      </c>
      <c r="R15">
        <f t="shared" si="2"/>
        <v>448.88281847473951</v>
      </c>
      <c r="S15">
        <f t="shared" si="2"/>
        <v>471.26223334086251</v>
      </c>
    </row>
    <row r="16" spans="1:19" x14ac:dyDescent="0.45">
      <c r="B16" t="s">
        <v>101</v>
      </c>
      <c r="E16">
        <f>+E15/E10*365</f>
        <v>211.3443565614526</v>
      </c>
      <c r="F16">
        <f>+F15/F10*365</f>
        <v>220.51875852660299</v>
      </c>
      <c r="G16">
        <f>+G15/G10*365</f>
        <v>171.69494213338223</v>
      </c>
      <c r="H16">
        <f>+H15/H10*365</f>
        <v>157.47457649590973</v>
      </c>
      <c r="I16">
        <f>+I15/I10*365</f>
        <v>179.65648245446283</v>
      </c>
      <c r="J16" s="25">
        <f>+I16</f>
        <v>179.65648245446283</v>
      </c>
      <c r="K16" s="25">
        <f t="shared" ref="K16:S16" si="3">+J16</f>
        <v>179.65648245446283</v>
      </c>
      <c r="L16" s="25">
        <f t="shared" si="3"/>
        <v>179.65648245446283</v>
      </c>
      <c r="M16" s="25">
        <f t="shared" si="3"/>
        <v>179.65648245446283</v>
      </c>
      <c r="N16" s="25">
        <f t="shared" si="3"/>
        <v>179.65648245446283</v>
      </c>
      <c r="O16" s="25">
        <f t="shared" si="3"/>
        <v>179.65648245446283</v>
      </c>
      <c r="P16" s="25">
        <f t="shared" si="3"/>
        <v>179.65648245446283</v>
      </c>
      <c r="Q16" s="25">
        <f t="shared" si="3"/>
        <v>179.65648245446283</v>
      </c>
      <c r="R16" s="25">
        <f t="shared" si="3"/>
        <v>179.65648245446283</v>
      </c>
      <c r="S16" s="25">
        <f t="shared" si="3"/>
        <v>179.65648245446283</v>
      </c>
    </row>
    <row r="17" spans="1:19" x14ac:dyDescent="0.45">
      <c r="B17" s="20"/>
    </row>
    <row r="18" spans="1:19" x14ac:dyDescent="0.45">
      <c r="B18" t="s">
        <v>102</v>
      </c>
      <c r="E18" s="29">
        <f>+'BS &amp; CFS'!E9</f>
        <v>8.58</v>
      </c>
      <c r="F18" s="29">
        <f>+'BS &amp; CFS'!F9</f>
        <v>7.1820000000000004</v>
      </c>
      <c r="G18" s="29">
        <f>+'BS &amp; CFS'!G9</f>
        <v>8.7789999999999999</v>
      </c>
      <c r="H18" s="29">
        <f>+'BS &amp; CFS'!H9</f>
        <v>6.1840000000000002</v>
      </c>
      <c r="I18" s="29">
        <f>+'BS &amp; CFS'!I9</f>
        <v>8.5830000000000002</v>
      </c>
      <c r="J18" s="25">
        <f>+I18</f>
        <v>8.5830000000000002</v>
      </c>
      <c r="K18" s="25">
        <f t="shared" ref="K18:S18" si="4">+J18</f>
        <v>8.5830000000000002</v>
      </c>
      <c r="L18" s="25">
        <f t="shared" si="4"/>
        <v>8.5830000000000002</v>
      </c>
      <c r="M18" s="25">
        <f t="shared" si="4"/>
        <v>8.5830000000000002</v>
      </c>
      <c r="N18" s="25">
        <f t="shared" si="4"/>
        <v>8.5830000000000002</v>
      </c>
      <c r="O18" s="25">
        <f t="shared" si="4"/>
        <v>8.5830000000000002</v>
      </c>
      <c r="P18" s="25">
        <f t="shared" si="4"/>
        <v>8.5830000000000002</v>
      </c>
      <c r="Q18" s="25">
        <f t="shared" si="4"/>
        <v>8.5830000000000002</v>
      </c>
      <c r="R18" s="25">
        <f t="shared" si="4"/>
        <v>8.5830000000000002</v>
      </c>
      <c r="S18" s="25">
        <f t="shared" si="4"/>
        <v>8.5830000000000002</v>
      </c>
    </row>
    <row r="20" spans="1:19" x14ac:dyDescent="0.45">
      <c r="B20" t="s">
        <v>140</v>
      </c>
      <c r="E20" s="29">
        <f>+'BS &amp; CFS'!E22</f>
        <v>130.54499999999999</v>
      </c>
      <c r="F20" s="29">
        <f>+'BS &amp; CFS'!F22</f>
        <v>103.48699999999999</v>
      </c>
      <c r="G20" s="29">
        <f>+'BS &amp; CFS'!G22</f>
        <v>98.927000000000007</v>
      </c>
      <c r="H20" s="29">
        <f>+'BS &amp; CFS'!H22</f>
        <v>130.29900000000001</v>
      </c>
      <c r="I20" s="29">
        <f>+'BS &amp; CFS'!I22</f>
        <v>180.95599999999999</v>
      </c>
      <c r="J20">
        <f t="shared" ref="J20:S20" si="5">+J21/365*J11*-1</f>
        <v>193.76872266401546</v>
      </c>
      <c r="K20">
        <f t="shared" si="5"/>
        <v>212.2151679728488</v>
      </c>
      <c r="L20">
        <f t="shared" si="5"/>
        <v>238.58738692368601</v>
      </c>
      <c r="M20">
        <f t="shared" si="5"/>
        <v>258.80070681901162</v>
      </c>
      <c r="N20">
        <f t="shared" si="5"/>
        <v>275.70670896420779</v>
      </c>
      <c r="O20">
        <f t="shared" si="5"/>
        <v>290.62928186451688</v>
      </c>
      <c r="P20">
        <f t="shared" si="5"/>
        <v>305.41535928679644</v>
      </c>
      <c r="Q20">
        <f t="shared" si="5"/>
        <v>320.66077966341425</v>
      </c>
      <c r="R20">
        <f t="shared" si="5"/>
        <v>336.4551010818542</v>
      </c>
      <c r="S20">
        <f t="shared" si="5"/>
        <v>353.44814681757975</v>
      </c>
    </row>
    <row r="21" spans="1:19" x14ac:dyDescent="0.45">
      <c r="B21" t="s">
        <v>105</v>
      </c>
      <c r="E21">
        <f>+E20/E11*365*-1</f>
        <v>195.08739211608062</v>
      </c>
      <c r="F21">
        <f>+F20/F11*365*-1</f>
        <v>149.29765654952706</v>
      </c>
      <c r="G21">
        <f>+G20/G11*365*-1</f>
        <v>151.85040098574788</v>
      </c>
      <c r="H21">
        <f>+H20/H11*365*-1</f>
        <v>184.59029214390233</v>
      </c>
      <c r="I21">
        <f>+I20/I11*365*-1</f>
        <v>231.21360208918233</v>
      </c>
      <c r="J21" s="25">
        <f>+I21</f>
        <v>231.21360208918233</v>
      </c>
      <c r="K21" s="25">
        <f>+J21</f>
        <v>231.21360208918233</v>
      </c>
      <c r="L21" s="25">
        <f t="shared" ref="L21:S21" si="6">+K21</f>
        <v>231.21360208918233</v>
      </c>
      <c r="M21" s="25">
        <f t="shared" si="6"/>
        <v>231.21360208918233</v>
      </c>
      <c r="N21" s="25">
        <f t="shared" si="6"/>
        <v>231.21360208918233</v>
      </c>
      <c r="O21" s="25">
        <f t="shared" si="6"/>
        <v>231.21360208918233</v>
      </c>
      <c r="P21" s="25">
        <f t="shared" si="6"/>
        <v>231.21360208918233</v>
      </c>
      <c r="Q21" s="25">
        <f t="shared" si="6"/>
        <v>231.21360208918233</v>
      </c>
      <c r="R21" s="25">
        <f t="shared" si="6"/>
        <v>231.21360208918233</v>
      </c>
      <c r="S21" s="25">
        <f t="shared" si="6"/>
        <v>231.21360208918233</v>
      </c>
    </row>
    <row r="23" spans="1:19" x14ac:dyDescent="0.45">
      <c r="B23" t="s">
        <v>141</v>
      </c>
      <c r="E23" s="29">
        <f>+'BS &amp; CFS'!E23</f>
        <v>47.552</v>
      </c>
      <c r="F23" s="29">
        <f>+'BS &amp; CFS'!F23</f>
        <v>64.299000000000007</v>
      </c>
      <c r="G23" s="29">
        <f>+'BS &amp; CFS'!G23</f>
        <v>48.371000000000002</v>
      </c>
      <c r="H23" s="29">
        <f>+'BS &amp; CFS'!H23</f>
        <v>42.003999999999998</v>
      </c>
      <c r="I23" s="29">
        <f>+'BS &amp; CFS'!I23</f>
        <v>58.116</v>
      </c>
      <c r="J23">
        <f t="shared" ref="J23:S23" si="7">+J24*J10</f>
        <v>52.648777999999993</v>
      </c>
      <c r="K23">
        <f t="shared" si="7"/>
        <v>58.343795878000009</v>
      </c>
      <c r="L23">
        <f t="shared" si="7"/>
        <v>65.337541562150008</v>
      </c>
      <c r="M23">
        <f t="shared" si="7"/>
        <v>70.685888657798571</v>
      </c>
      <c r="N23">
        <f t="shared" si="7"/>
        <v>75.151717290375245</v>
      </c>
      <c r="O23">
        <f t="shared" si="7"/>
        <v>79.089156183985963</v>
      </c>
      <c r="P23">
        <f t="shared" si="7"/>
        <v>82.992285918946507</v>
      </c>
      <c r="Q23">
        <f t="shared" si="7"/>
        <v>87.020442849680919</v>
      </c>
      <c r="R23">
        <f t="shared" si="7"/>
        <v>91.197504540259871</v>
      </c>
      <c r="S23">
        <f t="shared" si="7"/>
        <v>95.744229665085442</v>
      </c>
    </row>
    <row r="24" spans="1:19" x14ac:dyDescent="0.45">
      <c r="B24" t="s">
        <v>142</v>
      </c>
      <c r="E24" s="6">
        <f>+E23/E10</f>
        <v>0.10946189827262347</v>
      </c>
      <c r="F24" s="6">
        <f>+F23/F10</f>
        <v>0.14620054570259211</v>
      </c>
      <c r="G24" s="6">
        <f>+G23/G10</f>
        <v>0.11364458666365941</v>
      </c>
      <c r="H24" s="6">
        <f>+H23/H10</f>
        <v>9.2819545050758609E-2</v>
      </c>
      <c r="I24" s="6">
        <f>+I23/I10</f>
        <v>0.11457682321188117</v>
      </c>
      <c r="J24" s="23">
        <v>0.1</v>
      </c>
      <c r="K24" s="23">
        <v>0.1</v>
      </c>
      <c r="L24" s="23">
        <v>0.1</v>
      </c>
      <c r="M24" s="23">
        <v>0.1</v>
      </c>
      <c r="N24" s="23">
        <v>0.1</v>
      </c>
      <c r="O24" s="23">
        <v>0.1</v>
      </c>
      <c r="P24" s="23">
        <v>0.1</v>
      </c>
      <c r="Q24" s="23">
        <v>0.1</v>
      </c>
      <c r="R24" s="23">
        <v>0.1</v>
      </c>
      <c r="S24" s="23">
        <v>0.1</v>
      </c>
    </row>
    <row r="25" spans="1:19" x14ac:dyDescent="0.45">
      <c r="E25" s="66"/>
      <c r="F25" s="66"/>
      <c r="G25" s="66"/>
      <c r="H25" s="66"/>
      <c r="I25" s="66"/>
      <c r="J25" s="65"/>
      <c r="K25" s="65"/>
      <c r="L25" s="65"/>
      <c r="M25" s="65"/>
      <c r="N25" s="65"/>
      <c r="O25" s="65"/>
      <c r="P25" s="65"/>
      <c r="Q25" s="65"/>
      <c r="R25" s="65"/>
      <c r="S25" s="65"/>
    </row>
    <row r="26" spans="1:19" x14ac:dyDescent="0.45">
      <c r="B26" t="s">
        <v>123</v>
      </c>
      <c r="E26" s="29">
        <f>+'BS &amp; CFS'!E13</f>
        <v>18.789000000000001</v>
      </c>
      <c r="F26" s="29">
        <f>+'BS &amp; CFS'!F13</f>
        <v>14.318</v>
      </c>
      <c r="G26" s="29">
        <f>+'BS &amp; CFS'!G13</f>
        <v>21.035</v>
      </c>
      <c r="H26" s="29">
        <f>+'BS &amp; CFS'!H13</f>
        <v>51.997</v>
      </c>
      <c r="I26" s="29">
        <f>+'BS &amp; CFS'!I13</f>
        <v>84.79</v>
      </c>
      <c r="J26">
        <f t="shared" ref="J26:S26" si="8">+J27/365*J10</f>
        <v>88.010399501205583</v>
      </c>
      <c r="K26">
        <f t="shared" si="8"/>
        <v>97.530483682633104</v>
      </c>
      <c r="L26">
        <f t="shared" si="8"/>
        <v>109.22158792197318</v>
      </c>
      <c r="M26">
        <f t="shared" si="8"/>
        <v>118.16215943075811</v>
      </c>
      <c r="N26">
        <f t="shared" si="8"/>
        <v>125.62746778144758</v>
      </c>
      <c r="O26">
        <f t="shared" si="8"/>
        <v>132.20949272489952</v>
      </c>
      <c r="P26">
        <f t="shared" si="8"/>
        <v>138.73416471783565</v>
      </c>
      <c r="Q26">
        <f t="shared" si="8"/>
        <v>145.46783858824315</v>
      </c>
      <c r="R26">
        <f t="shared" si="8"/>
        <v>152.4504292977376</v>
      </c>
      <c r="S26">
        <f t="shared" si="8"/>
        <v>160.05096837687952</v>
      </c>
    </row>
    <row r="27" spans="1:19" x14ac:dyDescent="0.45">
      <c r="B27" t="s">
        <v>101</v>
      </c>
      <c r="E27">
        <f>+E26/E10*365</f>
        <v>15.786676825899598</v>
      </c>
      <c r="F27">
        <f>+F26/F10*365</f>
        <v>11.882833105957252</v>
      </c>
      <c r="G27">
        <f>+G26/G10*365</f>
        <v>18.038443827325825</v>
      </c>
      <c r="H27">
        <f>+H26/H10*365</f>
        <v>41.939180260488712</v>
      </c>
      <c r="I27">
        <f>+I26/I10*365</f>
        <v>61.015273361026622</v>
      </c>
      <c r="J27" s="25">
        <f>+I27</f>
        <v>61.015273361026622</v>
      </c>
      <c r="K27" s="25">
        <f t="shared" ref="K27:S27" si="9">+J27</f>
        <v>61.015273361026622</v>
      </c>
      <c r="L27" s="25">
        <f t="shared" si="9"/>
        <v>61.015273361026622</v>
      </c>
      <c r="M27" s="25">
        <f t="shared" si="9"/>
        <v>61.015273361026622</v>
      </c>
      <c r="N27" s="25">
        <f t="shared" si="9"/>
        <v>61.015273361026622</v>
      </c>
      <c r="O27" s="25">
        <f t="shared" si="9"/>
        <v>61.015273361026622</v>
      </c>
      <c r="P27" s="25">
        <f t="shared" si="9"/>
        <v>61.015273361026622</v>
      </c>
      <c r="Q27" s="25">
        <f t="shared" si="9"/>
        <v>61.015273361026622</v>
      </c>
      <c r="R27" s="25">
        <f t="shared" si="9"/>
        <v>61.015273361026622</v>
      </c>
      <c r="S27" s="25">
        <f t="shared" si="9"/>
        <v>61.015273361026622</v>
      </c>
    </row>
    <row r="28" spans="1:19" x14ac:dyDescent="0.45">
      <c r="E28" s="66"/>
      <c r="F28" s="66"/>
      <c r="G28" s="66"/>
      <c r="H28" s="66"/>
      <c r="I28" s="66"/>
      <c r="J28" s="65"/>
      <c r="K28" s="65"/>
      <c r="L28" s="65"/>
      <c r="M28" s="65"/>
      <c r="N28" s="65"/>
      <c r="O28" s="65"/>
      <c r="P28" s="65"/>
      <c r="Q28" s="65"/>
      <c r="R28" s="65"/>
      <c r="S28" s="65"/>
    </row>
    <row r="29" spans="1:19" x14ac:dyDescent="0.45">
      <c r="A29" t="s">
        <v>36</v>
      </c>
      <c r="B29" s="20" t="s">
        <v>209</v>
      </c>
      <c r="E29" s="66"/>
      <c r="F29" s="66"/>
      <c r="G29" s="66"/>
      <c r="H29" s="66"/>
      <c r="I29" s="66"/>
      <c r="J29" s="65"/>
      <c r="K29" s="65"/>
      <c r="L29" s="65"/>
      <c r="M29" s="65"/>
      <c r="N29" s="65"/>
      <c r="O29" s="65"/>
      <c r="P29" s="65"/>
      <c r="Q29" s="65"/>
      <c r="R29" s="65"/>
      <c r="S29" s="65"/>
    </row>
    <row r="30" spans="1:19" x14ac:dyDescent="0.45">
      <c r="B30" t="s">
        <v>103</v>
      </c>
      <c r="F30">
        <f>+E35</f>
        <v>186.00800000000001</v>
      </c>
      <c r="G30">
        <f t="shared" ref="G30:S30" si="10">+F35</f>
        <v>148.56100000000001</v>
      </c>
      <c r="H30">
        <f t="shared" si="10"/>
        <v>140.548</v>
      </c>
      <c r="I30">
        <f t="shared" si="10"/>
        <v>147.78299999999999</v>
      </c>
      <c r="J30">
        <f t="shared" si="10"/>
        <v>163.56299999999999</v>
      </c>
      <c r="K30">
        <f t="shared" si="10"/>
        <v>184.69614300000003</v>
      </c>
      <c r="L30">
        <f t="shared" si="10"/>
        <v>210.72024708955504</v>
      </c>
      <c r="M30">
        <f t="shared" si="10"/>
        <v>240.37204654657003</v>
      </c>
      <c r="N30">
        <f t="shared" si="10"/>
        <v>268.89098262670564</v>
      </c>
      <c r="O30">
        <f t="shared" si="10"/>
        <v>295.37913147694724</v>
      </c>
      <c r="P30">
        <f t="shared" si="10"/>
        <v>320.56191802534482</v>
      </c>
      <c r="Q30">
        <f t="shared" si="10"/>
        <v>344.58461953348291</v>
      </c>
      <c r="R30">
        <f t="shared" si="10"/>
        <v>367.40745741889299</v>
      </c>
      <c r="S30">
        <f t="shared" si="10"/>
        <v>388.96553476807412</v>
      </c>
    </row>
    <row r="31" spans="1:19" x14ac:dyDescent="0.45">
      <c r="B31" t="s">
        <v>155</v>
      </c>
      <c r="H31" s="4">
        <f>1.908+73.165+4.434</f>
        <v>79.507000000000005</v>
      </c>
      <c r="I31" s="4">
        <f>0.203+71.115+12.166</f>
        <v>83.483999999999995</v>
      </c>
      <c r="J31">
        <f>+J37*J6</f>
        <v>97.605270000000019</v>
      </c>
      <c r="K31">
        <f t="shared" ref="K31:S31" si="11">+K37*K6</f>
        <v>101.40103050000002</v>
      </c>
      <c r="L31">
        <f t="shared" si="11"/>
        <v>104.97989040000003</v>
      </c>
      <c r="M31">
        <f t="shared" si="11"/>
        <v>110.22888492000003</v>
      </c>
      <c r="N31">
        <f t="shared" si="11"/>
        <v>113.53575146760002</v>
      </c>
      <c r="O31">
        <f t="shared" si="11"/>
        <v>116.94182401162803</v>
      </c>
      <c r="P31">
        <f t="shared" si="11"/>
        <v>120.45007873197687</v>
      </c>
      <c r="Q31">
        <f t="shared" si="11"/>
        <v>124.06358109393619</v>
      </c>
      <c r="R31">
        <f t="shared" si="11"/>
        <v>127.78548852675426</v>
      </c>
      <c r="S31">
        <f t="shared" si="11"/>
        <v>131.61905318255691</v>
      </c>
    </row>
    <row r="32" spans="1:19" x14ac:dyDescent="0.45">
      <c r="B32" t="s">
        <v>20</v>
      </c>
      <c r="H32" s="4">
        <v>-7.4530000000000003</v>
      </c>
      <c r="I32" s="4">
        <v>-1.208</v>
      </c>
      <c r="J32" s="25">
        <v>0</v>
      </c>
      <c r="K32" s="25">
        <f t="shared" ref="K32:S32" si="12">+J32</f>
        <v>0</v>
      </c>
      <c r="L32" s="25">
        <f t="shared" si="12"/>
        <v>0</v>
      </c>
      <c r="M32" s="25">
        <f t="shared" si="12"/>
        <v>0</v>
      </c>
      <c r="N32" s="25">
        <f t="shared" si="12"/>
        <v>0</v>
      </c>
      <c r="O32" s="25">
        <f t="shared" si="12"/>
        <v>0</v>
      </c>
      <c r="P32" s="25">
        <f t="shared" si="12"/>
        <v>0</v>
      </c>
      <c r="Q32" s="25">
        <f t="shared" si="12"/>
        <v>0</v>
      </c>
      <c r="R32" s="25">
        <f t="shared" si="12"/>
        <v>0</v>
      </c>
      <c r="S32" s="25">
        <f t="shared" si="12"/>
        <v>0</v>
      </c>
    </row>
    <row r="33" spans="1:19" x14ac:dyDescent="0.45">
      <c r="B33" t="s">
        <v>154</v>
      </c>
      <c r="H33" s="29">
        <f>+'RevBuild Calcs'!H90*-1</f>
        <v>-65.768000000000001</v>
      </c>
      <c r="I33" s="29">
        <f>+'RevBuild Calcs'!I90*-1</f>
        <v>-59.286999999999999</v>
      </c>
      <c r="J33">
        <f t="shared" ref="J33:S33" si="13">+J38*J11</f>
        <v>-76.472126999999972</v>
      </c>
      <c r="K33">
        <f t="shared" si="13"/>
        <v>-75.376926410445009</v>
      </c>
      <c r="L33">
        <f t="shared" si="13"/>
        <v>-75.328090942985028</v>
      </c>
      <c r="M33">
        <f t="shared" si="13"/>
        <v>-81.709948839864396</v>
      </c>
      <c r="N33">
        <f t="shared" si="13"/>
        <v>-87.047602617358393</v>
      </c>
      <c r="O33">
        <f t="shared" si="13"/>
        <v>-91.759037463230413</v>
      </c>
      <c r="P33">
        <f t="shared" si="13"/>
        <v>-96.427377223838775</v>
      </c>
      <c r="Q33">
        <f t="shared" si="13"/>
        <v>-101.24074320852611</v>
      </c>
      <c r="R33">
        <f t="shared" si="13"/>
        <v>-106.22741117757315</v>
      </c>
      <c r="S33">
        <f t="shared" si="13"/>
        <v>-111.59254682486733</v>
      </c>
    </row>
    <row r="34" spans="1:19" x14ac:dyDescent="0.45">
      <c r="B34" t="s">
        <v>23</v>
      </c>
      <c r="H34">
        <f>+H35-SUM(H30:H33)</f>
        <v>0.94899999999998386</v>
      </c>
      <c r="I34">
        <f>+I35-SUM(I30:I33)</f>
        <v>-7.2090000000000032</v>
      </c>
      <c r="J34" s="4">
        <v>0</v>
      </c>
      <c r="K34" s="4">
        <f t="shared" ref="K34:S34" si="14">+J34</f>
        <v>0</v>
      </c>
      <c r="L34" s="4">
        <f t="shared" si="14"/>
        <v>0</v>
      </c>
      <c r="M34" s="4">
        <f t="shared" si="14"/>
        <v>0</v>
      </c>
      <c r="N34" s="4">
        <f t="shared" si="14"/>
        <v>0</v>
      </c>
      <c r="O34" s="4">
        <f t="shared" si="14"/>
        <v>0</v>
      </c>
      <c r="P34" s="4">
        <f t="shared" si="14"/>
        <v>0</v>
      </c>
      <c r="Q34" s="4">
        <f t="shared" si="14"/>
        <v>0</v>
      </c>
      <c r="R34" s="4">
        <f t="shared" si="14"/>
        <v>0</v>
      </c>
      <c r="S34" s="4">
        <f t="shared" si="14"/>
        <v>0</v>
      </c>
    </row>
    <row r="35" spans="1:19" x14ac:dyDescent="0.45">
      <c r="B35" s="13" t="s">
        <v>104</v>
      </c>
      <c r="C35" s="13"/>
      <c r="D35" s="13"/>
      <c r="E35" s="42">
        <f>+'BS &amp; CFS'!E10</f>
        <v>186.00800000000001</v>
      </c>
      <c r="F35" s="42">
        <f>+'BS &amp; CFS'!F10</f>
        <v>148.56100000000001</v>
      </c>
      <c r="G35" s="42">
        <f>+'BS &amp; CFS'!G10</f>
        <v>140.548</v>
      </c>
      <c r="H35" s="42">
        <f>+'BS &amp; CFS'!H10</f>
        <v>147.78299999999999</v>
      </c>
      <c r="I35" s="42">
        <f>+'BS &amp; CFS'!I10</f>
        <v>163.56299999999999</v>
      </c>
      <c r="J35" s="13">
        <f>+SUM(J30:J34)</f>
        <v>184.69614300000003</v>
      </c>
      <c r="K35" s="13">
        <f t="shared" ref="K35:S35" si="15">+SUM(K30:K34)</f>
        <v>210.72024708955504</v>
      </c>
      <c r="L35" s="13">
        <f t="shared" si="15"/>
        <v>240.37204654657003</v>
      </c>
      <c r="M35" s="13">
        <f t="shared" si="15"/>
        <v>268.89098262670564</v>
      </c>
      <c r="N35" s="13">
        <f t="shared" si="15"/>
        <v>295.37913147694724</v>
      </c>
      <c r="O35" s="13">
        <f t="shared" si="15"/>
        <v>320.56191802534482</v>
      </c>
      <c r="P35" s="13">
        <f t="shared" si="15"/>
        <v>344.58461953348291</v>
      </c>
      <c r="Q35" s="13">
        <f t="shared" si="15"/>
        <v>367.40745741889299</v>
      </c>
      <c r="R35" s="13">
        <f t="shared" si="15"/>
        <v>388.96553476807412</v>
      </c>
      <c r="S35" s="13">
        <f t="shared" si="15"/>
        <v>408.99204112576365</v>
      </c>
    </row>
    <row r="36" spans="1:19" x14ac:dyDescent="0.45">
      <c r="E36" s="29"/>
      <c r="F36" s="29"/>
      <c r="G36" s="29"/>
      <c r="H36" s="29"/>
      <c r="I36" s="29"/>
      <c r="J36" s="72"/>
      <c r="K36" s="72"/>
      <c r="L36" s="72"/>
      <c r="M36" s="72"/>
      <c r="N36" s="72"/>
      <c r="O36" s="72"/>
      <c r="P36" s="72"/>
      <c r="Q36" s="72"/>
      <c r="R36" s="72"/>
      <c r="S36" s="72"/>
    </row>
    <row r="37" spans="1:19" x14ac:dyDescent="0.45">
      <c r="B37" t="s">
        <v>323</v>
      </c>
      <c r="E37" s="29"/>
      <c r="F37" s="29"/>
      <c r="G37" s="29"/>
      <c r="H37" s="49">
        <f>+H31/H6</f>
        <v>0.42957251842406691</v>
      </c>
      <c r="I37" s="49">
        <f>+I31/I6</f>
        <v>0.40413996088530874</v>
      </c>
      <c r="J37" s="23">
        <v>0.45</v>
      </c>
      <c r="K37" s="23">
        <v>0.42499999999999999</v>
      </c>
      <c r="L37" s="23">
        <v>0.4</v>
      </c>
      <c r="M37" s="23">
        <v>0.4</v>
      </c>
      <c r="N37" s="23">
        <v>0.4</v>
      </c>
      <c r="O37" s="23">
        <v>0.4</v>
      </c>
      <c r="P37" s="23">
        <v>0.4</v>
      </c>
      <c r="Q37" s="23">
        <v>0.4</v>
      </c>
      <c r="R37" s="23">
        <v>0.4</v>
      </c>
      <c r="S37" s="23">
        <v>0.4</v>
      </c>
    </row>
    <row r="38" spans="1:19" x14ac:dyDescent="0.45">
      <c r="B38" t="s">
        <v>220</v>
      </c>
      <c r="E38" s="29"/>
      <c r="F38" s="29"/>
      <c r="G38" s="29"/>
      <c r="H38" s="50">
        <f>+H33/H11</f>
        <v>0.25526398522008797</v>
      </c>
      <c r="I38" s="50">
        <f>+I33/I11</f>
        <v>0.20754248027389013</v>
      </c>
      <c r="J38" s="23">
        <v>0.25</v>
      </c>
      <c r="K38" s="23">
        <v>0.22500000000000001</v>
      </c>
      <c r="L38" s="23">
        <v>0.2</v>
      </c>
      <c r="M38" s="23">
        <v>0.2</v>
      </c>
      <c r="N38" s="23">
        <v>0.2</v>
      </c>
      <c r="O38" s="23">
        <v>0.2</v>
      </c>
      <c r="P38" s="23">
        <v>0.2</v>
      </c>
      <c r="Q38" s="23">
        <v>0.2</v>
      </c>
      <c r="R38" s="23">
        <v>0.2</v>
      </c>
      <c r="S38" s="23">
        <v>0.2</v>
      </c>
    </row>
    <row r="39" spans="1:19" x14ac:dyDescent="0.45"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x14ac:dyDescent="0.45">
      <c r="A40" t="s">
        <v>36</v>
      </c>
      <c r="B40" s="20" t="s">
        <v>115</v>
      </c>
      <c r="J40">
        <f>+J39*J6</f>
        <v>0</v>
      </c>
      <c r="K40">
        <f t="shared" ref="K40:S40" si="16">+K39*K6</f>
        <v>0</v>
      </c>
      <c r="L40">
        <f t="shared" si="16"/>
        <v>0</v>
      </c>
      <c r="M40">
        <f t="shared" si="16"/>
        <v>0</v>
      </c>
      <c r="N40">
        <f t="shared" si="16"/>
        <v>0</v>
      </c>
      <c r="O40">
        <f t="shared" si="16"/>
        <v>0</v>
      </c>
      <c r="P40">
        <f t="shared" si="16"/>
        <v>0</v>
      </c>
      <c r="Q40">
        <f t="shared" si="16"/>
        <v>0</v>
      </c>
      <c r="R40">
        <f t="shared" si="16"/>
        <v>0</v>
      </c>
      <c r="S40">
        <f t="shared" si="16"/>
        <v>0</v>
      </c>
    </row>
    <row r="41" spans="1:19" x14ac:dyDescent="0.45">
      <c r="B41" t="s">
        <v>18</v>
      </c>
      <c r="F41">
        <f t="shared" ref="F41:S41" si="17">+E46</f>
        <v>147.08799999999999</v>
      </c>
      <c r="G41">
        <f t="shared" si="17"/>
        <v>118.247</v>
      </c>
      <c r="H41">
        <f t="shared" si="17"/>
        <v>109.07599999999999</v>
      </c>
      <c r="I41">
        <f t="shared" si="17"/>
        <v>100.65300000000001</v>
      </c>
      <c r="J41">
        <f t="shared" si="17"/>
        <v>92.731999999999999</v>
      </c>
      <c r="K41">
        <f t="shared" si="17"/>
        <v>93.261755600000001</v>
      </c>
      <c r="L41">
        <f t="shared" si="17"/>
        <v>94.930514775600003</v>
      </c>
      <c r="M41">
        <f t="shared" si="17"/>
        <v>97.99802308803001</v>
      </c>
      <c r="N41">
        <f t="shared" si="17"/>
        <v>102.13520081958973</v>
      </c>
      <c r="O41">
        <f t="shared" si="17"/>
        <v>107.16554427766478</v>
      </c>
      <c r="P41">
        <f t="shared" si="17"/>
        <v>112.98337551446197</v>
      </c>
      <c r="Q41">
        <f t="shared" si="17"/>
        <v>119.58183269825128</v>
      </c>
      <c r="R41">
        <f t="shared" si="17"/>
        <v>126.98592126818747</v>
      </c>
      <c r="S41">
        <f t="shared" si="17"/>
        <v>135.22542217623945</v>
      </c>
    </row>
    <row r="42" spans="1:19" x14ac:dyDescent="0.45">
      <c r="B42" t="s">
        <v>19</v>
      </c>
      <c r="H42" s="4">
        <v>8.9179999999999993</v>
      </c>
      <c r="I42" s="4">
        <v>1</v>
      </c>
      <c r="J42">
        <f t="shared" ref="J42:S42" si="18">+J48*J10</f>
        <v>10.5297556</v>
      </c>
      <c r="K42">
        <f t="shared" si="18"/>
        <v>11.6687591756</v>
      </c>
      <c r="L42">
        <f t="shared" si="18"/>
        <v>13.067508312430002</v>
      </c>
      <c r="M42">
        <f t="shared" si="18"/>
        <v>14.137177731559714</v>
      </c>
      <c r="N42">
        <f t="shared" si="18"/>
        <v>15.03034345807505</v>
      </c>
      <c r="O42">
        <f t="shared" si="18"/>
        <v>15.817831236797192</v>
      </c>
      <c r="P42">
        <f t="shared" si="18"/>
        <v>16.5984571837893</v>
      </c>
      <c r="Q42">
        <f t="shared" si="18"/>
        <v>17.404088569936182</v>
      </c>
      <c r="R42">
        <f t="shared" si="18"/>
        <v>18.239500908051973</v>
      </c>
      <c r="S42">
        <f t="shared" si="18"/>
        <v>19.148845933017089</v>
      </c>
    </row>
    <row r="43" spans="1:19" x14ac:dyDescent="0.45">
      <c r="B43" t="s">
        <v>20</v>
      </c>
      <c r="H43" s="4">
        <v>-0.379</v>
      </c>
      <c r="I43" s="4">
        <v>0</v>
      </c>
      <c r="J43" s="25">
        <v>0</v>
      </c>
      <c r="K43" s="25">
        <f t="shared" ref="K43:S43" si="19">+J43</f>
        <v>0</v>
      </c>
      <c r="L43" s="25">
        <f t="shared" si="19"/>
        <v>0</v>
      </c>
      <c r="M43" s="25">
        <f t="shared" si="19"/>
        <v>0</v>
      </c>
      <c r="N43" s="25">
        <f t="shared" si="19"/>
        <v>0</v>
      </c>
      <c r="O43" s="25">
        <f t="shared" si="19"/>
        <v>0</v>
      </c>
      <c r="P43" s="25">
        <f t="shared" si="19"/>
        <v>0</v>
      </c>
      <c r="Q43" s="25">
        <f t="shared" si="19"/>
        <v>0</v>
      </c>
      <c r="R43" s="25">
        <f t="shared" si="19"/>
        <v>0</v>
      </c>
      <c r="S43" s="25">
        <f t="shared" si="19"/>
        <v>0</v>
      </c>
    </row>
    <row r="44" spans="1:19" x14ac:dyDescent="0.45">
      <c r="B44" t="s">
        <v>21</v>
      </c>
      <c r="H44" s="4">
        <v>-11.1</v>
      </c>
      <c r="I44" s="4">
        <v>-10.241</v>
      </c>
      <c r="J44">
        <f>+J49</f>
        <v>-10</v>
      </c>
      <c r="K44">
        <f t="shared" ref="K44:S44" si="20">+K49</f>
        <v>-10</v>
      </c>
      <c r="L44">
        <f t="shared" si="20"/>
        <v>-10</v>
      </c>
      <c r="M44">
        <f t="shared" si="20"/>
        <v>-10</v>
      </c>
      <c r="N44">
        <f t="shared" si="20"/>
        <v>-10</v>
      </c>
      <c r="O44">
        <f t="shared" si="20"/>
        <v>-10</v>
      </c>
      <c r="P44">
        <f t="shared" si="20"/>
        <v>-10</v>
      </c>
      <c r="Q44">
        <f t="shared" si="20"/>
        <v>-10</v>
      </c>
      <c r="R44">
        <f t="shared" si="20"/>
        <v>-10</v>
      </c>
      <c r="S44">
        <f t="shared" si="20"/>
        <v>-10</v>
      </c>
    </row>
    <row r="45" spans="1:19" x14ac:dyDescent="0.45">
      <c r="B45" t="s">
        <v>23</v>
      </c>
      <c r="H45">
        <f>+H46-SUM(H41:H44)</f>
        <v>-5.8619999999999948</v>
      </c>
      <c r="I45">
        <f>+I46-SUM(I41:I44)</f>
        <v>1.3199999999999932</v>
      </c>
      <c r="J45" s="4">
        <v>0</v>
      </c>
      <c r="K45" s="4">
        <f t="shared" ref="K45:S45" si="21">+J45</f>
        <v>0</v>
      </c>
      <c r="L45" s="4">
        <f t="shared" si="21"/>
        <v>0</v>
      </c>
      <c r="M45" s="4">
        <f t="shared" si="21"/>
        <v>0</v>
      </c>
      <c r="N45" s="4">
        <f t="shared" si="21"/>
        <v>0</v>
      </c>
      <c r="O45" s="4">
        <f t="shared" si="21"/>
        <v>0</v>
      </c>
      <c r="P45" s="4">
        <f t="shared" si="21"/>
        <v>0</v>
      </c>
      <c r="Q45" s="4">
        <f t="shared" si="21"/>
        <v>0</v>
      </c>
      <c r="R45" s="4">
        <f t="shared" si="21"/>
        <v>0</v>
      </c>
      <c r="S45" s="4">
        <f t="shared" si="21"/>
        <v>0</v>
      </c>
    </row>
    <row r="46" spans="1:19" x14ac:dyDescent="0.45">
      <c r="B46" s="13" t="s">
        <v>22</v>
      </c>
      <c r="C46" s="13"/>
      <c r="D46" s="13"/>
      <c r="E46" s="42">
        <f>+'BS &amp; CFS'!E14</f>
        <v>147.08799999999999</v>
      </c>
      <c r="F46" s="42">
        <f>+'BS &amp; CFS'!F14</f>
        <v>118.247</v>
      </c>
      <c r="G46" s="42">
        <f>+'BS &amp; CFS'!G14</f>
        <v>109.07599999999999</v>
      </c>
      <c r="H46" s="42">
        <f>+'BS &amp; CFS'!H14</f>
        <v>100.65300000000001</v>
      </c>
      <c r="I46" s="42">
        <f>+'BS &amp; CFS'!I14</f>
        <v>92.731999999999999</v>
      </c>
      <c r="J46" s="13">
        <f t="shared" ref="J46:S46" si="22">+SUM(J41:J45)</f>
        <v>93.261755600000001</v>
      </c>
      <c r="K46" s="13">
        <f t="shared" si="22"/>
        <v>94.930514775600003</v>
      </c>
      <c r="L46" s="13">
        <f t="shared" si="22"/>
        <v>97.99802308803001</v>
      </c>
      <c r="M46" s="13">
        <f t="shared" si="22"/>
        <v>102.13520081958973</v>
      </c>
      <c r="N46" s="13">
        <f t="shared" si="22"/>
        <v>107.16554427766478</v>
      </c>
      <c r="O46" s="13">
        <f t="shared" si="22"/>
        <v>112.98337551446197</v>
      </c>
      <c r="P46" s="13">
        <f t="shared" si="22"/>
        <v>119.58183269825128</v>
      </c>
      <c r="Q46" s="13">
        <f t="shared" si="22"/>
        <v>126.98592126818747</v>
      </c>
      <c r="R46" s="13">
        <f t="shared" si="22"/>
        <v>135.22542217623945</v>
      </c>
      <c r="S46" s="13">
        <f t="shared" si="22"/>
        <v>144.37426810925655</v>
      </c>
    </row>
    <row r="47" spans="1:19" x14ac:dyDescent="0.45">
      <c r="E47" s="29"/>
      <c r="F47" s="29"/>
      <c r="G47" s="29"/>
      <c r="H47" s="29"/>
      <c r="I47" s="29"/>
    </row>
    <row r="48" spans="1:19" x14ac:dyDescent="0.45">
      <c r="B48" t="s">
        <v>120</v>
      </c>
      <c r="E48" s="29"/>
      <c r="F48" s="29"/>
      <c r="G48" s="29"/>
      <c r="H48" s="49">
        <f>+H42/H10</f>
        <v>1.9706806560391039E-2</v>
      </c>
      <c r="I48" s="49">
        <f>+I42/I10</f>
        <v>1.9715194303097454E-3</v>
      </c>
      <c r="J48" s="23">
        <v>0.02</v>
      </c>
      <c r="K48" s="23">
        <v>0.02</v>
      </c>
      <c r="L48" s="23">
        <v>0.02</v>
      </c>
      <c r="M48" s="23">
        <v>0.02</v>
      </c>
      <c r="N48" s="23">
        <v>0.02</v>
      </c>
      <c r="O48" s="23">
        <v>0.02</v>
      </c>
      <c r="P48" s="23">
        <v>0.02</v>
      </c>
      <c r="Q48" s="23">
        <v>0.02</v>
      </c>
      <c r="R48" s="23">
        <v>0.02</v>
      </c>
      <c r="S48" s="23">
        <v>0.02</v>
      </c>
    </row>
    <row r="49" spans="2:20" x14ac:dyDescent="0.45">
      <c r="B49" t="s">
        <v>21</v>
      </c>
      <c r="E49" s="29"/>
      <c r="F49" s="29"/>
      <c r="G49" s="29"/>
      <c r="H49" s="51">
        <f>+H44</f>
        <v>-11.1</v>
      </c>
      <c r="I49" s="51">
        <f>+I44</f>
        <v>-10.241</v>
      </c>
      <c r="J49" s="25">
        <v>-10</v>
      </c>
      <c r="K49" s="25">
        <v>-10</v>
      </c>
      <c r="L49" s="25">
        <v>-10</v>
      </c>
      <c r="M49" s="25">
        <v>-10</v>
      </c>
      <c r="N49" s="25">
        <v>-10</v>
      </c>
      <c r="O49" s="25">
        <v>-10</v>
      </c>
      <c r="P49" s="25">
        <v>-10</v>
      </c>
      <c r="Q49" s="25">
        <v>-10</v>
      </c>
      <c r="R49" s="25">
        <v>-10</v>
      </c>
      <c r="S49" s="25">
        <v>-10</v>
      </c>
    </row>
    <row r="50" spans="2:20" x14ac:dyDescent="0.45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2:20" x14ac:dyDescent="0.45">
      <c r="B51" t="s">
        <v>116</v>
      </c>
      <c r="F51">
        <f>+E56</f>
        <v>30.436</v>
      </c>
      <c r="G51">
        <f t="shared" ref="G51:S51" si="23">+F56</f>
        <v>19.352</v>
      </c>
      <c r="H51" s="45">
        <f t="shared" si="23"/>
        <v>54.244999999999997</v>
      </c>
      <c r="I51">
        <f t="shared" si="23"/>
        <v>47.228999999999999</v>
      </c>
      <c r="J51">
        <f t="shared" si="23"/>
        <v>39.286999999999999</v>
      </c>
      <c r="K51">
        <f t="shared" si="23"/>
        <v>31.389683300000002</v>
      </c>
      <c r="L51">
        <f t="shared" si="23"/>
        <v>27.013898609150004</v>
      </c>
      <c r="M51">
        <f t="shared" si="23"/>
        <v>24.563740800569377</v>
      </c>
      <c r="N51">
        <f t="shared" si="23"/>
        <v>24.563740800569374</v>
      </c>
      <c r="O51">
        <f t="shared" si="23"/>
        <v>24.563740800569377</v>
      </c>
      <c r="P51">
        <f t="shared" si="23"/>
        <v>24.563740800569377</v>
      </c>
      <c r="Q51">
        <f t="shared" si="23"/>
        <v>24.563740800569377</v>
      </c>
      <c r="R51">
        <f t="shared" si="23"/>
        <v>24.563740800569377</v>
      </c>
      <c r="S51">
        <f t="shared" si="23"/>
        <v>24.563740800569377</v>
      </c>
    </row>
    <row r="52" spans="2:20" x14ac:dyDescent="0.45">
      <c r="B52" t="s">
        <v>19</v>
      </c>
      <c r="H52" s="4">
        <v>5.7329999999999997</v>
      </c>
      <c r="I52" s="4">
        <v>5.3079999999999998</v>
      </c>
      <c r="J52">
        <f t="shared" ref="J52:S52" si="24">+J59*J10</f>
        <v>7.8973166999999984</v>
      </c>
      <c r="K52">
        <f t="shared" si="24"/>
        <v>8.7515693816999995</v>
      </c>
      <c r="L52">
        <f t="shared" si="24"/>
        <v>9.8006312343225019</v>
      </c>
      <c r="M52">
        <f t="shared" si="24"/>
        <v>10.602883298669784</v>
      </c>
      <c r="N52">
        <f t="shared" si="24"/>
        <v>11.272757593556287</v>
      </c>
      <c r="O52">
        <f t="shared" si="24"/>
        <v>11.863373427597894</v>
      </c>
      <c r="P52">
        <f t="shared" si="24"/>
        <v>12.448842887841975</v>
      </c>
      <c r="Q52">
        <f t="shared" si="24"/>
        <v>13.053066427452135</v>
      </c>
      <c r="R52">
        <f t="shared" si="24"/>
        <v>13.67962568103898</v>
      </c>
      <c r="S52">
        <f t="shared" si="24"/>
        <v>14.361634449762814</v>
      </c>
    </row>
    <row r="53" spans="2:20" x14ac:dyDescent="0.45">
      <c r="B53" t="s">
        <v>159</v>
      </c>
      <c r="H53" s="4">
        <v>-12.382</v>
      </c>
      <c r="I53" s="4">
        <v>-13.378</v>
      </c>
      <c r="J53">
        <f>+J52*J60*-1</f>
        <v>-15.794633399999997</v>
      </c>
      <c r="K53">
        <f t="shared" ref="K53:S53" si="25">+K52*K60*-1</f>
        <v>-13.127354072549998</v>
      </c>
      <c r="L53">
        <f t="shared" si="25"/>
        <v>-12.250789042903127</v>
      </c>
      <c r="M53">
        <f t="shared" si="25"/>
        <v>-10.602883298669784</v>
      </c>
      <c r="N53">
        <f t="shared" si="25"/>
        <v>-11.272757593556287</v>
      </c>
      <c r="O53">
        <f t="shared" si="25"/>
        <v>-11.863373427597894</v>
      </c>
      <c r="P53">
        <f t="shared" si="25"/>
        <v>-12.448842887841975</v>
      </c>
      <c r="Q53">
        <f t="shared" si="25"/>
        <v>-13.053066427452135</v>
      </c>
      <c r="R53">
        <f t="shared" si="25"/>
        <v>-13.67962568103898</v>
      </c>
      <c r="S53">
        <f t="shared" si="25"/>
        <v>-14.361634449762814</v>
      </c>
    </row>
    <row r="54" spans="2:20" x14ac:dyDescent="0.45">
      <c r="B54" t="s">
        <v>117</v>
      </c>
      <c r="H54" s="4">
        <v>0</v>
      </c>
      <c r="I54" s="4">
        <v>0.42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</row>
    <row r="55" spans="2:20" x14ac:dyDescent="0.45">
      <c r="B55" t="s">
        <v>119</v>
      </c>
      <c r="H55" s="4">
        <v>-0.36699999999999999</v>
      </c>
      <c r="I55" s="4">
        <v>-0.29199999999999998</v>
      </c>
      <c r="J55" s="4">
        <v>0</v>
      </c>
      <c r="K55" s="4">
        <f t="shared" ref="K55:S55" si="26">+J55</f>
        <v>0</v>
      </c>
      <c r="L55" s="4">
        <f t="shared" si="26"/>
        <v>0</v>
      </c>
      <c r="M55" s="4">
        <f t="shared" si="26"/>
        <v>0</v>
      </c>
      <c r="N55" s="4">
        <f t="shared" si="26"/>
        <v>0</v>
      </c>
      <c r="O55" s="4">
        <f t="shared" si="26"/>
        <v>0</v>
      </c>
      <c r="P55" s="4">
        <f t="shared" si="26"/>
        <v>0</v>
      </c>
      <c r="Q55" s="4">
        <f t="shared" si="26"/>
        <v>0</v>
      </c>
      <c r="R55" s="4">
        <f t="shared" si="26"/>
        <v>0</v>
      </c>
      <c r="S55" s="4">
        <f t="shared" si="26"/>
        <v>0</v>
      </c>
    </row>
    <row r="56" spans="2:20" x14ac:dyDescent="0.45">
      <c r="B56" s="13" t="s">
        <v>158</v>
      </c>
      <c r="C56" s="13"/>
      <c r="D56" s="13"/>
      <c r="E56" s="42">
        <f>+'BS &amp; CFS'!E15</f>
        <v>30.436</v>
      </c>
      <c r="F56" s="42">
        <f>+'BS &amp; CFS'!F15</f>
        <v>19.352</v>
      </c>
      <c r="G56" s="42">
        <f>+'BS &amp; CFS'!G15</f>
        <v>54.244999999999997</v>
      </c>
      <c r="H56" s="42">
        <f>+'BS &amp; CFS'!H15</f>
        <v>47.228999999999999</v>
      </c>
      <c r="I56" s="42">
        <f>+'BS &amp; CFS'!I15</f>
        <v>39.286999999999999</v>
      </c>
      <c r="J56" s="13">
        <f>+SUM(J51:J55)</f>
        <v>31.389683300000002</v>
      </c>
      <c r="K56" s="13">
        <f t="shared" ref="K56:S56" si="27">+SUM(K51:K55)</f>
        <v>27.013898609150004</v>
      </c>
      <c r="L56" s="13">
        <f t="shared" si="27"/>
        <v>24.563740800569377</v>
      </c>
      <c r="M56" s="13">
        <f t="shared" si="27"/>
        <v>24.563740800569374</v>
      </c>
      <c r="N56" s="13">
        <f t="shared" si="27"/>
        <v>24.563740800569377</v>
      </c>
      <c r="O56" s="13">
        <f t="shared" si="27"/>
        <v>24.563740800569377</v>
      </c>
      <c r="P56" s="13">
        <f t="shared" si="27"/>
        <v>24.563740800569377</v>
      </c>
      <c r="Q56" s="13">
        <f t="shared" si="27"/>
        <v>24.563740800569377</v>
      </c>
      <c r="R56" s="13">
        <f t="shared" si="27"/>
        <v>24.563740800569377</v>
      </c>
      <c r="S56" s="13">
        <f t="shared" si="27"/>
        <v>24.563740800569381</v>
      </c>
    </row>
    <row r="57" spans="2:20" x14ac:dyDescent="0.45">
      <c r="H57" s="40" t="b">
        <f>+H56=SUM(H51:H55)</f>
        <v>1</v>
      </c>
      <c r="I57" s="40" t="b">
        <f>+I56=SUM(I51:I55)</f>
        <v>1</v>
      </c>
    </row>
    <row r="58" spans="2:20" x14ac:dyDescent="0.45">
      <c r="H58" s="40"/>
      <c r="I58" s="40"/>
    </row>
    <row r="59" spans="2:20" x14ac:dyDescent="0.45">
      <c r="B59" t="s">
        <v>120</v>
      </c>
      <c r="H59" s="47">
        <f>+H52/'P&amp;L'!H6</f>
        <v>1.2668661360251384E-2</v>
      </c>
      <c r="I59" s="47">
        <f>+I52/'P&amp;L'!I6</f>
        <v>1.0464825136084129E-2</v>
      </c>
      <c r="J59" s="23">
        <v>1.4999999999999999E-2</v>
      </c>
      <c r="K59" s="23">
        <v>1.4999999999999999E-2</v>
      </c>
      <c r="L59" s="23">
        <v>1.4999999999999999E-2</v>
      </c>
      <c r="M59" s="23">
        <v>1.4999999999999999E-2</v>
      </c>
      <c r="N59" s="23">
        <v>1.4999999999999999E-2</v>
      </c>
      <c r="O59" s="23">
        <v>1.4999999999999999E-2</v>
      </c>
      <c r="P59" s="23">
        <v>1.4999999999999999E-2</v>
      </c>
      <c r="Q59" s="23">
        <v>1.4999999999999999E-2</v>
      </c>
      <c r="R59" s="23">
        <v>1.4999999999999999E-2</v>
      </c>
      <c r="S59" s="23">
        <v>1.4999999999999999E-2</v>
      </c>
    </row>
    <row r="60" spans="2:20" x14ac:dyDescent="0.45">
      <c r="B60" t="s">
        <v>122</v>
      </c>
      <c r="H60" s="47">
        <f>+H53/H52*-1</f>
        <v>2.1597767312053029</v>
      </c>
      <c r="I60" s="47">
        <f>+I53/I52*-1</f>
        <v>2.5203466465712134</v>
      </c>
      <c r="J60" s="23">
        <v>2</v>
      </c>
      <c r="K60" s="23">
        <v>1.5</v>
      </c>
      <c r="L60" s="23">
        <v>1.25</v>
      </c>
      <c r="M60" s="23">
        <v>1</v>
      </c>
      <c r="N60" s="23">
        <v>1</v>
      </c>
      <c r="O60" s="23">
        <v>1</v>
      </c>
      <c r="P60" s="23">
        <v>1</v>
      </c>
      <c r="Q60" s="23">
        <v>1</v>
      </c>
      <c r="R60" s="23">
        <v>1</v>
      </c>
      <c r="S60" s="23">
        <v>1</v>
      </c>
    </row>
    <row r="61" spans="2:20" x14ac:dyDescent="0.45">
      <c r="H61" s="40"/>
      <c r="I61" s="40"/>
    </row>
    <row r="62" spans="2:20" x14ac:dyDescent="0.45">
      <c r="B62" t="s">
        <v>143</v>
      </c>
      <c r="F62">
        <f>+E67</f>
        <v>546.99699999999996</v>
      </c>
      <c r="G62">
        <f t="shared" ref="G62:S62" si="28">+F67</f>
        <v>465.83199999999999</v>
      </c>
      <c r="H62">
        <f t="shared" si="28"/>
        <v>472.53100000000001</v>
      </c>
      <c r="I62">
        <f t="shared" si="28"/>
        <v>433.59500000000003</v>
      </c>
      <c r="J62">
        <f t="shared" si="28"/>
        <v>448.947</v>
      </c>
      <c r="K62">
        <f t="shared" si="28"/>
        <v>443.68212219999998</v>
      </c>
      <c r="L62">
        <f t="shared" si="28"/>
        <v>438.6812254104571</v>
      </c>
      <c r="M62">
        <f t="shared" si="28"/>
        <v>434.01425815601783</v>
      </c>
      <c r="N62">
        <f t="shared" si="28"/>
        <v>429.97506451842935</v>
      </c>
      <c r="O62">
        <f t="shared" si="28"/>
        <v>426.75427663455611</v>
      </c>
      <c r="P62">
        <f t="shared" si="28"/>
        <v>424.49458645787081</v>
      </c>
      <c r="Q62">
        <f t="shared" si="28"/>
        <v>423.30898237331445</v>
      </c>
      <c r="R62">
        <f t="shared" si="28"/>
        <v>423.30898237331445</v>
      </c>
      <c r="S62">
        <f t="shared" si="28"/>
        <v>423.30898237331445</v>
      </c>
    </row>
    <row r="63" spans="2:20" x14ac:dyDescent="0.45">
      <c r="B63" t="s">
        <v>144</v>
      </c>
      <c r="H63" s="4">
        <v>4.2789999999999999</v>
      </c>
      <c r="I63" s="4">
        <v>14.308999999999999</v>
      </c>
      <c r="J63">
        <f t="shared" ref="J63:S63" si="29">+J70*J10</f>
        <v>10.5297556</v>
      </c>
      <c r="K63">
        <f t="shared" si="29"/>
        <v>11.6687591756</v>
      </c>
      <c r="L63">
        <f t="shared" si="29"/>
        <v>13.067508312430002</v>
      </c>
      <c r="M63">
        <f t="shared" si="29"/>
        <v>14.137177731559714</v>
      </c>
      <c r="N63">
        <f t="shared" si="29"/>
        <v>15.03034345807505</v>
      </c>
      <c r="O63">
        <f t="shared" si="29"/>
        <v>15.817831236797192</v>
      </c>
      <c r="P63">
        <f t="shared" si="29"/>
        <v>16.5984571837893</v>
      </c>
      <c r="Q63">
        <f t="shared" si="29"/>
        <v>17.404088569936182</v>
      </c>
      <c r="R63">
        <f t="shared" si="29"/>
        <v>18.239500908051973</v>
      </c>
      <c r="S63">
        <f t="shared" si="29"/>
        <v>19.148845933017089</v>
      </c>
    </row>
    <row r="64" spans="2:20" x14ac:dyDescent="0.45">
      <c r="B64" t="s">
        <v>21</v>
      </c>
      <c r="H64" s="4">
        <v>-10.542</v>
      </c>
      <c r="I64" s="4">
        <v>-10.601000000000001</v>
      </c>
      <c r="J64">
        <f>+J63*J71*-1</f>
        <v>-15.794633399999999</v>
      </c>
      <c r="K64">
        <f t="shared" ref="K64:S64" si="30">+K63*K71*-1</f>
        <v>-16.669655965142859</v>
      </c>
      <c r="L64">
        <f t="shared" si="30"/>
        <v>-17.734475566869289</v>
      </c>
      <c r="M64">
        <f t="shared" si="30"/>
        <v>-18.1763713691482</v>
      </c>
      <c r="N64">
        <f t="shared" si="30"/>
        <v>-18.251131341948277</v>
      </c>
      <c r="O64">
        <f t="shared" si="30"/>
        <v>-18.077521413482504</v>
      </c>
      <c r="P64">
        <f t="shared" si="30"/>
        <v>-17.784061268345678</v>
      </c>
      <c r="Q64">
        <f t="shared" si="30"/>
        <v>-17.404088569936182</v>
      </c>
      <c r="R64">
        <f t="shared" si="30"/>
        <v>-18.239500908051973</v>
      </c>
      <c r="S64">
        <f t="shared" si="30"/>
        <v>-19.148845933017089</v>
      </c>
    </row>
    <row r="65" spans="1:19" x14ac:dyDescent="0.45">
      <c r="B65" t="s">
        <v>117</v>
      </c>
      <c r="H65" s="4">
        <v>0</v>
      </c>
      <c r="I65" s="4">
        <v>0</v>
      </c>
      <c r="J65" s="46">
        <v>0</v>
      </c>
      <c r="K65" s="46">
        <v>0</v>
      </c>
      <c r="L65" s="46">
        <v>0</v>
      </c>
      <c r="M65" s="46">
        <v>0</v>
      </c>
      <c r="N65" s="46">
        <v>0</v>
      </c>
      <c r="O65" s="46">
        <v>0</v>
      </c>
      <c r="P65" s="46">
        <v>0</v>
      </c>
      <c r="Q65" s="46">
        <v>0</v>
      </c>
      <c r="R65" s="46">
        <v>0</v>
      </c>
      <c r="S65" s="46">
        <v>0</v>
      </c>
    </row>
    <row r="66" spans="1:19" x14ac:dyDescent="0.45">
      <c r="B66" t="s">
        <v>118</v>
      </c>
      <c r="H66" s="4">
        <v>-32.673000000000002</v>
      </c>
      <c r="I66" s="4">
        <v>11.644</v>
      </c>
      <c r="J66" s="4">
        <v>0</v>
      </c>
      <c r="K66" s="4">
        <f t="shared" ref="K66:S66" si="31">+J66</f>
        <v>0</v>
      </c>
      <c r="L66" s="4">
        <f t="shared" si="31"/>
        <v>0</v>
      </c>
      <c r="M66" s="4">
        <f t="shared" si="31"/>
        <v>0</v>
      </c>
      <c r="N66" s="4">
        <f t="shared" si="31"/>
        <v>0</v>
      </c>
      <c r="O66" s="4">
        <f t="shared" si="31"/>
        <v>0</v>
      </c>
      <c r="P66" s="4">
        <f t="shared" si="31"/>
        <v>0</v>
      </c>
      <c r="Q66" s="4">
        <f t="shared" si="31"/>
        <v>0</v>
      </c>
      <c r="R66" s="4">
        <f t="shared" si="31"/>
        <v>0</v>
      </c>
      <c r="S66" s="4">
        <f t="shared" si="31"/>
        <v>0</v>
      </c>
    </row>
    <row r="67" spans="1:19" x14ac:dyDescent="0.45">
      <c r="B67" s="13" t="s">
        <v>145</v>
      </c>
      <c r="C67" s="13"/>
      <c r="D67" s="13"/>
      <c r="E67" s="42">
        <f>+'BS &amp; CFS'!E17</f>
        <v>546.99699999999996</v>
      </c>
      <c r="F67" s="42">
        <f>+'BS &amp; CFS'!F17</f>
        <v>465.83199999999999</v>
      </c>
      <c r="G67" s="42">
        <f>+'BS &amp; CFS'!G17</f>
        <v>472.53100000000001</v>
      </c>
      <c r="H67" s="42">
        <f>+'BS &amp; CFS'!H17</f>
        <v>433.59500000000003</v>
      </c>
      <c r="I67" s="42">
        <f>+'BS &amp; CFS'!I17</f>
        <v>448.947</v>
      </c>
      <c r="J67" s="48">
        <f>+SUM(J62:J66)</f>
        <v>443.68212219999998</v>
      </c>
      <c r="K67" s="48">
        <f t="shared" ref="K67:S67" si="32">+SUM(K62:K66)</f>
        <v>438.6812254104571</v>
      </c>
      <c r="L67" s="48">
        <f t="shared" si="32"/>
        <v>434.01425815601783</v>
      </c>
      <c r="M67" s="48">
        <f t="shared" si="32"/>
        <v>429.97506451842935</v>
      </c>
      <c r="N67" s="48">
        <f t="shared" si="32"/>
        <v>426.75427663455611</v>
      </c>
      <c r="O67" s="48">
        <f t="shared" si="32"/>
        <v>424.49458645787081</v>
      </c>
      <c r="P67" s="48">
        <f t="shared" si="32"/>
        <v>423.30898237331445</v>
      </c>
      <c r="Q67" s="48">
        <f t="shared" si="32"/>
        <v>423.30898237331445</v>
      </c>
      <c r="R67" s="48">
        <f t="shared" si="32"/>
        <v>423.30898237331445</v>
      </c>
      <c r="S67" s="48">
        <f t="shared" si="32"/>
        <v>423.30898237331445</v>
      </c>
    </row>
    <row r="68" spans="1:19" x14ac:dyDescent="0.45">
      <c r="H68" s="40" t="b">
        <f>+H67=SUM(H62:H66)</f>
        <v>1</v>
      </c>
      <c r="I68" s="40" t="b">
        <f>+I67=SUM(I62:I66)</f>
        <v>1</v>
      </c>
    </row>
    <row r="69" spans="1:19" x14ac:dyDescent="0.45">
      <c r="H69" s="40"/>
      <c r="I69" s="40"/>
    </row>
    <row r="70" spans="1:19" x14ac:dyDescent="0.45">
      <c r="B70" t="s">
        <v>120</v>
      </c>
      <c r="H70" s="47">
        <f>+H63/H10</f>
        <v>9.4556431118987747E-3</v>
      </c>
      <c r="I70" s="47">
        <f>+I63/I10</f>
        <v>2.8210471528302149E-2</v>
      </c>
      <c r="J70" s="23">
        <v>0.02</v>
      </c>
      <c r="K70" s="23">
        <v>0.02</v>
      </c>
      <c r="L70" s="23">
        <v>0.02</v>
      </c>
      <c r="M70" s="23">
        <v>0.02</v>
      </c>
      <c r="N70" s="23">
        <v>0.02</v>
      </c>
      <c r="O70" s="23">
        <v>0.02</v>
      </c>
      <c r="P70" s="23">
        <v>0.02</v>
      </c>
      <c r="Q70" s="23">
        <v>0.02</v>
      </c>
      <c r="R70" s="23">
        <v>0.02</v>
      </c>
      <c r="S70" s="23">
        <v>0.02</v>
      </c>
    </row>
    <row r="71" spans="1:19" x14ac:dyDescent="0.45">
      <c r="B71" t="s">
        <v>122</v>
      </c>
      <c r="H71" s="47">
        <f>+H64/H63</f>
        <v>-2.4636597335826127</v>
      </c>
      <c r="I71" s="47">
        <f>+I64/I63</f>
        <v>-0.7408623942972955</v>
      </c>
      <c r="J71" s="23">
        <v>1.5</v>
      </c>
      <c r="K71" s="23">
        <v>1.4285714285714286</v>
      </c>
      <c r="L71" s="23">
        <v>1.3571428571428572</v>
      </c>
      <c r="M71" s="23">
        <v>1.2857142857142856</v>
      </c>
      <c r="N71" s="23">
        <v>1.2142857142857144</v>
      </c>
      <c r="O71" s="23">
        <v>1.1428571428571428</v>
      </c>
      <c r="P71" s="23">
        <v>1.0714285714285714</v>
      </c>
      <c r="Q71" s="23">
        <v>1</v>
      </c>
      <c r="R71" s="23">
        <v>1</v>
      </c>
      <c r="S71" s="23">
        <v>1</v>
      </c>
    </row>
    <row r="73" spans="1:19" x14ac:dyDescent="0.45">
      <c r="A73" t="s">
        <v>36</v>
      </c>
      <c r="B73" s="20" t="s">
        <v>146</v>
      </c>
    </row>
    <row r="74" spans="1:19" x14ac:dyDescent="0.45">
      <c r="B74" t="s">
        <v>147</v>
      </c>
      <c r="F74">
        <f>+E78</f>
        <v>315.07799999999997</v>
      </c>
      <c r="G74">
        <f t="shared" ref="G74:S74" si="33">+F78</f>
        <v>243.03299999999999</v>
      </c>
      <c r="H74">
        <f t="shared" si="33"/>
        <v>81.350999999999999</v>
      </c>
      <c r="I74">
        <f t="shared" si="33"/>
        <v>68.587999999999994</v>
      </c>
      <c r="J74">
        <f t="shared" si="33"/>
        <v>79.427999999999997</v>
      </c>
      <c r="K74">
        <f t="shared" ca="1" si="33"/>
        <v>69.648124307342485</v>
      </c>
      <c r="L74">
        <f t="shared" ca="1" si="33"/>
        <v>76.770258011332501</v>
      </c>
      <c r="M74">
        <f t="shared" ca="1" si="33"/>
        <v>92.244449810133247</v>
      </c>
      <c r="N74">
        <f t="shared" ca="1" si="33"/>
        <v>114.68402122415139</v>
      </c>
      <c r="O74">
        <f t="shared" ca="1" si="33"/>
        <v>141.59679051055389</v>
      </c>
      <c r="P74">
        <f t="shared" ca="1" si="33"/>
        <v>172.60778422232414</v>
      </c>
      <c r="Q74">
        <f t="shared" ca="1" si="33"/>
        <v>207.90609770616842</v>
      </c>
      <c r="R74">
        <f t="shared" ca="1" si="33"/>
        <v>247.86599041659679</v>
      </c>
      <c r="S74">
        <f t="shared" ca="1" si="33"/>
        <v>291.97959663079007</v>
      </c>
    </row>
    <row r="75" spans="1:19" x14ac:dyDescent="0.45">
      <c r="B75" t="s">
        <v>24</v>
      </c>
      <c r="F75" s="29">
        <f>+'P&amp;L'!F36</f>
        <v>-101.49399999999996</v>
      </c>
      <c r="G75" s="29">
        <f>+'P&amp;L'!G36</f>
        <v>-235.96600000000004</v>
      </c>
      <c r="H75" s="29">
        <f>+'P&amp;L'!H36</f>
        <v>-7.0769999999999911</v>
      </c>
      <c r="I75" s="29">
        <f>+'P&amp;L'!I36</f>
        <v>5.6400000000000681</v>
      </c>
      <c r="J75" s="29">
        <f ca="1">+'P&amp;L'!J36</f>
        <v>-9.7798756926575159</v>
      </c>
      <c r="K75" s="29">
        <f ca="1">+'P&amp;L'!K36</f>
        <v>7.1221337039899524</v>
      </c>
      <c r="L75" s="29">
        <f ca="1">+'P&amp;L'!L36</f>
        <v>15.474191798801346</v>
      </c>
      <c r="M75" s="29">
        <f ca="1">+'P&amp;L'!M36</f>
        <v>22.43957141401097</v>
      </c>
      <c r="N75" s="29">
        <f ca="1">+'P&amp;L'!N36</f>
        <v>26.912769286471192</v>
      </c>
      <c r="O75" s="29">
        <f ca="1">+'P&amp;L'!O36</f>
        <v>31.010993711233485</v>
      </c>
      <c r="P75" s="29">
        <f ca="1">+'P&amp;L'!P36</f>
        <v>35.298313487513973</v>
      </c>
      <c r="Q75" s="29">
        <f ca="1">+'P&amp;L'!Q36</f>
        <v>39.959892688484011</v>
      </c>
      <c r="R75" s="29">
        <f ca="1">+'P&amp;L'!R36</f>
        <v>44.113606318087648</v>
      </c>
      <c r="S75" s="29">
        <f ca="1">+'P&amp;L'!S36</f>
        <v>49.071973674372138</v>
      </c>
    </row>
    <row r="76" spans="1:19" x14ac:dyDescent="0.45">
      <c r="B76" t="s">
        <v>148</v>
      </c>
      <c r="F76" s="29">
        <f>+'P&amp;L'!F44</f>
        <v>0</v>
      </c>
      <c r="G76" s="29">
        <f>+'P&amp;L'!G44</f>
        <v>0</v>
      </c>
      <c r="H76" s="29">
        <f>+'P&amp;L'!H44</f>
        <v>0</v>
      </c>
      <c r="I76" s="29">
        <f>+'P&amp;L'!I44</f>
        <v>0</v>
      </c>
      <c r="J76" s="46">
        <v>0</v>
      </c>
      <c r="K76" s="46">
        <v>0</v>
      </c>
      <c r="L76" s="46">
        <v>0</v>
      </c>
      <c r="M76" s="46">
        <v>0</v>
      </c>
      <c r="N76" s="46">
        <v>0</v>
      </c>
      <c r="O76" s="46">
        <v>0</v>
      </c>
      <c r="P76" s="46">
        <v>0</v>
      </c>
      <c r="Q76" s="46">
        <v>0</v>
      </c>
      <c r="R76" s="46">
        <v>0</v>
      </c>
      <c r="S76" s="46">
        <v>0</v>
      </c>
    </row>
    <row r="77" spans="1:19" x14ac:dyDescent="0.45">
      <c r="B77" t="s">
        <v>149</v>
      </c>
      <c r="F77">
        <f>+F78-SUM(F74:F76)</f>
        <v>29.448999999999984</v>
      </c>
      <c r="G77">
        <f>+G78-SUM(G74:G76)</f>
        <v>74.284000000000049</v>
      </c>
      <c r="H77">
        <f>+H78-SUM(H74:H76)</f>
        <v>-5.686000000000007</v>
      </c>
      <c r="I77">
        <f>+I78-SUM(I74:I76)</f>
        <v>5.1999999999999318</v>
      </c>
      <c r="J77" s="4">
        <v>0</v>
      </c>
      <c r="K77" s="4">
        <f t="shared" ref="K77:S77" si="34">+J77</f>
        <v>0</v>
      </c>
      <c r="L77" s="4">
        <f t="shared" si="34"/>
        <v>0</v>
      </c>
      <c r="M77" s="4">
        <f t="shared" si="34"/>
        <v>0</v>
      </c>
      <c r="N77" s="4">
        <f t="shared" si="34"/>
        <v>0</v>
      </c>
      <c r="O77" s="4">
        <f t="shared" si="34"/>
        <v>0</v>
      </c>
      <c r="P77" s="4">
        <f t="shared" si="34"/>
        <v>0</v>
      </c>
      <c r="Q77" s="4">
        <f t="shared" si="34"/>
        <v>0</v>
      </c>
      <c r="R77" s="4">
        <f t="shared" si="34"/>
        <v>0</v>
      </c>
      <c r="S77" s="4">
        <f t="shared" si="34"/>
        <v>0</v>
      </c>
    </row>
    <row r="78" spans="1:19" x14ac:dyDescent="0.45">
      <c r="B78" s="13" t="s">
        <v>150</v>
      </c>
      <c r="C78" s="13"/>
      <c r="D78" s="13"/>
      <c r="E78" s="42">
        <f>+'BS &amp; CFS'!E35</f>
        <v>315.07799999999997</v>
      </c>
      <c r="F78" s="42">
        <f>+'BS &amp; CFS'!F35</f>
        <v>243.03299999999999</v>
      </c>
      <c r="G78" s="42">
        <f>+'BS &amp; CFS'!G35</f>
        <v>81.350999999999999</v>
      </c>
      <c r="H78" s="42">
        <f>+'BS &amp; CFS'!H35</f>
        <v>68.587999999999994</v>
      </c>
      <c r="I78" s="42">
        <f>+'BS &amp; CFS'!I35</f>
        <v>79.427999999999997</v>
      </c>
      <c r="J78" s="48">
        <f ca="1">SUM(J74:J77)</f>
        <v>69.648124307342485</v>
      </c>
      <c r="K78" s="48">
        <f t="shared" ref="K78:S78" ca="1" si="35">SUM(K74:K77)</f>
        <v>76.77025801133243</v>
      </c>
      <c r="L78" s="48">
        <f t="shared" ca="1" si="35"/>
        <v>92.244449810133844</v>
      </c>
      <c r="M78" s="48">
        <f t="shared" ca="1" si="35"/>
        <v>114.68402122414422</v>
      </c>
      <c r="N78" s="48">
        <f t="shared" ca="1" si="35"/>
        <v>141.59679051062258</v>
      </c>
      <c r="O78" s="48">
        <f t="shared" ca="1" si="35"/>
        <v>172.60778422178737</v>
      </c>
      <c r="P78" s="48">
        <f t="shared" ca="1" si="35"/>
        <v>207.90609770983812</v>
      </c>
      <c r="Q78" s="48">
        <f t="shared" ca="1" si="35"/>
        <v>247.86599039465244</v>
      </c>
      <c r="R78" s="48">
        <f t="shared" ca="1" si="35"/>
        <v>291.97959673468443</v>
      </c>
      <c r="S78" s="48">
        <f t="shared" ca="1" si="35"/>
        <v>341.05157030516222</v>
      </c>
    </row>
    <row r="80" spans="1:19" x14ac:dyDescent="0.45">
      <c r="B80" t="s">
        <v>152</v>
      </c>
      <c r="F80">
        <f t="shared" ref="F80:S80" si="36">+E84</f>
        <v>85.713999999999999</v>
      </c>
      <c r="G80">
        <f t="shared" si="36"/>
        <v>256.94499999999999</v>
      </c>
      <c r="H80">
        <f t="shared" si="36"/>
        <v>260.13499999999999</v>
      </c>
      <c r="I80">
        <f t="shared" si="36"/>
        <v>234.32499999999999</v>
      </c>
      <c r="J80">
        <f t="shared" si="36"/>
        <v>235.97499999999999</v>
      </c>
      <c r="K80">
        <f t="shared" si="36"/>
        <v>228.59307752000001</v>
      </c>
      <c r="L80">
        <f t="shared" si="36"/>
        <v>221.33250916560002</v>
      </c>
      <c r="M80">
        <f t="shared" si="36"/>
        <v>214.203791796568</v>
      </c>
      <c r="N80">
        <f t="shared" si="36"/>
        <v>207.21787430318506</v>
      </c>
      <c r="O80">
        <f t="shared" si="36"/>
        <v>200.38617390965501</v>
      </c>
      <c r="P80">
        <f t="shared" si="36"/>
        <v>193.72059302146658</v>
      </c>
      <c r="Q80">
        <f t="shared" si="36"/>
        <v>187.23353663412291</v>
      </c>
      <c r="R80">
        <f t="shared" si="36"/>
        <v>180.93793032119919</v>
      </c>
      <c r="S80">
        <f t="shared" si="36"/>
        <v>174.84723882024883</v>
      </c>
    </row>
    <row r="81" spans="2:19" x14ac:dyDescent="0.45">
      <c r="B81" t="s">
        <v>98</v>
      </c>
      <c r="F81" s="29">
        <f>+'P&amp;L'!F35</f>
        <v>23.292000000000002</v>
      </c>
      <c r="G81" s="29">
        <f>+'P&amp;L'!G35</f>
        <v>27.175000000000001</v>
      </c>
      <c r="H81" s="29">
        <f>+'P&amp;L'!H35</f>
        <v>30.186</v>
      </c>
      <c r="I81" s="29">
        <f>+'P&amp;L'!I35</f>
        <v>26.122</v>
      </c>
      <c r="J81" s="29">
        <f>+'P&amp;L'!J35</f>
        <v>26.89925752000001</v>
      </c>
      <c r="K81" s="29">
        <f>+'P&amp;L'!K35</f>
        <v>27.706235245600013</v>
      </c>
      <c r="L81" s="29">
        <f>+'P&amp;L'!L35</f>
        <v>28.537422302968007</v>
      </c>
      <c r="M81" s="29">
        <f>+'P&amp;L'!M35</f>
        <v>29.393544972057043</v>
      </c>
      <c r="N81" s="29">
        <f>+'P&amp;L'!N35</f>
        <v>30.275351321218761</v>
      </c>
      <c r="O81" s="29">
        <f>+'P&amp;L'!O35</f>
        <v>31.183611860855326</v>
      </c>
      <c r="P81" s="29">
        <f>+'P&amp;L'!P35</f>
        <v>32.11912021668099</v>
      </c>
      <c r="Q81" s="29">
        <f>+'P&amp;L'!Q35</f>
        <v>33.082693823181408</v>
      </c>
      <c r="R81" s="29">
        <f>+'P&amp;L'!R35</f>
        <v>34.07517463787687</v>
      </c>
      <c r="S81" s="29">
        <f>+'P&amp;L'!S35</f>
        <v>35.097429877013163</v>
      </c>
    </row>
    <row r="82" spans="2:19" x14ac:dyDescent="0.45">
      <c r="B82" t="s">
        <v>178</v>
      </c>
      <c r="F82" s="29">
        <f>+'P&amp;L'!F45</f>
        <v>-26.657</v>
      </c>
      <c r="G82" s="29">
        <f>+'P&amp;L'!G45</f>
        <v>-33.46</v>
      </c>
      <c r="H82" s="29">
        <f>+'P&amp;L'!H45</f>
        <v>-31.457000000000001</v>
      </c>
      <c r="I82" s="29">
        <f>+'P&amp;L'!I45</f>
        <v>-33.609000000000002</v>
      </c>
      <c r="J82">
        <f>+(1+J101)*I82</f>
        <v>-34.281179999999999</v>
      </c>
      <c r="K82">
        <f t="shared" ref="K82:S82" si="37">+(1+K101)*J82</f>
        <v>-34.966803599999999</v>
      </c>
      <c r="L82">
        <f t="shared" si="37"/>
        <v>-35.666139672</v>
      </c>
      <c r="M82">
        <f t="shared" si="37"/>
        <v>-36.37946246544</v>
      </c>
      <c r="N82">
        <f t="shared" si="37"/>
        <v>-37.107051714748799</v>
      </c>
      <c r="O82">
        <f t="shared" si="37"/>
        <v>-37.849192749043773</v>
      </c>
      <c r="P82">
        <f t="shared" si="37"/>
        <v>-38.606176604024647</v>
      </c>
      <c r="Q82">
        <f t="shared" si="37"/>
        <v>-39.378300136105139</v>
      </c>
      <c r="R82">
        <f t="shared" si="37"/>
        <v>-40.165866138827241</v>
      </c>
      <c r="S82">
        <f t="shared" si="37"/>
        <v>-40.969183461603784</v>
      </c>
    </row>
    <row r="83" spans="2:19" x14ac:dyDescent="0.45">
      <c r="B83" t="s">
        <v>149</v>
      </c>
      <c r="F83">
        <f>+F84-SUM(F80:F82)</f>
        <v>174.596</v>
      </c>
      <c r="G83">
        <f>+G84-SUM(G80:G82)</f>
        <v>9.4749999999999943</v>
      </c>
      <c r="H83">
        <f>+H84-SUM(H80:H82)</f>
        <v>-24.538999999999987</v>
      </c>
      <c r="I83">
        <f>+I84-SUM(I80:I82)</f>
        <v>9.1370000000000005</v>
      </c>
      <c r="J83" s="4">
        <v>0</v>
      </c>
      <c r="K83" s="4">
        <f t="shared" ref="K83:S83" si="38">+J83</f>
        <v>0</v>
      </c>
      <c r="L83" s="4">
        <f t="shared" si="38"/>
        <v>0</v>
      </c>
      <c r="M83" s="4">
        <f t="shared" si="38"/>
        <v>0</v>
      </c>
      <c r="N83" s="4">
        <f t="shared" si="38"/>
        <v>0</v>
      </c>
      <c r="O83" s="4">
        <f t="shared" si="38"/>
        <v>0</v>
      </c>
      <c r="P83" s="4">
        <f t="shared" si="38"/>
        <v>0</v>
      </c>
      <c r="Q83" s="4">
        <f t="shared" si="38"/>
        <v>0</v>
      </c>
      <c r="R83" s="4">
        <f t="shared" si="38"/>
        <v>0</v>
      </c>
      <c r="S83" s="4">
        <f t="shared" si="38"/>
        <v>0</v>
      </c>
    </row>
    <row r="84" spans="2:19" x14ac:dyDescent="0.45">
      <c r="B84" s="13" t="s">
        <v>153</v>
      </c>
      <c r="C84" s="13"/>
      <c r="D84" s="13"/>
      <c r="E84" s="42">
        <f>+'BS &amp; CFS'!E36</f>
        <v>85.713999999999999</v>
      </c>
      <c r="F84" s="42">
        <f>+'BS &amp; CFS'!F36</f>
        <v>256.94499999999999</v>
      </c>
      <c r="G84" s="42">
        <f>+'BS &amp; CFS'!G36</f>
        <v>260.13499999999999</v>
      </c>
      <c r="H84" s="42">
        <f>+'BS &amp; CFS'!H36</f>
        <v>234.32499999999999</v>
      </c>
      <c r="I84" s="42">
        <f>+'BS &amp; CFS'!I36</f>
        <v>235.97499999999999</v>
      </c>
      <c r="J84" s="13">
        <f>SUM(J80:J83)</f>
        <v>228.59307752000001</v>
      </c>
      <c r="K84" s="13">
        <f t="shared" ref="K84:S84" si="39">SUM(K80:K83)</f>
        <v>221.33250916560002</v>
      </c>
      <c r="L84" s="13">
        <f t="shared" si="39"/>
        <v>214.203791796568</v>
      </c>
      <c r="M84" s="13">
        <f t="shared" si="39"/>
        <v>207.21787430318506</v>
      </c>
      <c r="N84" s="13">
        <f t="shared" si="39"/>
        <v>200.38617390965501</v>
      </c>
      <c r="O84" s="13">
        <f t="shared" si="39"/>
        <v>193.72059302146658</v>
      </c>
      <c r="P84" s="13">
        <f t="shared" si="39"/>
        <v>187.23353663412291</v>
      </c>
      <c r="Q84" s="13">
        <f t="shared" si="39"/>
        <v>180.93793032119919</v>
      </c>
      <c r="R84" s="13">
        <f t="shared" si="39"/>
        <v>174.84723882024883</v>
      </c>
      <c r="S84" s="13">
        <f t="shared" si="39"/>
        <v>168.9754852356582</v>
      </c>
    </row>
    <row r="85" spans="2:19" x14ac:dyDescent="0.45">
      <c r="E85" s="29"/>
      <c r="F85" s="29"/>
      <c r="G85" s="29"/>
      <c r="H85" s="29"/>
      <c r="I85" s="29"/>
    </row>
    <row r="86" spans="2:19" s="7" customFormat="1" x14ac:dyDescent="0.45">
      <c r="B86" s="7" t="s">
        <v>167</v>
      </c>
      <c r="E86" s="34"/>
      <c r="F86" s="57">
        <f>+SUM(F87:F89)</f>
        <v>1</v>
      </c>
      <c r="G86" s="57">
        <f>+SUM(G87:G89)</f>
        <v>1</v>
      </c>
      <c r="H86" s="57">
        <f>+SUM(H87:H89)</f>
        <v>1</v>
      </c>
      <c r="I86" s="57">
        <f>+SUM(I87:I89)</f>
        <v>1</v>
      </c>
      <c r="J86" s="57">
        <f t="shared" ref="J86:S86" si="40">+SUM(J87:J89)</f>
        <v>1</v>
      </c>
      <c r="K86" s="57">
        <f t="shared" si="40"/>
        <v>1</v>
      </c>
      <c r="L86" s="57">
        <f t="shared" si="40"/>
        <v>1</v>
      </c>
      <c r="M86" s="57">
        <f t="shared" si="40"/>
        <v>1</v>
      </c>
      <c r="N86" s="57">
        <f t="shared" si="40"/>
        <v>1</v>
      </c>
      <c r="O86" s="57">
        <f t="shared" si="40"/>
        <v>1</v>
      </c>
      <c r="P86" s="57">
        <f t="shared" si="40"/>
        <v>1</v>
      </c>
      <c r="Q86" s="57">
        <f t="shared" si="40"/>
        <v>1</v>
      </c>
      <c r="R86" s="57">
        <f t="shared" si="40"/>
        <v>1</v>
      </c>
      <c r="S86" s="57">
        <f t="shared" si="40"/>
        <v>1</v>
      </c>
    </row>
    <row r="87" spans="2:19" x14ac:dyDescent="0.45">
      <c r="B87" s="14" t="s">
        <v>169</v>
      </c>
      <c r="E87" s="56"/>
      <c r="F87" s="56">
        <f>0.51*0.8</f>
        <v>0.40800000000000003</v>
      </c>
      <c r="G87" s="56">
        <f>0.51*0.8</f>
        <v>0.40800000000000003</v>
      </c>
      <c r="H87" s="56">
        <f>0.51*0.8</f>
        <v>0.40800000000000003</v>
      </c>
      <c r="I87" s="56">
        <f>0.51*0.8</f>
        <v>0.40800000000000003</v>
      </c>
      <c r="J87" s="56">
        <f t="shared" ref="J87:S87" si="41">0.51*0.8</f>
        <v>0.40800000000000003</v>
      </c>
      <c r="K87" s="56">
        <f t="shared" si="41"/>
        <v>0.40800000000000003</v>
      </c>
      <c r="L87" s="56">
        <f t="shared" si="41"/>
        <v>0.40800000000000003</v>
      </c>
      <c r="M87" s="56">
        <f t="shared" si="41"/>
        <v>0.40800000000000003</v>
      </c>
      <c r="N87" s="56">
        <f t="shared" si="41"/>
        <v>0.40800000000000003</v>
      </c>
      <c r="O87" s="56">
        <f t="shared" si="41"/>
        <v>0.40800000000000003</v>
      </c>
      <c r="P87" s="56">
        <f t="shared" si="41"/>
        <v>0.40800000000000003</v>
      </c>
      <c r="Q87" s="56">
        <f t="shared" si="41"/>
        <v>0.40800000000000003</v>
      </c>
      <c r="R87" s="56">
        <f t="shared" si="41"/>
        <v>0.40800000000000003</v>
      </c>
      <c r="S87" s="56">
        <f t="shared" si="41"/>
        <v>0.40800000000000003</v>
      </c>
    </row>
    <row r="88" spans="2:19" x14ac:dyDescent="0.45">
      <c r="B88" s="14" t="s">
        <v>170</v>
      </c>
      <c r="E88" s="29"/>
      <c r="F88" s="56">
        <f>0.49*0.8</f>
        <v>0.39200000000000002</v>
      </c>
      <c r="G88" s="56">
        <f>0.49*0.8</f>
        <v>0.39200000000000002</v>
      </c>
      <c r="H88" s="56">
        <f>0.49*0.8</f>
        <v>0.39200000000000002</v>
      </c>
      <c r="I88" s="56">
        <f>0.49*0.8</f>
        <v>0.39200000000000002</v>
      </c>
      <c r="J88" s="56">
        <f t="shared" ref="J88:S88" si="42">0.49*0.8</f>
        <v>0.39200000000000002</v>
      </c>
      <c r="K88" s="56">
        <f t="shared" si="42"/>
        <v>0.39200000000000002</v>
      </c>
      <c r="L88" s="56">
        <f t="shared" si="42"/>
        <v>0.39200000000000002</v>
      </c>
      <c r="M88" s="56">
        <f t="shared" si="42"/>
        <v>0.39200000000000002</v>
      </c>
      <c r="N88" s="56">
        <f t="shared" si="42"/>
        <v>0.39200000000000002</v>
      </c>
      <c r="O88" s="56">
        <f t="shared" si="42"/>
        <v>0.39200000000000002</v>
      </c>
      <c r="P88" s="56">
        <f t="shared" si="42"/>
        <v>0.39200000000000002</v>
      </c>
      <c r="Q88" s="56">
        <f t="shared" si="42"/>
        <v>0.39200000000000002</v>
      </c>
      <c r="R88" s="56">
        <f t="shared" si="42"/>
        <v>0.39200000000000002</v>
      </c>
      <c r="S88" s="56">
        <f t="shared" si="42"/>
        <v>0.39200000000000002</v>
      </c>
    </row>
    <row r="89" spans="2:19" x14ac:dyDescent="0.45">
      <c r="B89" s="14" t="s">
        <v>168</v>
      </c>
      <c r="E89" s="29"/>
      <c r="F89" s="56">
        <v>0.2</v>
      </c>
      <c r="G89" s="56">
        <v>0.2</v>
      </c>
      <c r="H89" s="56">
        <v>0.2</v>
      </c>
      <c r="I89" s="56">
        <v>0.2</v>
      </c>
      <c r="J89" s="56">
        <v>0.2</v>
      </c>
      <c r="K89" s="56">
        <v>0.2</v>
      </c>
      <c r="L89" s="56">
        <v>0.2</v>
      </c>
      <c r="M89" s="56">
        <v>0.2</v>
      </c>
      <c r="N89" s="56">
        <v>0.2</v>
      </c>
      <c r="O89" s="56">
        <v>0.2</v>
      </c>
      <c r="P89" s="56">
        <v>0.2</v>
      </c>
      <c r="Q89" s="56">
        <v>0.2</v>
      </c>
      <c r="R89" s="56">
        <v>0.2</v>
      </c>
      <c r="S89" s="56">
        <v>0.2</v>
      </c>
    </row>
    <row r="90" spans="2:19" x14ac:dyDescent="0.45">
      <c r="B90" s="14"/>
      <c r="E90" s="29"/>
      <c r="F90" s="29"/>
      <c r="G90" s="29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</row>
    <row r="91" spans="2:19" x14ac:dyDescent="0.45">
      <c r="B91" s="14" t="s">
        <v>171</v>
      </c>
      <c r="E91" s="29"/>
      <c r="F91" s="4">
        <v>149.625</v>
      </c>
      <c r="G91" s="4">
        <v>151.70500000000001</v>
      </c>
      <c r="H91" s="4">
        <v>193.81700000000001</v>
      </c>
      <c r="I91" s="4">
        <v>176.458</v>
      </c>
      <c r="J91">
        <f t="shared" ref="J91:S91" si="43">+(1+J95)*I91</f>
        <v>181.75174000000001</v>
      </c>
      <c r="K91">
        <f t="shared" si="43"/>
        <v>187.20429220000003</v>
      </c>
      <c r="L91">
        <f t="shared" si="43"/>
        <v>192.82042096600003</v>
      </c>
      <c r="M91">
        <f t="shared" si="43"/>
        <v>198.60503359498003</v>
      </c>
      <c r="N91">
        <f t="shared" si="43"/>
        <v>204.56318460282944</v>
      </c>
      <c r="O91">
        <f t="shared" si="43"/>
        <v>210.70008014091434</v>
      </c>
      <c r="P91">
        <f t="shared" si="43"/>
        <v>217.02108254514178</v>
      </c>
      <c r="Q91">
        <f t="shared" si="43"/>
        <v>223.53171502149604</v>
      </c>
      <c r="R91">
        <f t="shared" si="43"/>
        <v>230.23766647214092</v>
      </c>
      <c r="S91">
        <f t="shared" si="43"/>
        <v>237.14479646630514</v>
      </c>
    </row>
    <row r="92" spans="2:19" x14ac:dyDescent="0.45">
      <c r="B92" s="14" t="s">
        <v>172</v>
      </c>
      <c r="E92" s="29"/>
      <c r="F92" s="4">
        <v>-108.667</v>
      </c>
      <c r="G92" s="4">
        <v>-108.89100000000001</v>
      </c>
      <c r="H92" s="4">
        <v>-144.35400000000001</v>
      </c>
      <c r="I92" s="4">
        <v>-143.96799999999999</v>
      </c>
      <c r="J92">
        <f t="shared" ref="J92:S92" si="44">+J96*J91*-1</f>
        <v>-136.313805</v>
      </c>
      <c r="K92">
        <f t="shared" si="44"/>
        <v>-140.40321915000001</v>
      </c>
      <c r="L92">
        <f t="shared" si="44"/>
        <v>-144.61531572450002</v>
      </c>
      <c r="M92">
        <f t="shared" si="44"/>
        <v>-148.95377519623503</v>
      </c>
      <c r="N92">
        <f t="shared" si="44"/>
        <v>-153.42238845212208</v>
      </c>
      <c r="O92">
        <f t="shared" si="44"/>
        <v>-158.02506010568575</v>
      </c>
      <c r="P92">
        <f t="shared" si="44"/>
        <v>-162.76581190885634</v>
      </c>
      <c r="Q92">
        <f t="shared" si="44"/>
        <v>-167.64878626612204</v>
      </c>
      <c r="R92">
        <f t="shared" si="44"/>
        <v>-172.67824985410567</v>
      </c>
      <c r="S92">
        <f t="shared" si="44"/>
        <v>-177.85859734972885</v>
      </c>
    </row>
    <row r="93" spans="2:19" s="7" customFormat="1" x14ac:dyDescent="0.45">
      <c r="B93" s="61" t="s">
        <v>173</v>
      </c>
      <c r="C93" s="43"/>
      <c r="D93" s="43"/>
      <c r="E93" s="62"/>
      <c r="F93" s="43">
        <f>SUM(F91:F92)</f>
        <v>40.957999999999998</v>
      </c>
      <c r="G93" s="43">
        <f>SUM(G91:G92)</f>
        <v>42.814000000000007</v>
      </c>
      <c r="H93" s="43">
        <f>SUM(H91:H92)</f>
        <v>49.462999999999994</v>
      </c>
      <c r="I93" s="43">
        <f>SUM(I91:I92)</f>
        <v>32.490000000000009</v>
      </c>
      <c r="J93" s="43">
        <f t="shared" ref="J93:S93" si="45">SUM(J91:J92)</f>
        <v>45.43793500000001</v>
      </c>
      <c r="K93" s="43">
        <f t="shared" si="45"/>
        <v>46.801073050000014</v>
      </c>
      <c r="L93" s="43">
        <f t="shared" si="45"/>
        <v>48.205105241500007</v>
      </c>
      <c r="M93" s="43">
        <f t="shared" si="45"/>
        <v>49.651258398745</v>
      </c>
      <c r="N93" s="43">
        <f t="shared" si="45"/>
        <v>51.140796150707359</v>
      </c>
      <c r="O93" s="43">
        <f t="shared" si="45"/>
        <v>52.675020035228584</v>
      </c>
      <c r="P93" s="43">
        <f t="shared" si="45"/>
        <v>54.255270636285445</v>
      </c>
      <c r="Q93" s="43">
        <f t="shared" si="45"/>
        <v>55.882928755373996</v>
      </c>
      <c r="R93" s="43">
        <f t="shared" si="45"/>
        <v>57.559416618035243</v>
      </c>
      <c r="S93" s="43">
        <f t="shared" si="45"/>
        <v>59.286199116576284</v>
      </c>
    </row>
    <row r="94" spans="2:19" s="7" customFormat="1" x14ac:dyDescent="0.45">
      <c r="B94" s="60"/>
      <c r="E94" s="34"/>
      <c r="J94" s="59"/>
      <c r="K94" s="59"/>
      <c r="L94" s="59"/>
      <c r="M94" s="59"/>
      <c r="N94" s="59"/>
      <c r="O94" s="59"/>
      <c r="P94" s="59"/>
      <c r="Q94" s="59"/>
      <c r="R94" s="59"/>
      <c r="S94" s="59"/>
    </row>
    <row r="95" spans="2:19" x14ac:dyDescent="0.45">
      <c r="B95" s="58" t="s">
        <v>174</v>
      </c>
      <c r="E95" s="29"/>
      <c r="G95" s="63">
        <f>+G91/F91-1</f>
        <v>1.3901420217209859E-2</v>
      </c>
      <c r="H95" s="63">
        <f>+H91/G91-1</f>
        <v>0.27759137800336164</v>
      </c>
      <c r="I95" s="63">
        <f>+I91/H91-1</f>
        <v>-8.9563866946655857E-2</v>
      </c>
      <c r="J95" s="23">
        <v>0.03</v>
      </c>
      <c r="K95" s="23">
        <v>0.03</v>
      </c>
      <c r="L95" s="23">
        <v>0.03</v>
      </c>
      <c r="M95" s="23">
        <v>0.03</v>
      </c>
      <c r="N95" s="23">
        <v>0.03</v>
      </c>
      <c r="O95" s="23">
        <v>0.03</v>
      </c>
      <c r="P95" s="23">
        <v>0.03</v>
      </c>
      <c r="Q95" s="23">
        <v>0.03</v>
      </c>
      <c r="R95" s="23">
        <v>0.03</v>
      </c>
      <c r="S95" s="23">
        <v>0.03</v>
      </c>
    </row>
    <row r="96" spans="2:19" x14ac:dyDescent="0.45">
      <c r="B96" s="58" t="s">
        <v>175</v>
      </c>
      <c r="E96" s="29"/>
      <c r="F96" s="29"/>
      <c r="G96" s="49">
        <f>+G92/G91*-1</f>
        <v>0.71778122013117562</v>
      </c>
      <c r="H96" s="49">
        <f>+H92/H91*-1</f>
        <v>0.7447953481892714</v>
      </c>
      <c r="I96" s="49">
        <f>+I92/I91*-1</f>
        <v>0.8158768658830996</v>
      </c>
      <c r="J96" s="23">
        <v>0.75</v>
      </c>
      <c r="K96" s="23">
        <v>0.75</v>
      </c>
      <c r="L96" s="23">
        <v>0.75</v>
      </c>
      <c r="M96" s="23">
        <v>0.75</v>
      </c>
      <c r="N96" s="23">
        <v>0.75</v>
      </c>
      <c r="O96" s="23">
        <v>0.75</v>
      </c>
      <c r="P96" s="23">
        <v>0.75</v>
      </c>
      <c r="Q96" s="23">
        <v>0.75</v>
      </c>
      <c r="R96" s="23">
        <v>0.75</v>
      </c>
      <c r="S96" s="23">
        <v>0.75</v>
      </c>
    </row>
    <row r="97" spans="1:19" x14ac:dyDescent="0.45">
      <c r="B97" s="58"/>
      <c r="E97" s="29"/>
      <c r="F97" s="29"/>
      <c r="G97" s="64"/>
      <c r="H97" s="64"/>
      <c r="I97" s="64"/>
      <c r="J97" s="65"/>
      <c r="K97" s="65"/>
      <c r="L97" s="65"/>
      <c r="M97" s="65"/>
      <c r="N97" s="65"/>
      <c r="O97" s="65"/>
      <c r="P97" s="65"/>
      <c r="Q97" s="65"/>
      <c r="R97" s="65"/>
      <c r="S97" s="65"/>
    </row>
    <row r="98" spans="1:19" x14ac:dyDescent="0.45">
      <c r="B98" s="58" t="s">
        <v>176</v>
      </c>
      <c r="E98" s="29"/>
      <c r="F98" s="29">
        <f>+'P&amp;L'!E35</f>
        <v>7.3120000000000003</v>
      </c>
      <c r="G98" s="29">
        <f>+'P&amp;L'!F35</f>
        <v>23.292000000000002</v>
      </c>
      <c r="H98" s="29">
        <f>+'P&amp;L'!G35</f>
        <v>27.175000000000001</v>
      </c>
      <c r="I98" s="29">
        <f>+'P&amp;L'!H35</f>
        <v>30.186</v>
      </c>
      <c r="J98" s="51">
        <f>+J99*J93</f>
        <v>26.89925752000001</v>
      </c>
      <c r="K98" s="51">
        <f t="shared" ref="K98:S98" si="46">+K99*K93</f>
        <v>27.706235245600013</v>
      </c>
      <c r="L98" s="51">
        <f t="shared" si="46"/>
        <v>28.537422302968007</v>
      </c>
      <c r="M98" s="51">
        <f t="shared" si="46"/>
        <v>29.393544972057043</v>
      </c>
      <c r="N98" s="51">
        <f t="shared" si="46"/>
        <v>30.275351321218761</v>
      </c>
      <c r="O98" s="51">
        <f t="shared" si="46"/>
        <v>31.183611860855326</v>
      </c>
      <c r="P98" s="51">
        <f t="shared" si="46"/>
        <v>32.11912021668099</v>
      </c>
      <c r="Q98" s="51">
        <f t="shared" si="46"/>
        <v>33.082693823181408</v>
      </c>
      <c r="R98" s="51">
        <f t="shared" si="46"/>
        <v>34.07517463787687</v>
      </c>
      <c r="S98" s="51">
        <f t="shared" si="46"/>
        <v>35.097429877013163</v>
      </c>
    </row>
    <row r="99" spans="1:19" x14ac:dyDescent="0.45">
      <c r="B99" s="58" t="s">
        <v>177</v>
      </c>
      <c r="E99" s="29"/>
      <c r="F99" s="47">
        <f>+F98/F93</f>
        <v>0.17852434200888717</v>
      </c>
      <c r="G99" s="47">
        <f>+G98/G93</f>
        <v>0.54402765450553547</v>
      </c>
      <c r="H99" s="47">
        <f>+H98/H93</f>
        <v>0.54940056203626964</v>
      </c>
      <c r="I99" s="47">
        <f>+I98/I93</f>
        <v>0.92908587257617703</v>
      </c>
      <c r="J99" s="23">
        <f>+J88+J89</f>
        <v>0.59200000000000008</v>
      </c>
      <c r="K99" s="23">
        <f t="shared" ref="K99:S99" si="47">+K88+K89</f>
        <v>0.59200000000000008</v>
      </c>
      <c r="L99" s="23">
        <f t="shared" si="47"/>
        <v>0.59200000000000008</v>
      </c>
      <c r="M99" s="23">
        <f t="shared" si="47"/>
        <v>0.59200000000000008</v>
      </c>
      <c r="N99" s="23">
        <f t="shared" si="47"/>
        <v>0.59200000000000008</v>
      </c>
      <c r="O99" s="23">
        <f t="shared" si="47"/>
        <v>0.59200000000000008</v>
      </c>
      <c r="P99" s="23">
        <f t="shared" si="47"/>
        <v>0.59200000000000008</v>
      </c>
      <c r="Q99" s="23">
        <f t="shared" si="47"/>
        <v>0.59200000000000008</v>
      </c>
      <c r="R99" s="23">
        <f t="shared" si="47"/>
        <v>0.59200000000000008</v>
      </c>
      <c r="S99" s="23">
        <f t="shared" si="47"/>
        <v>0.59200000000000008</v>
      </c>
    </row>
    <row r="100" spans="1:19" x14ac:dyDescent="0.45">
      <c r="B100" s="58"/>
      <c r="E100" s="29"/>
      <c r="F100" s="47"/>
      <c r="G100" s="71"/>
      <c r="H100" s="71"/>
      <c r="I100" s="71"/>
      <c r="J100" s="65"/>
      <c r="K100" s="65"/>
      <c r="L100" s="65"/>
      <c r="M100" s="65"/>
      <c r="N100" s="65"/>
      <c r="O100" s="65"/>
      <c r="P100" s="65"/>
      <c r="Q100" s="65"/>
      <c r="R100" s="65"/>
      <c r="S100" s="65"/>
    </row>
    <row r="101" spans="1:19" x14ac:dyDescent="0.45">
      <c r="B101" s="58" t="s">
        <v>218</v>
      </c>
      <c r="E101" s="29"/>
      <c r="F101" s="47"/>
      <c r="G101" s="47">
        <f>+G82/F82-1</f>
        <v>0.25520501181678368</v>
      </c>
      <c r="H101" s="47">
        <f>+H82/G82-1</f>
        <v>-5.9862522414823705E-2</v>
      </c>
      <c r="I101" s="47">
        <f>+I82/H82-1</f>
        <v>6.8410846552436677E-2</v>
      </c>
      <c r="J101" s="23">
        <v>0.02</v>
      </c>
      <c r="K101" s="23">
        <v>0.02</v>
      </c>
      <c r="L101" s="23">
        <v>0.02</v>
      </c>
      <c r="M101" s="23">
        <v>0.02</v>
      </c>
      <c r="N101" s="23">
        <v>0.02</v>
      </c>
      <c r="O101" s="23">
        <v>0.02</v>
      </c>
      <c r="P101" s="23">
        <v>0.02</v>
      </c>
      <c r="Q101" s="23">
        <v>0.02</v>
      </c>
      <c r="R101" s="23">
        <v>0.02</v>
      </c>
      <c r="S101" s="23">
        <v>0.02</v>
      </c>
    </row>
    <row r="103" spans="1:19" x14ac:dyDescent="0.45">
      <c r="A103" t="s">
        <v>36</v>
      </c>
      <c r="B103" s="20" t="s">
        <v>160</v>
      </c>
    </row>
    <row r="104" spans="1:19" x14ac:dyDescent="0.45">
      <c r="B104" t="s">
        <v>161</v>
      </c>
      <c r="E104" s="29">
        <f>+'P&amp;L'!E20</f>
        <v>-86.2</v>
      </c>
      <c r="F104" s="29">
        <f>+'P&amp;L'!F20</f>
        <v>-81.120999999999995</v>
      </c>
      <c r="G104" s="29">
        <f>+'P&amp;L'!G20</f>
        <v>-83.097999999999999</v>
      </c>
      <c r="H104" s="29">
        <f>+'P&amp;L'!H20</f>
        <v>-80.539000000000001</v>
      </c>
      <c r="I104" s="29">
        <f>+'P&amp;L'!I20</f>
        <v>-104.129</v>
      </c>
      <c r="J104">
        <f t="shared" ref="J104:S104" si="48">+J105*J10*-1</f>
        <v>-101.23056865749827</v>
      </c>
      <c r="K104">
        <f t="shared" si="48"/>
        <v>-112.18067842651438</v>
      </c>
      <c r="L104">
        <f t="shared" si="48"/>
        <v>-125.62792031031327</v>
      </c>
      <c r="M104">
        <f t="shared" si="48"/>
        <v>-135.91146797157489</v>
      </c>
      <c r="N104">
        <f t="shared" si="48"/>
        <v>-144.49815106615071</v>
      </c>
      <c r="O104">
        <f t="shared" si="48"/>
        <v>-152.06887147782606</v>
      </c>
      <c r="P104">
        <f t="shared" si="48"/>
        <v>-159.57362386949688</v>
      </c>
      <c r="Q104">
        <f t="shared" si="48"/>
        <v>-167.31877261235823</v>
      </c>
      <c r="R104">
        <f t="shared" si="48"/>
        <v>-175.35022835202915</v>
      </c>
      <c r="S104">
        <f t="shared" si="48"/>
        <v>-184.09245537799026</v>
      </c>
    </row>
    <row r="105" spans="1:19" x14ac:dyDescent="0.45">
      <c r="B105" t="s">
        <v>162</v>
      </c>
      <c r="E105" s="6">
        <f>+E104/E10*-1</f>
        <v>0.19842731391108981</v>
      </c>
      <c r="F105" s="6">
        <f>+F104/F10*-1</f>
        <v>0.18444974988631194</v>
      </c>
      <c r="G105" s="6">
        <f>+G104/G10*-1</f>
        <v>0.19523346349210827</v>
      </c>
      <c r="H105" s="6">
        <f>+H104/H10*-1</f>
        <v>0.17797336774695383</v>
      </c>
      <c r="I105" s="6">
        <f>+I104/I10*-1</f>
        <v>0.20529234675872352</v>
      </c>
      <c r="J105" s="23">
        <f>+AVERAGE(E105:I105)</f>
        <v>0.19227524835903748</v>
      </c>
      <c r="K105" s="23">
        <f>+J105</f>
        <v>0.19227524835903748</v>
      </c>
      <c r="L105" s="23">
        <f t="shared" ref="L105:S105" si="49">+K105</f>
        <v>0.19227524835903748</v>
      </c>
      <c r="M105" s="23">
        <f t="shared" si="49"/>
        <v>0.19227524835903748</v>
      </c>
      <c r="N105" s="23">
        <f t="shared" si="49"/>
        <v>0.19227524835903748</v>
      </c>
      <c r="O105" s="23">
        <f t="shared" si="49"/>
        <v>0.19227524835903748</v>
      </c>
      <c r="P105" s="23">
        <f t="shared" si="49"/>
        <v>0.19227524835903748</v>
      </c>
      <c r="Q105" s="23">
        <f t="shared" si="49"/>
        <v>0.19227524835903748</v>
      </c>
      <c r="R105" s="23">
        <f t="shared" si="49"/>
        <v>0.19227524835903748</v>
      </c>
      <c r="S105" s="23">
        <f t="shared" si="49"/>
        <v>0.19227524835903748</v>
      </c>
    </row>
    <row r="107" spans="1:19" x14ac:dyDescent="0.45">
      <c r="B107" t="s">
        <v>164</v>
      </c>
      <c r="E107" s="29">
        <f>+'P&amp;L'!E30</f>
        <v>-2.1659999999999999</v>
      </c>
      <c r="F107" s="29">
        <f>+'P&amp;L'!F30</f>
        <v>1.77</v>
      </c>
      <c r="G107" s="29">
        <f>+'P&amp;L'!G30</f>
        <v>-0.48899999999999999</v>
      </c>
      <c r="H107" s="29">
        <f>+'P&amp;L'!H30</f>
        <v>-3.0489999999999999</v>
      </c>
      <c r="I107" s="29">
        <f>+'P&amp;L'!I30</f>
        <v>-0.34699999999999998</v>
      </c>
      <c r="J107">
        <f t="shared" ref="J107:S107" ca="1" si="50">+(J109*J12-J108)*-1</f>
        <v>-6.9924235632807363</v>
      </c>
      <c r="K107">
        <f t="shared" ca="1" si="50"/>
        <v>-14.225671824480411</v>
      </c>
      <c r="L107">
        <f t="shared" ca="1" si="50"/>
        <v>-17.976574773962103</v>
      </c>
      <c r="M107">
        <f t="shared" ca="1" si="50"/>
        <v>-21.171272890084403</v>
      </c>
      <c r="N107">
        <f t="shared" ca="1" si="50"/>
        <v>-23.358528135532818</v>
      </c>
      <c r="O107">
        <f t="shared" ca="1" si="50"/>
        <v>-25.403430444955688</v>
      </c>
      <c r="P107">
        <f t="shared" ca="1" si="50"/>
        <v>-27.536698273435903</v>
      </c>
      <c r="Q107">
        <f t="shared" ca="1" si="50"/>
        <v>-29.834295899749929</v>
      </c>
      <c r="R107">
        <f t="shared" ca="1" si="50"/>
        <v>-31.936262641706783</v>
      </c>
      <c r="S107">
        <f t="shared" ca="1" si="50"/>
        <v>-34.379052163183296</v>
      </c>
    </row>
    <row r="108" spans="1:19" x14ac:dyDescent="0.45">
      <c r="B108" t="s">
        <v>165</v>
      </c>
      <c r="E108" s="29">
        <f>+'P&amp;L'!E31</f>
        <v>0.67500000000000004</v>
      </c>
      <c r="F108" s="29">
        <f>+'P&amp;L'!F31</f>
        <v>1.9359999999999999</v>
      </c>
      <c r="G108" s="29">
        <f>+'P&amp;L'!G31</f>
        <v>-1.2170000000000001</v>
      </c>
      <c r="H108" s="29">
        <f>+'P&amp;L'!H31</f>
        <v>6.3470000000000004</v>
      </c>
      <c r="I108" s="29">
        <f>+'P&amp;L'!I31</f>
        <v>1.9039999999999999</v>
      </c>
      <c r="J108" s="46">
        <v>0</v>
      </c>
      <c r="K108" s="46">
        <v>0</v>
      </c>
      <c r="L108" s="46">
        <v>0</v>
      </c>
      <c r="M108" s="46">
        <v>0</v>
      </c>
      <c r="N108" s="46">
        <v>0</v>
      </c>
      <c r="O108" s="46">
        <v>0</v>
      </c>
      <c r="P108" s="46">
        <v>0</v>
      </c>
      <c r="Q108" s="46">
        <v>0</v>
      </c>
      <c r="R108" s="46">
        <v>0</v>
      </c>
      <c r="S108" s="46">
        <v>0</v>
      </c>
    </row>
    <row r="109" spans="1:19" x14ac:dyDescent="0.45">
      <c r="B109" t="s">
        <v>163</v>
      </c>
      <c r="E109" s="6">
        <f>+SUM(E107:E108)/E12*-1</f>
        <v>-0.28362183754993314</v>
      </c>
      <c r="F109" s="6">
        <f>+SUM(F107:F108)/F12*-1</f>
        <v>4.5245885627777531E-2</v>
      </c>
      <c r="G109" s="6">
        <f>+SUM(G107:G108)/G12*-1</f>
        <v>-8.2381630731342189E-3</v>
      </c>
      <c r="H109" s="6">
        <f>+SUM(H107:H108)/H12*-1</f>
        <v>-0.1664731714703952</v>
      </c>
      <c r="I109" s="6">
        <f>+SUM(I107:I108)/I12*-1</f>
        <v>-5.1547756993875066E-2</v>
      </c>
      <c r="J109" s="23">
        <v>0.28999999999999998</v>
      </c>
      <c r="K109" s="23">
        <v>0.28999999999999998</v>
      </c>
      <c r="L109" s="23">
        <v>0.28999999999999998</v>
      </c>
      <c r="M109" s="23">
        <v>0.28999999999999998</v>
      </c>
      <c r="N109" s="23">
        <v>0.28999999999999998</v>
      </c>
      <c r="O109" s="23">
        <v>0.28999999999999998</v>
      </c>
      <c r="P109" s="23">
        <v>0.28999999999999998</v>
      </c>
      <c r="Q109" s="23">
        <v>0.28999999999999998</v>
      </c>
      <c r="R109" s="23">
        <v>0.28999999999999998</v>
      </c>
      <c r="S109" s="23">
        <v>0.28999999999999998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36F9-462C-4B67-B32C-29EED9FA0340}">
  <sheetPr>
    <tabColor theme="6" tint="0.79998168889431442"/>
  </sheetPr>
  <dimension ref="A1:S71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30" sqref="J30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6" spans="1:19" x14ac:dyDescent="0.45">
      <c r="A6" t="s">
        <v>36</v>
      </c>
      <c r="B6" s="20" t="s">
        <v>179</v>
      </c>
    </row>
    <row r="7" spans="1:19" x14ac:dyDescent="0.45">
      <c r="B7" t="s">
        <v>198</v>
      </c>
      <c r="E7" s="29">
        <f>+'BS &amp; CFS'!E21</f>
        <v>16.350000000000001</v>
      </c>
      <c r="F7" s="29">
        <f>+'BS &amp; CFS'!F21</f>
        <v>0</v>
      </c>
      <c r="G7" s="29">
        <f>+'BS &amp; CFS'!G21</f>
        <v>10</v>
      </c>
      <c r="H7" s="29">
        <f>+'BS &amp; CFS'!H21</f>
        <v>0</v>
      </c>
      <c r="I7" s="29">
        <f>+'BS &amp; CFS'!I21</f>
        <v>9.0869999999999997</v>
      </c>
      <c r="J7">
        <f ca="1">+J40</f>
        <v>40.509</v>
      </c>
      <c r="K7">
        <f t="shared" ref="K7:S7" ca="1" si="1">+K40</f>
        <v>40.509</v>
      </c>
      <c r="L7">
        <f t="shared" ca="1" si="1"/>
        <v>40.509</v>
      </c>
      <c r="M7">
        <f t="shared" ca="1" si="1"/>
        <v>40.509</v>
      </c>
      <c r="N7">
        <f t="shared" ca="1" si="1"/>
        <v>40.509</v>
      </c>
      <c r="O7">
        <f t="shared" ca="1" si="1"/>
        <v>40.509</v>
      </c>
      <c r="P7">
        <f t="shared" ca="1" si="1"/>
        <v>40.509</v>
      </c>
      <c r="Q7">
        <f t="shared" ca="1" si="1"/>
        <v>40.509</v>
      </c>
      <c r="R7">
        <f t="shared" ca="1" si="1"/>
        <v>39.854767249399984</v>
      </c>
      <c r="S7">
        <f t="shared" ca="1" si="1"/>
        <v>34.27008227947568</v>
      </c>
    </row>
    <row r="8" spans="1:19" x14ac:dyDescent="0.45">
      <c r="B8" t="s">
        <v>77</v>
      </c>
      <c r="E8" s="29">
        <f>+'BS &amp; CFS'!E24</f>
        <v>93.683000000000007</v>
      </c>
      <c r="F8" s="29">
        <f>+'BS &amp; CFS'!F24</f>
        <v>92.447999999999993</v>
      </c>
      <c r="G8" s="29">
        <f>+'BS &amp; CFS'!G24</f>
        <v>66.688000000000002</v>
      </c>
      <c r="H8" s="29">
        <f>+'BS &amp; CFS'!H24</f>
        <v>65.403000000000006</v>
      </c>
      <c r="I8" s="29">
        <f>+'BS &amp; CFS'!I24</f>
        <v>84.234999999999999</v>
      </c>
      <c r="J8">
        <f ca="1">+J46</f>
        <v>85.268709630557552</v>
      </c>
      <c r="K8">
        <f t="shared" ref="K8:S8" ca="1" si="2">+K46</f>
        <v>90</v>
      </c>
      <c r="L8">
        <f t="shared" ca="1" si="2"/>
        <v>90</v>
      </c>
      <c r="M8">
        <f t="shared" ca="1" si="2"/>
        <v>90</v>
      </c>
      <c r="N8">
        <f t="shared" ca="1" si="2"/>
        <v>90</v>
      </c>
      <c r="O8">
        <f t="shared" ca="1" si="2"/>
        <v>90</v>
      </c>
      <c r="P8">
        <f t="shared" ca="1" si="2"/>
        <v>90</v>
      </c>
      <c r="Q8">
        <f t="shared" ca="1" si="2"/>
        <v>90</v>
      </c>
      <c r="R8">
        <f t="shared" ca="1" si="2"/>
        <v>90</v>
      </c>
      <c r="S8">
        <f t="shared" ca="1" si="2"/>
        <v>90</v>
      </c>
    </row>
    <row r="9" spans="1:19" x14ac:dyDescent="0.45">
      <c r="B9" t="s">
        <v>76</v>
      </c>
      <c r="E9" s="29">
        <f>+'BS &amp; CFS'!E25</f>
        <v>0</v>
      </c>
      <c r="F9" s="29">
        <f>+'BS &amp; CFS'!F25</f>
        <v>0</v>
      </c>
      <c r="G9" s="29">
        <f>+'BS &amp; CFS'!G25</f>
        <v>9.2739999999999991</v>
      </c>
      <c r="H9" s="29">
        <f>+'BS &amp; CFS'!H25</f>
        <v>9.4280000000000008</v>
      </c>
      <c r="I9" s="29">
        <f>+'BS &amp; CFS'!I25</f>
        <v>10.183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</row>
    <row r="10" spans="1:19" x14ac:dyDescent="0.45">
      <c r="B10" t="s">
        <v>75</v>
      </c>
      <c r="E10" s="29">
        <f>+'BS &amp; CFS'!E26</f>
        <v>10.523999999999999</v>
      </c>
      <c r="F10" s="29">
        <f>+'BS &amp; CFS'!F26</f>
        <v>11.007</v>
      </c>
      <c r="G10" s="29">
        <f>+'BS &amp; CFS'!G26</f>
        <v>0</v>
      </c>
      <c r="H10" s="29">
        <f>+'BS &amp; CFS'!H26</f>
        <v>3.532</v>
      </c>
      <c r="I10" s="29">
        <f>+'BS &amp; CFS'!I26</f>
        <v>26.335000000000001</v>
      </c>
      <c r="J10">
        <f>+J52</f>
        <v>0</v>
      </c>
      <c r="K10">
        <f t="shared" ref="K10:S10" si="3">+K52</f>
        <v>0</v>
      </c>
      <c r="L10">
        <f t="shared" si="3"/>
        <v>0</v>
      </c>
      <c r="M10">
        <f t="shared" si="3"/>
        <v>0</v>
      </c>
      <c r="N10">
        <f t="shared" si="3"/>
        <v>0</v>
      </c>
      <c r="O10">
        <f t="shared" si="3"/>
        <v>0</v>
      </c>
      <c r="P10">
        <f t="shared" si="3"/>
        <v>0</v>
      </c>
      <c r="Q10">
        <f t="shared" si="3"/>
        <v>0</v>
      </c>
      <c r="R10">
        <f t="shared" si="3"/>
        <v>0</v>
      </c>
      <c r="S10">
        <f t="shared" si="3"/>
        <v>0</v>
      </c>
    </row>
    <row r="12" spans="1:19" x14ac:dyDescent="0.45">
      <c r="A12" t="s">
        <v>36</v>
      </c>
      <c r="B12" s="20" t="s">
        <v>180</v>
      </c>
    </row>
    <row r="13" spans="1:19" x14ac:dyDescent="0.45">
      <c r="B13" t="s">
        <v>81</v>
      </c>
      <c r="E13" s="29">
        <f>+'BS &amp; CFS'!E29</f>
        <v>746.04600000000005</v>
      </c>
      <c r="F13" s="29">
        <f>+'BS &amp; CFS'!F29</f>
        <v>523.06100000000004</v>
      </c>
      <c r="G13" s="29">
        <f>+'BS &amp; CFS'!G29</f>
        <v>502.00599999999997</v>
      </c>
      <c r="H13" s="29">
        <f>+'BS &amp; CFS'!H29</f>
        <v>478.86200000000002</v>
      </c>
      <c r="I13" s="29">
        <f>+'BS &amp; CFS'!I29</f>
        <v>477.80399999999997</v>
      </c>
      <c r="J13">
        <f ca="1">+J57</f>
        <v>477.80399999999997</v>
      </c>
      <c r="K13">
        <f t="shared" ref="K13:S13" ca="1" si="4">+K57</f>
        <v>504.93736841585149</v>
      </c>
      <c r="L13">
        <f t="shared" ca="1" si="4"/>
        <v>534.94309982550374</v>
      </c>
      <c r="M13">
        <f t="shared" ca="1" si="4"/>
        <v>557.81034528582074</v>
      </c>
      <c r="N13">
        <f t="shared" ca="1" si="4"/>
        <v>574.10169300327129</v>
      </c>
      <c r="O13">
        <f t="shared" ca="1" si="4"/>
        <v>585.59967084199127</v>
      </c>
      <c r="P13">
        <f t="shared" ca="1" si="4"/>
        <v>593.27101014051459</v>
      </c>
      <c r="Q13">
        <f t="shared" ca="1" si="4"/>
        <v>597.12071949977633</v>
      </c>
      <c r="R13">
        <f t="shared" ca="1" si="4"/>
        <v>597.12071956812167</v>
      </c>
      <c r="S13">
        <f t="shared" ca="1" si="4"/>
        <v>597.12071934249116</v>
      </c>
    </row>
    <row r="14" spans="1:19" x14ac:dyDescent="0.45">
      <c r="B14" t="s">
        <v>82</v>
      </c>
      <c r="E14" s="29">
        <f>+'BS &amp; CFS'!E30</f>
        <v>0</v>
      </c>
      <c r="F14" s="29">
        <f>+'BS &amp; CFS'!F30</f>
        <v>0</v>
      </c>
      <c r="G14" s="29">
        <f>+'BS &amp; CFS'!G30</f>
        <v>41.552</v>
      </c>
      <c r="H14" s="29">
        <f>+'BS &amp; CFS'!H30</f>
        <v>34.406999999999996</v>
      </c>
      <c r="I14" s="29">
        <f>+'BS &amp; CFS'!I30</f>
        <v>26.056000000000001</v>
      </c>
      <c r="J14">
        <f t="shared" ref="J14:S14" si="5">+J64-J9</f>
        <v>36.239000000000004</v>
      </c>
      <c r="K14">
        <f t="shared" si="5"/>
        <v>36.239000000000004</v>
      </c>
      <c r="L14">
        <f t="shared" si="5"/>
        <v>36.239000000000004</v>
      </c>
      <c r="M14">
        <f t="shared" si="5"/>
        <v>36.239000000000004</v>
      </c>
      <c r="N14">
        <f t="shared" si="5"/>
        <v>36.239000000000004</v>
      </c>
      <c r="O14">
        <f t="shared" si="5"/>
        <v>36.239000000000004</v>
      </c>
      <c r="P14">
        <f t="shared" si="5"/>
        <v>36.239000000000004</v>
      </c>
      <c r="Q14">
        <f t="shared" si="5"/>
        <v>36.239000000000004</v>
      </c>
      <c r="R14">
        <f t="shared" si="5"/>
        <v>36.239000000000004</v>
      </c>
      <c r="S14">
        <f t="shared" si="5"/>
        <v>36.239000000000004</v>
      </c>
    </row>
    <row r="15" spans="1:19" x14ac:dyDescent="0.45">
      <c r="I15" s="6"/>
    </row>
    <row r="16" spans="1:19" x14ac:dyDescent="0.45">
      <c r="A16" t="s">
        <v>36</v>
      </c>
      <c r="B16" s="7" t="s">
        <v>216</v>
      </c>
    </row>
    <row r="17" spans="1:19" x14ac:dyDescent="0.45">
      <c r="B17" t="s">
        <v>229</v>
      </c>
      <c r="J17" s="23">
        <v>3.6999999999999998E-2</v>
      </c>
      <c r="K17" s="23">
        <v>3.6999999999999998E-2</v>
      </c>
      <c r="L17" s="23">
        <v>3.6999999999999998E-2</v>
      </c>
      <c r="M17" s="23">
        <v>3.6999999999999998E-2</v>
      </c>
      <c r="N17" s="23">
        <v>3.6999999999999998E-2</v>
      </c>
      <c r="O17" s="23">
        <v>3.6999999999999998E-2</v>
      </c>
      <c r="P17" s="23">
        <v>3.6999999999999998E-2</v>
      </c>
      <c r="Q17" s="23">
        <v>3.6999999999999998E-2</v>
      </c>
      <c r="R17" s="23">
        <v>3.6999999999999998E-2</v>
      </c>
      <c r="S17" s="23">
        <v>3.6999999999999998E-2</v>
      </c>
    </row>
    <row r="18" spans="1:19" x14ac:dyDescent="0.45">
      <c r="B18" t="s">
        <v>236</v>
      </c>
      <c r="J18" s="23">
        <v>5.7500000000000002E-2</v>
      </c>
      <c r="K18" s="23">
        <v>5.7500000000000002E-2</v>
      </c>
      <c r="L18" s="23">
        <v>5.7500000000000002E-2</v>
      </c>
      <c r="M18" s="23">
        <v>5.7500000000000002E-2</v>
      </c>
      <c r="N18" s="23">
        <v>5.7500000000000002E-2</v>
      </c>
      <c r="O18" s="23">
        <v>5.7500000000000002E-2</v>
      </c>
      <c r="P18" s="23">
        <v>5.7500000000000002E-2</v>
      </c>
      <c r="Q18" s="23">
        <v>5.7500000000000002E-2</v>
      </c>
      <c r="R18" s="23">
        <v>5.7500000000000002E-2</v>
      </c>
      <c r="S18" s="23">
        <v>5.7500000000000002E-2</v>
      </c>
    </row>
    <row r="19" spans="1:19" x14ac:dyDescent="0.45">
      <c r="B19" t="s">
        <v>239</v>
      </c>
      <c r="J19" s="23">
        <v>5.6000000000000001E-2</v>
      </c>
      <c r="K19" s="23">
        <v>5.6000000000000001E-2</v>
      </c>
      <c r="L19" s="23">
        <v>5.6000000000000001E-2</v>
      </c>
      <c r="M19" s="23">
        <v>5.6000000000000001E-2</v>
      </c>
      <c r="N19" s="23">
        <v>5.6000000000000001E-2</v>
      </c>
      <c r="O19" s="23">
        <v>5.6000000000000001E-2</v>
      </c>
      <c r="P19" s="23">
        <v>5.6000000000000001E-2</v>
      </c>
      <c r="Q19" s="23">
        <v>5.6000000000000001E-2</v>
      </c>
      <c r="R19" s="23">
        <v>5.6000000000000001E-2</v>
      </c>
      <c r="S19" s="23">
        <v>5.6000000000000001E-2</v>
      </c>
    </row>
    <row r="20" spans="1:19" x14ac:dyDescent="0.45">
      <c r="B20" t="s">
        <v>252</v>
      </c>
      <c r="J20" s="23">
        <v>5.8999999999999997E-2</v>
      </c>
      <c r="K20" s="23">
        <v>5.8999999999999997E-2</v>
      </c>
      <c r="L20" s="23">
        <v>5.8999999999999997E-2</v>
      </c>
      <c r="M20" s="23">
        <v>5.8999999999999997E-2</v>
      </c>
      <c r="N20" s="23">
        <v>5.8999999999999997E-2</v>
      </c>
      <c r="O20" s="23">
        <v>5.8999999999999997E-2</v>
      </c>
      <c r="P20" s="23">
        <v>5.8999999999999997E-2</v>
      </c>
      <c r="Q20" s="23">
        <v>5.8999999999999997E-2</v>
      </c>
      <c r="R20" s="23">
        <v>5.8999999999999997E-2</v>
      </c>
      <c r="S20" s="23">
        <v>5.8999999999999997E-2</v>
      </c>
    </row>
    <row r="22" spans="1:19" x14ac:dyDescent="0.45">
      <c r="B22" t="s">
        <v>251</v>
      </c>
      <c r="J22">
        <f ca="1">+J41+J47+J53+J58+J65+J71</f>
        <v>-33.667631151878524</v>
      </c>
      <c r="K22">
        <f t="shared" ref="K22:S22" ca="1" si="6">+K41+K47+K53+K58+K65+K71</f>
        <v>-34.897667717522367</v>
      </c>
      <c r="L22">
        <f t="shared" ca="1" si="6"/>
        <v>-36.633587110757944</v>
      </c>
      <c r="M22">
        <f t="shared" ca="1" si="6"/>
        <v>-38.114030463117082</v>
      </c>
      <c r="N22">
        <f t="shared" ca="1" si="6"/>
        <v>-39.21047107209457</v>
      </c>
      <c r="O22">
        <f t="shared" ca="1" si="6"/>
        <v>-39.988572187667351</v>
      </c>
      <c r="P22">
        <f t="shared" ca="1" si="6"/>
        <v>-40.525313067510162</v>
      </c>
      <c r="Q22">
        <f t="shared" ca="1" si="6"/>
        <v>-40.847902429928148</v>
      </c>
      <c r="R22">
        <f t="shared" ca="1" si="6"/>
        <v>-40.943590988015046</v>
      </c>
      <c r="S22">
        <f t="shared" ca="1" si="6"/>
        <v>-40.828171005781357</v>
      </c>
    </row>
    <row r="24" spans="1:19" x14ac:dyDescent="0.45">
      <c r="A24" t="s">
        <v>36</v>
      </c>
      <c r="B24" s="20" t="s">
        <v>254</v>
      </c>
    </row>
    <row r="25" spans="1:19" x14ac:dyDescent="0.45">
      <c r="B25" t="s">
        <v>138</v>
      </c>
      <c r="J25" s="29">
        <f ca="1">+'BS &amp; CFS'!J65</f>
        <v>65.885929421320967</v>
      </c>
      <c r="K25" s="29">
        <f ca="1">+'BS &amp; CFS'!K65</f>
        <v>70.088900265128359</v>
      </c>
      <c r="L25" s="29">
        <f ca="1">+'BS &amp; CFS'!L65</f>
        <v>78.229643232288765</v>
      </c>
      <c r="M25" s="29">
        <f ca="1">+'BS &amp; CFS'!M65</f>
        <v>90.503486230022759</v>
      </c>
      <c r="N25" s="29">
        <f ca="1">+'BS &amp; CFS'!N65</f>
        <v>101.35961957916189</v>
      </c>
      <c r="O25" s="29">
        <f ca="1">+'BS &amp; CFS'!O65</f>
        <v>109.8388229986918</v>
      </c>
      <c r="P25" s="29">
        <f ca="1">+'BS &amp; CFS'!P65</f>
        <v>117.10590763181301</v>
      </c>
      <c r="Q25" s="29">
        <f ca="1">+'BS &amp; CFS'!Q65</f>
        <v>124.23773675372503</v>
      </c>
      <c r="R25" s="29">
        <f ca="1">+'BS &amp; CFS'!R65</f>
        <v>131.92231740363951</v>
      </c>
      <c r="S25" s="29">
        <f ca="1">+'BS &amp; CFS'!S65</f>
        <v>140.04136552239456</v>
      </c>
    </row>
    <row r="26" spans="1:19" x14ac:dyDescent="0.45">
      <c r="B26" t="s">
        <v>221</v>
      </c>
      <c r="J26" s="29">
        <f ca="1">+'P&amp;L'!J22</f>
        <v>-33.667631151878524</v>
      </c>
      <c r="K26" s="29">
        <f ca="1">+'P&amp;L'!K22</f>
        <v>-34.897667717522374</v>
      </c>
      <c r="L26" s="29">
        <f ca="1">+'P&amp;L'!L22</f>
        <v>-36.633587110757887</v>
      </c>
      <c r="M26" s="29">
        <f ca="1">+'P&amp;L'!M22</f>
        <v>-38.11403046311775</v>
      </c>
      <c r="N26" s="29">
        <f ca="1">+'P&amp;L'!N22</f>
        <v>-39.210471072088588</v>
      </c>
      <c r="O26" s="29">
        <f ca="1">+'P&amp;L'!O22</f>
        <v>-39.988572187712492</v>
      </c>
      <c r="P26" s="29">
        <f ca="1">+'P&amp;L'!P22</f>
        <v>-40.525313067221461</v>
      </c>
      <c r="Q26" s="29">
        <f ca="1">+'P&amp;L'!Q22</f>
        <v>-40.847902431501254</v>
      </c>
      <c r="R26" s="29">
        <f ca="1">+'P&amp;L'!R22</f>
        <v>-40.943590981520437</v>
      </c>
      <c r="S26" s="29">
        <f ca="1">+'P&amp;L'!S22</f>
        <v>-40.828171030632731</v>
      </c>
    </row>
    <row r="27" spans="1:19" x14ac:dyDescent="0.45">
      <c r="B27" t="s">
        <v>222</v>
      </c>
      <c r="J27" s="29">
        <f>+'BS &amp; CFS'!J67+'BS &amp; CFS'!J68+'BS &amp; CFS'!J69</f>
        <v>-26.643827899999998</v>
      </c>
      <c r="K27" s="29">
        <f>+'BS &amp; CFS'!K67+'BS &amp; CFS'!K68+'BS &amp; CFS'!K69</f>
        <v>-29.776087732900002</v>
      </c>
      <c r="L27" s="29">
        <f>+'BS &amp; CFS'!L67+'BS &amp; CFS'!L68+'BS &amp; CFS'!L69</f>
        <v>-33.622647859182507</v>
      </c>
      <c r="M27" s="29">
        <f>+'BS &amp; CFS'!M67+'BS &amp; CFS'!M68+'BS &amp; CFS'!M69</f>
        <v>-36.564238761789213</v>
      </c>
      <c r="N27" s="29">
        <f>+'BS &amp; CFS'!N67+'BS &amp; CFS'!N68+'BS &amp; CFS'!N69</f>
        <v>-39.020444509706387</v>
      </c>
      <c r="O27" s="29">
        <f>+'BS &amp; CFS'!O67+'BS &amp; CFS'!O68+'BS &amp; CFS'!O69</f>
        <v>-41.186035901192277</v>
      </c>
      <c r="P27" s="29">
        <f>+'BS &amp; CFS'!P67+'BS &amp; CFS'!P68+'BS &amp; CFS'!P69</f>
        <v>-43.332757255420574</v>
      </c>
      <c r="Q27" s="29">
        <f>+'BS &amp; CFS'!Q67+'BS &amp; CFS'!Q68+'BS &amp; CFS'!Q69</f>
        <v>-45.548243567324498</v>
      </c>
      <c r="R27" s="29">
        <f>+'BS &amp; CFS'!R67+'BS &amp; CFS'!R68+'BS &amp; CFS'!R69</f>
        <v>-47.845627497142928</v>
      </c>
      <c r="S27" s="29">
        <f>+'BS &amp; CFS'!S67+'BS &amp; CFS'!S68+'BS &amp; CFS'!S69</f>
        <v>-50.346326315796986</v>
      </c>
    </row>
    <row r="28" spans="1:19" x14ac:dyDescent="0.45">
      <c r="B28" t="s">
        <v>227</v>
      </c>
      <c r="J28" s="29">
        <f>+'FS Calcs'!J82</f>
        <v>-34.281179999999999</v>
      </c>
      <c r="K28" s="29">
        <f>+'FS Calcs'!K82</f>
        <v>-34.966803599999999</v>
      </c>
      <c r="L28" s="29">
        <f>+'FS Calcs'!L82</f>
        <v>-35.666139672</v>
      </c>
      <c r="M28" s="29">
        <f>+'FS Calcs'!M82</f>
        <v>-36.37946246544</v>
      </c>
      <c r="N28" s="29">
        <f>+'FS Calcs'!N82</f>
        <v>-37.107051714748799</v>
      </c>
      <c r="O28" s="29">
        <f>+'FS Calcs'!O82</f>
        <v>-37.849192749043773</v>
      </c>
      <c r="P28" s="29">
        <f>+'FS Calcs'!P82</f>
        <v>-38.606176604024647</v>
      </c>
      <c r="Q28" s="29">
        <f>+'FS Calcs'!Q82</f>
        <v>-39.378300136105139</v>
      </c>
      <c r="R28" s="29">
        <f>+'FS Calcs'!R82</f>
        <v>-40.165866138827241</v>
      </c>
      <c r="S28" s="29">
        <f>+'FS Calcs'!S82</f>
        <v>-40.969183461603784</v>
      </c>
    </row>
    <row r="29" spans="1:19" x14ac:dyDescent="0.45">
      <c r="B29" t="s">
        <v>253</v>
      </c>
      <c r="J29" s="51">
        <f>+J63</f>
        <v>-2.3130000000000002</v>
      </c>
      <c r="K29" s="51">
        <f t="shared" ref="K29:S29" si="7">+K63</f>
        <v>-2.3130000000000002</v>
      </c>
      <c r="L29" s="51">
        <f t="shared" si="7"/>
        <v>-2.3130000000000002</v>
      </c>
      <c r="M29" s="51">
        <f t="shared" si="7"/>
        <v>-2.3130000000000002</v>
      </c>
      <c r="N29" s="51">
        <f t="shared" si="7"/>
        <v>-2.3130000000000002</v>
      </c>
      <c r="O29" s="51">
        <f t="shared" si="7"/>
        <v>-2.3130000000000002</v>
      </c>
      <c r="P29" s="51">
        <f t="shared" si="7"/>
        <v>-2.3130000000000002</v>
      </c>
      <c r="Q29" s="51">
        <f t="shared" si="7"/>
        <v>-2.3130000000000002</v>
      </c>
      <c r="R29" s="51">
        <f t="shared" si="7"/>
        <v>-2.3130000000000002</v>
      </c>
      <c r="S29" s="51">
        <f t="shared" si="7"/>
        <v>-2.3130000000000002</v>
      </c>
    </row>
    <row r="30" spans="1:19" x14ac:dyDescent="0.45">
      <c r="B30" s="13" t="s">
        <v>223</v>
      </c>
      <c r="C30" s="13"/>
      <c r="D30" s="13"/>
      <c r="E30" s="13"/>
      <c r="F30" s="13"/>
      <c r="G30" s="13"/>
      <c r="H30" s="13"/>
      <c r="I30" s="13"/>
      <c r="J30" s="13">
        <f t="shared" ref="J30:S30" ca="1" si="8">SUM(J25:J29)</f>
        <v>-31.019709630557553</v>
      </c>
      <c r="K30" s="13">
        <f t="shared" ca="1" si="8"/>
        <v>-31.864658785294015</v>
      </c>
      <c r="L30" s="13">
        <f t="shared" ca="1" si="8"/>
        <v>-30.005731409651627</v>
      </c>
      <c r="M30" s="13">
        <f t="shared" ca="1" si="8"/>
        <v>-22.867245460324202</v>
      </c>
      <c r="N30" s="13">
        <f t="shared" ca="1" si="8"/>
        <v>-16.291347717381885</v>
      </c>
      <c r="O30" s="13">
        <f t="shared" ca="1" si="8"/>
        <v>-11.497977839256746</v>
      </c>
      <c r="P30" s="13">
        <f t="shared" ca="1" si="8"/>
        <v>-7.6713392948536718</v>
      </c>
      <c r="Q30" s="13">
        <f t="shared" ca="1" si="8"/>
        <v>-3.84970938120586</v>
      </c>
      <c r="R30" s="13">
        <f t="shared" ca="1" si="8"/>
        <v>0.65423278614891212</v>
      </c>
      <c r="S30" s="13">
        <f t="shared" ca="1" si="8"/>
        <v>5.584684714361055</v>
      </c>
    </row>
    <row r="32" spans="1:19" x14ac:dyDescent="0.45">
      <c r="B32" t="s">
        <v>224</v>
      </c>
      <c r="J32">
        <f>+J68</f>
        <v>59.899000000000001</v>
      </c>
      <c r="K32">
        <f t="shared" ref="K32:S32" ca="1" si="9">+K68</f>
        <v>35</v>
      </c>
      <c r="L32">
        <f t="shared" ca="1" si="9"/>
        <v>35</v>
      </c>
      <c r="M32">
        <f t="shared" ca="1" si="9"/>
        <v>35</v>
      </c>
      <c r="N32">
        <f t="shared" ca="1" si="9"/>
        <v>35</v>
      </c>
      <c r="O32">
        <f t="shared" ca="1" si="9"/>
        <v>35</v>
      </c>
      <c r="P32">
        <f t="shared" ca="1" si="9"/>
        <v>35</v>
      </c>
      <c r="Q32">
        <f t="shared" ca="1" si="9"/>
        <v>35</v>
      </c>
      <c r="R32">
        <f t="shared" ca="1" si="9"/>
        <v>35</v>
      </c>
      <c r="S32">
        <f t="shared" ca="1" si="9"/>
        <v>35</v>
      </c>
    </row>
    <row r="33" spans="2:19" x14ac:dyDescent="0.45">
      <c r="B33" t="s">
        <v>225</v>
      </c>
      <c r="J33" s="46">
        <v>-35</v>
      </c>
      <c r="K33" s="46">
        <f>+J33</f>
        <v>-35</v>
      </c>
      <c r="L33" s="46">
        <f t="shared" ref="L33:S33" si="10">+K33</f>
        <v>-35</v>
      </c>
      <c r="M33" s="46">
        <f t="shared" si="10"/>
        <v>-35</v>
      </c>
      <c r="N33" s="46">
        <f t="shared" si="10"/>
        <v>-35</v>
      </c>
      <c r="O33" s="46">
        <f t="shared" si="10"/>
        <v>-35</v>
      </c>
      <c r="P33" s="46">
        <f t="shared" si="10"/>
        <v>-35</v>
      </c>
      <c r="Q33" s="46">
        <f t="shared" si="10"/>
        <v>-35</v>
      </c>
      <c r="R33" s="46">
        <f t="shared" si="10"/>
        <v>-35</v>
      </c>
      <c r="S33" s="46">
        <f t="shared" si="10"/>
        <v>-35</v>
      </c>
    </row>
    <row r="34" spans="2:19" x14ac:dyDescent="0.45">
      <c r="B34" t="s">
        <v>226</v>
      </c>
      <c r="J34">
        <f ca="1">+J33+J32+J30</f>
        <v>-6.1207096305575526</v>
      </c>
      <c r="K34">
        <f t="shared" ref="K34:S34" ca="1" si="11">+K33+K32+K30</f>
        <v>-31.864658785294015</v>
      </c>
      <c r="L34">
        <f t="shared" ca="1" si="11"/>
        <v>-30.005731409651627</v>
      </c>
      <c r="M34">
        <f t="shared" ca="1" si="11"/>
        <v>-22.867245460324202</v>
      </c>
      <c r="N34">
        <f t="shared" ca="1" si="11"/>
        <v>-16.291347717381885</v>
      </c>
      <c r="O34">
        <f t="shared" ca="1" si="11"/>
        <v>-11.497977839256746</v>
      </c>
      <c r="P34">
        <f t="shared" ca="1" si="11"/>
        <v>-7.6713392948536718</v>
      </c>
      <c r="Q34">
        <f t="shared" ca="1" si="11"/>
        <v>-3.84970938120586</v>
      </c>
      <c r="R34">
        <f t="shared" ca="1" si="11"/>
        <v>0.65423278614891212</v>
      </c>
      <c r="S34">
        <f t="shared" ca="1" si="11"/>
        <v>5.584684714361055</v>
      </c>
    </row>
    <row r="36" spans="2:19" x14ac:dyDescent="0.45">
      <c r="B36" t="s">
        <v>232</v>
      </c>
      <c r="J36">
        <f>+J51</f>
        <v>-26.335000000000001</v>
      </c>
      <c r="K36">
        <f t="shared" ref="K36:S36" si="12">+K51</f>
        <v>0</v>
      </c>
      <c r="L36">
        <f t="shared" si="12"/>
        <v>0</v>
      </c>
      <c r="M36">
        <f t="shared" si="12"/>
        <v>0</v>
      </c>
      <c r="N36">
        <f t="shared" si="12"/>
        <v>0</v>
      </c>
      <c r="O36">
        <f t="shared" si="12"/>
        <v>0</v>
      </c>
      <c r="P36">
        <f t="shared" si="12"/>
        <v>0</v>
      </c>
      <c r="Q36">
        <f t="shared" si="12"/>
        <v>0</v>
      </c>
      <c r="R36">
        <f t="shared" si="12"/>
        <v>0</v>
      </c>
      <c r="S36">
        <f t="shared" si="12"/>
        <v>0</v>
      </c>
    </row>
    <row r="38" spans="2:19" x14ac:dyDescent="0.45">
      <c r="B38" t="s">
        <v>228</v>
      </c>
      <c r="J38">
        <f>+I40</f>
        <v>9.0869999999999997</v>
      </c>
      <c r="K38">
        <f t="shared" ref="K38:S38" ca="1" si="13">+J40</f>
        <v>40.509</v>
      </c>
      <c r="L38">
        <f t="shared" ca="1" si="13"/>
        <v>40.509</v>
      </c>
      <c r="M38">
        <f t="shared" ca="1" si="13"/>
        <v>40.509</v>
      </c>
      <c r="N38">
        <f t="shared" ca="1" si="13"/>
        <v>40.509</v>
      </c>
      <c r="O38">
        <f t="shared" ca="1" si="13"/>
        <v>40.509</v>
      </c>
      <c r="P38">
        <f t="shared" ca="1" si="13"/>
        <v>40.509</v>
      </c>
      <c r="Q38">
        <f t="shared" ca="1" si="13"/>
        <v>40.509</v>
      </c>
      <c r="R38">
        <f t="shared" ca="1" si="13"/>
        <v>40.509</v>
      </c>
      <c r="S38">
        <f t="shared" ca="1" si="13"/>
        <v>39.854767249399984</v>
      </c>
    </row>
    <row r="39" spans="2:19" x14ac:dyDescent="0.45">
      <c r="B39" t="s">
        <v>234</v>
      </c>
      <c r="J39">
        <f ca="1">+IF(MIN(J36+J34,J38)*-1&gt;=(J42-J38),J42-J38,MIN(J36+J34,J38)*-1)</f>
        <v>31.422000000000001</v>
      </c>
      <c r="K39">
        <f t="shared" ref="K39:S39" ca="1" si="14">+IF(MIN(K36+K34,K38)*-1&gt;=(K42-K38),K42-K38,MIN(K36+K34,K38)*-1)</f>
        <v>0</v>
      </c>
      <c r="L39">
        <f t="shared" ca="1" si="14"/>
        <v>0</v>
      </c>
      <c r="M39">
        <f t="shared" ca="1" si="14"/>
        <v>0</v>
      </c>
      <c r="N39">
        <f t="shared" ca="1" si="14"/>
        <v>0</v>
      </c>
      <c r="O39">
        <f t="shared" ca="1" si="14"/>
        <v>0</v>
      </c>
      <c r="P39">
        <f t="shared" ca="1" si="14"/>
        <v>0</v>
      </c>
      <c r="Q39">
        <f t="shared" ca="1" si="14"/>
        <v>0</v>
      </c>
      <c r="R39">
        <f t="shared" ca="1" si="14"/>
        <v>-0.65423278614891212</v>
      </c>
      <c r="S39">
        <f t="shared" ca="1" si="14"/>
        <v>-5.584684714361055</v>
      </c>
    </row>
    <row r="40" spans="2:19" x14ac:dyDescent="0.45">
      <c r="B40" s="13" t="s">
        <v>231</v>
      </c>
      <c r="C40" s="13"/>
      <c r="D40" s="13"/>
      <c r="E40" s="13"/>
      <c r="F40" s="13"/>
      <c r="G40" s="13"/>
      <c r="H40" s="13"/>
      <c r="I40" s="70">
        <f>+I7</f>
        <v>9.0869999999999997</v>
      </c>
      <c r="J40" s="13">
        <f ca="1">SUM(J38:J39)</f>
        <v>40.509</v>
      </c>
      <c r="K40" s="13">
        <f t="shared" ref="K40:S40" ca="1" si="15">SUM(K38:K39)</f>
        <v>40.509</v>
      </c>
      <c r="L40" s="13">
        <f t="shared" ca="1" si="15"/>
        <v>40.509</v>
      </c>
      <c r="M40" s="13">
        <f t="shared" ca="1" si="15"/>
        <v>40.509</v>
      </c>
      <c r="N40" s="13">
        <f t="shared" ca="1" si="15"/>
        <v>40.509</v>
      </c>
      <c r="O40" s="13">
        <f t="shared" ca="1" si="15"/>
        <v>40.509</v>
      </c>
      <c r="P40" s="13">
        <f t="shared" ca="1" si="15"/>
        <v>40.509</v>
      </c>
      <c r="Q40" s="13">
        <f t="shared" ca="1" si="15"/>
        <v>40.509</v>
      </c>
      <c r="R40" s="13">
        <f t="shared" ca="1" si="15"/>
        <v>39.85476721385109</v>
      </c>
      <c r="S40" s="13">
        <f t="shared" ca="1" si="15"/>
        <v>34.270082535038931</v>
      </c>
    </row>
    <row r="41" spans="2:19" x14ac:dyDescent="0.45">
      <c r="B41" s="1" t="s">
        <v>233</v>
      </c>
      <c r="J41" s="1">
        <f t="shared" ref="J41:S41" ca="1" si="16">+AVERAGE(I40:J40)*J17*-1</f>
        <v>-0.91752600000000006</v>
      </c>
      <c r="K41" s="1">
        <f t="shared" ca="1" si="16"/>
        <v>-1.4988329999999999</v>
      </c>
      <c r="L41" s="1">
        <f t="shared" ca="1" si="16"/>
        <v>-1.4988329999999999</v>
      </c>
      <c r="M41" s="1">
        <f t="shared" ca="1" si="16"/>
        <v>-1.4988329999999999</v>
      </c>
      <c r="N41" s="1">
        <f t="shared" ca="1" si="16"/>
        <v>-1.4988329999999999</v>
      </c>
      <c r="O41" s="1">
        <f t="shared" ca="1" si="16"/>
        <v>-1.4988329999999999</v>
      </c>
      <c r="P41" s="1">
        <f t="shared" ca="1" si="16"/>
        <v>-1.4988329999999999</v>
      </c>
      <c r="Q41" s="1">
        <f t="shared" ca="1" si="16"/>
        <v>-1.4988329999999999</v>
      </c>
      <c r="R41" s="1">
        <f t="shared" ca="1" si="16"/>
        <v>-1.4867296934562451</v>
      </c>
      <c r="S41" s="1">
        <f t="shared" ca="1" si="16"/>
        <v>-1.3713097203544655</v>
      </c>
    </row>
    <row r="42" spans="2:19" x14ac:dyDescent="0.45">
      <c r="B42" t="s">
        <v>235</v>
      </c>
      <c r="J42" s="4">
        <f>30*Output!$J$8</f>
        <v>40.509</v>
      </c>
      <c r="K42" s="4">
        <f>30*Output!$J$8</f>
        <v>40.509</v>
      </c>
      <c r="L42" s="4">
        <f>30*Output!$J$8</f>
        <v>40.509</v>
      </c>
      <c r="M42" s="4">
        <f>30*Output!$J$8</f>
        <v>40.509</v>
      </c>
      <c r="N42" s="4">
        <f>30*Output!$J$8</f>
        <v>40.509</v>
      </c>
      <c r="O42" s="4">
        <f>30*Output!$J$8</f>
        <v>40.509</v>
      </c>
      <c r="P42" s="4">
        <f>30*Output!$J$8</f>
        <v>40.509</v>
      </c>
      <c r="Q42" s="4">
        <f>30*Output!$J$8</f>
        <v>40.509</v>
      </c>
      <c r="R42" s="4">
        <f>30*Output!$J$8</f>
        <v>40.509</v>
      </c>
      <c r="S42" s="4">
        <f>30*Output!$J$8</f>
        <v>40.509</v>
      </c>
    </row>
    <row r="44" spans="2:19" x14ac:dyDescent="0.45">
      <c r="B44" t="s">
        <v>237</v>
      </c>
      <c r="J44">
        <f>+I46</f>
        <v>84.234999999999999</v>
      </c>
      <c r="K44">
        <f t="shared" ref="K44:S44" ca="1" si="17">+J46</f>
        <v>85.268709630557552</v>
      </c>
      <c r="L44">
        <f t="shared" ca="1" si="17"/>
        <v>90</v>
      </c>
      <c r="M44">
        <f t="shared" ca="1" si="17"/>
        <v>90</v>
      </c>
      <c r="N44">
        <f t="shared" ca="1" si="17"/>
        <v>90</v>
      </c>
      <c r="O44">
        <f t="shared" ca="1" si="17"/>
        <v>90</v>
      </c>
      <c r="P44">
        <f t="shared" ca="1" si="17"/>
        <v>90</v>
      </c>
      <c r="Q44">
        <f t="shared" ca="1" si="17"/>
        <v>90</v>
      </c>
      <c r="R44">
        <f t="shared" ca="1" si="17"/>
        <v>90</v>
      </c>
      <c r="S44">
        <f t="shared" ca="1" si="17"/>
        <v>90</v>
      </c>
    </row>
    <row r="45" spans="2:19" x14ac:dyDescent="0.45">
      <c r="B45" t="s">
        <v>234</v>
      </c>
      <c r="J45">
        <f ca="1">+IF(MIN(J44, J34+J36+J39)*-1&gt;=(J48-J44), J48-J44, MIN(J44, J34+J36+J39)*-1)</f>
        <v>1.0337096305575493</v>
      </c>
      <c r="K45">
        <f t="shared" ref="K45:S45" ca="1" si="18">+IF(MIN(K44, K34+K36+K39)*-1&gt;=(K48-K44), K48-K44, MIN(K44, K34+K36+K39)*-1)</f>
        <v>4.7312903694424477</v>
      </c>
      <c r="L45">
        <f t="shared" ca="1" si="18"/>
        <v>0</v>
      </c>
      <c r="M45">
        <f t="shared" ca="1" si="18"/>
        <v>0</v>
      </c>
      <c r="N45">
        <f t="shared" ca="1" si="18"/>
        <v>0</v>
      </c>
      <c r="O45">
        <f t="shared" ca="1" si="18"/>
        <v>0</v>
      </c>
      <c r="P45">
        <f t="shared" ca="1" si="18"/>
        <v>0</v>
      </c>
      <c r="Q45">
        <f t="shared" ca="1" si="18"/>
        <v>0</v>
      </c>
      <c r="R45">
        <f t="shared" ca="1" si="18"/>
        <v>0</v>
      </c>
      <c r="S45">
        <f t="shared" ca="1" si="18"/>
        <v>0</v>
      </c>
    </row>
    <row r="46" spans="2:19" x14ac:dyDescent="0.45">
      <c r="B46" s="13" t="s">
        <v>238</v>
      </c>
      <c r="C46" s="13"/>
      <c r="D46" s="13"/>
      <c r="E46" s="13"/>
      <c r="F46" s="13"/>
      <c r="G46" s="13"/>
      <c r="H46" s="13"/>
      <c r="I46" s="70">
        <f>+I8</f>
        <v>84.234999999999999</v>
      </c>
      <c r="J46" s="13">
        <f ca="1">SUM(J44:J45)</f>
        <v>85.268709630557552</v>
      </c>
      <c r="K46" s="13">
        <f t="shared" ref="K46:S46" ca="1" si="19">SUM(K44:K45)</f>
        <v>90</v>
      </c>
      <c r="L46" s="13">
        <f t="shared" ca="1" si="19"/>
        <v>90</v>
      </c>
      <c r="M46" s="13">
        <f t="shared" ca="1" si="19"/>
        <v>90</v>
      </c>
      <c r="N46" s="13">
        <f t="shared" ca="1" si="19"/>
        <v>90</v>
      </c>
      <c r="O46" s="13">
        <f t="shared" ca="1" si="19"/>
        <v>90</v>
      </c>
      <c r="P46" s="13">
        <f t="shared" ca="1" si="19"/>
        <v>90</v>
      </c>
      <c r="Q46" s="13">
        <f t="shared" ca="1" si="19"/>
        <v>90</v>
      </c>
      <c r="R46" s="13">
        <f t="shared" ca="1" si="19"/>
        <v>90</v>
      </c>
      <c r="S46" s="13">
        <f t="shared" ca="1" si="19"/>
        <v>90</v>
      </c>
    </row>
    <row r="47" spans="2:19" x14ac:dyDescent="0.45">
      <c r="B47" s="1" t="s">
        <v>233</v>
      </c>
      <c r="J47" s="1">
        <f t="shared" ref="J47:S47" ca="1" si="20">+AVERAGE(I46:J46)*J18*-1</f>
        <v>-4.8732316518785295</v>
      </c>
      <c r="K47" s="1">
        <f t="shared" ca="1" si="20"/>
        <v>-5.0389754018785302</v>
      </c>
      <c r="L47" s="1">
        <f t="shared" ca="1" si="20"/>
        <v>-5.1749999999999998</v>
      </c>
      <c r="M47" s="1">
        <f t="shared" ca="1" si="20"/>
        <v>-5.1749999999999998</v>
      </c>
      <c r="N47" s="1">
        <f t="shared" ca="1" si="20"/>
        <v>-5.1749999999999998</v>
      </c>
      <c r="O47" s="1">
        <f t="shared" ca="1" si="20"/>
        <v>-5.1749999999999998</v>
      </c>
      <c r="P47" s="1">
        <f t="shared" ca="1" si="20"/>
        <v>-5.1749999999999998</v>
      </c>
      <c r="Q47" s="1">
        <f t="shared" ca="1" si="20"/>
        <v>-5.1749999999999998</v>
      </c>
      <c r="R47" s="1">
        <f t="shared" ca="1" si="20"/>
        <v>-5.1749999999999998</v>
      </c>
      <c r="S47" s="1">
        <f t="shared" ca="1" si="20"/>
        <v>-5.1749999999999998</v>
      </c>
    </row>
    <row r="48" spans="2:19" x14ac:dyDescent="0.45">
      <c r="B48" t="s">
        <v>235</v>
      </c>
      <c r="J48" s="4">
        <v>90</v>
      </c>
      <c r="K48" s="4">
        <v>90</v>
      </c>
      <c r="L48" s="4">
        <v>90</v>
      </c>
      <c r="M48" s="4">
        <v>90</v>
      </c>
      <c r="N48" s="4">
        <v>90</v>
      </c>
      <c r="O48" s="4">
        <v>90</v>
      </c>
      <c r="P48" s="4">
        <v>90</v>
      </c>
      <c r="Q48" s="4">
        <v>90</v>
      </c>
      <c r="R48" s="4">
        <v>90</v>
      </c>
      <c r="S48" s="4">
        <v>90</v>
      </c>
    </row>
    <row r="50" spans="1:19" x14ac:dyDescent="0.45">
      <c r="B50" t="s">
        <v>240</v>
      </c>
      <c r="J50">
        <f>+I52</f>
        <v>26.335000000000001</v>
      </c>
      <c r="K50">
        <f t="shared" ref="K50:S50" si="21">+J52</f>
        <v>0</v>
      </c>
      <c r="L50">
        <f t="shared" si="21"/>
        <v>0</v>
      </c>
      <c r="M50">
        <f t="shared" si="21"/>
        <v>0</v>
      </c>
      <c r="N50">
        <f t="shared" si="21"/>
        <v>0</v>
      </c>
      <c r="O50">
        <f t="shared" si="21"/>
        <v>0</v>
      </c>
      <c r="P50">
        <f t="shared" si="21"/>
        <v>0</v>
      </c>
      <c r="Q50">
        <f t="shared" si="21"/>
        <v>0</v>
      </c>
      <c r="R50">
        <f t="shared" si="21"/>
        <v>0</v>
      </c>
      <c r="S50">
        <f t="shared" si="21"/>
        <v>0</v>
      </c>
    </row>
    <row r="51" spans="1:19" x14ac:dyDescent="0.45">
      <c r="B51" t="s">
        <v>241</v>
      </c>
      <c r="J51">
        <f>+J50*-1</f>
        <v>-26.335000000000001</v>
      </c>
      <c r="K51">
        <f t="shared" ref="K51:S51" si="22">+K50*-1</f>
        <v>0</v>
      </c>
      <c r="L51">
        <f t="shared" si="22"/>
        <v>0</v>
      </c>
      <c r="M51">
        <f t="shared" si="22"/>
        <v>0</v>
      </c>
      <c r="N51">
        <f t="shared" si="22"/>
        <v>0</v>
      </c>
      <c r="O51">
        <f t="shared" si="22"/>
        <v>0</v>
      </c>
      <c r="P51">
        <f t="shared" si="22"/>
        <v>0</v>
      </c>
      <c r="Q51">
        <f t="shared" si="22"/>
        <v>0</v>
      </c>
      <c r="R51">
        <f t="shared" si="22"/>
        <v>0</v>
      </c>
      <c r="S51">
        <f t="shared" si="22"/>
        <v>0</v>
      </c>
    </row>
    <row r="52" spans="1:19" x14ac:dyDescent="0.45">
      <c r="B52" s="13" t="s">
        <v>242</v>
      </c>
      <c r="C52" s="13"/>
      <c r="D52" s="13"/>
      <c r="E52" s="13"/>
      <c r="F52" s="13"/>
      <c r="G52" s="13"/>
      <c r="H52" s="13"/>
      <c r="I52" s="70">
        <f>+I10</f>
        <v>26.335000000000001</v>
      </c>
      <c r="J52" s="13">
        <f>SUM(J50:J51)</f>
        <v>0</v>
      </c>
      <c r="K52" s="13">
        <f t="shared" ref="K52:S52" si="23">SUM(K50:K51)</f>
        <v>0</v>
      </c>
      <c r="L52" s="13">
        <f t="shared" si="23"/>
        <v>0</v>
      </c>
      <c r="M52" s="13">
        <f t="shared" si="23"/>
        <v>0</v>
      </c>
      <c r="N52" s="13">
        <f t="shared" si="23"/>
        <v>0</v>
      </c>
      <c r="O52" s="13">
        <f t="shared" si="23"/>
        <v>0</v>
      </c>
      <c r="P52" s="13">
        <f t="shared" si="23"/>
        <v>0</v>
      </c>
      <c r="Q52" s="13">
        <f t="shared" si="23"/>
        <v>0</v>
      </c>
      <c r="R52" s="13">
        <f t="shared" si="23"/>
        <v>0</v>
      </c>
      <c r="S52" s="13">
        <f t="shared" si="23"/>
        <v>0</v>
      </c>
    </row>
    <row r="53" spans="1:19" x14ac:dyDescent="0.45">
      <c r="B53" s="1" t="s">
        <v>233</v>
      </c>
      <c r="J53" s="1">
        <f t="shared" ref="J53:S53" si="24">+AVERAGE(I52:J52)*J19*-1</f>
        <v>-0.73738000000000004</v>
      </c>
      <c r="K53" s="1">
        <f t="shared" si="24"/>
        <v>0</v>
      </c>
      <c r="L53" s="1">
        <f t="shared" si="24"/>
        <v>0</v>
      </c>
      <c r="M53" s="1">
        <f t="shared" si="24"/>
        <v>0</v>
      </c>
      <c r="N53" s="1">
        <f t="shared" si="24"/>
        <v>0</v>
      </c>
      <c r="O53" s="1">
        <f t="shared" si="24"/>
        <v>0</v>
      </c>
      <c r="P53" s="1">
        <f t="shared" si="24"/>
        <v>0</v>
      </c>
      <c r="Q53" s="1">
        <f t="shared" si="24"/>
        <v>0</v>
      </c>
      <c r="R53" s="1">
        <f t="shared" si="24"/>
        <v>0</v>
      </c>
      <c r="S53" s="1">
        <f t="shared" si="24"/>
        <v>0</v>
      </c>
    </row>
    <row r="54" spans="1:19" x14ac:dyDescent="0.45"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45">
      <c r="B55" t="s">
        <v>245</v>
      </c>
      <c r="J55">
        <f>+I57</f>
        <v>477.80399999999997</v>
      </c>
      <c r="K55">
        <f t="shared" ref="K55:S55" ca="1" si="25">+J57</f>
        <v>477.80399999999997</v>
      </c>
      <c r="L55">
        <f t="shared" ca="1" si="25"/>
        <v>504.93736841585149</v>
      </c>
      <c r="M55">
        <f t="shared" ca="1" si="25"/>
        <v>534.94309982550374</v>
      </c>
      <c r="N55">
        <f t="shared" ca="1" si="25"/>
        <v>557.81034528582074</v>
      </c>
      <c r="O55">
        <f t="shared" ca="1" si="25"/>
        <v>574.10169300327129</v>
      </c>
      <c r="P55">
        <f t="shared" ca="1" si="25"/>
        <v>585.59967084199127</v>
      </c>
      <c r="Q55">
        <f t="shared" ca="1" si="25"/>
        <v>593.27101014051459</v>
      </c>
      <c r="R55">
        <f t="shared" ca="1" si="25"/>
        <v>597.12071949977633</v>
      </c>
      <c r="S55">
        <f t="shared" ca="1" si="25"/>
        <v>597.12071956812167</v>
      </c>
    </row>
    <row r="56" spans="1:19" x14ac:dyDescent="0.45">
      <c r="B56" t="s">
        <v>246</v>
      </c>
      <c r="J56">
        <f t="shared" ref="J56:S56" ca="1" si="26">+MIN(J55, J34+J39+J45+J36)*-1</f>
        <v>3.5527136788005009E-15</v>
      </c>
      <c r="K56">
        <f t="shared" ca="1" si="26"/>
        <v>27.133368415851567</v>
      </c>
      <c r="L56">
        <f t="shared" ca="1" si="26"/>
        <v>30.005731409651627</v>
      </c>
      <c r="M56">
        <f t="shared" ca="1" si="26"/>
        <v>22.867245460324202</v>
      </c>
      <c r="N56">
        <f t="shared" ca="1" si="26"/>
        <v>16.291347717381885</v>
      </c>
      <c r="O56">
        <f t="shared" ca="1" si="26"/>
        <v>11.497977839256746</v>
      </c>
      <c r="P56">
        <f t="shared" ca="1" si="26"/>
        <v>7.6713392948536718</v>
      </c>
      <c r="Q56">
        <f t="shared" ca="1" si="26"/>
        <v>3.84970938120586</v>
      </c>
      <c r="R56">
        <f t="shared" ca="1" si="26"/>
        <v>0</v>
      </c>
      <c r="S56">
        <f t="shared" ca="1" si="26"/>
        <v>0</v>
      </c>
    </row>
    <row r="57" spans="1:19" x14ac:dyDescent="0.45">
      <c r="B57" s="13" t="s">
        <v>247</v>
      </c>
      <c r="C57" s="13"/>
      <c r="D57" s="13"/>
      <c r="E57" s="13"/>
      <c r="F57" s="13"/>
      <c r="G57" s="13"/>
      <c r="H57" s="13"/>
      <c r="I57" s="70">
        <f>+I13</f>
        <v>477.80399999999997</v>
      </c>
      <c r="J57" s="13">
        <f ca="1">SUM(J55:J56)</f>
        <v>477.80399999999997</v>
      </c>
      <c r="K57" s="13">
        <f t="shared" ref="K57:S57" ca="1" si="27">SUM(K55:K56)</f>
        <v>504.93736841585155</v>
      </c>
      <c r="L57" s="13">
        <f t="shared" ca="1" si="27"/>
        <v>534.94309982550317</v>
      </c>
      <c r="M57" s="13">
        <f t="shared" ca="1" si="27"/>
        <v>557.81034528582791</v>
      </c>
      <c r="N57" s="13">
        <f t="shared" ca="1" si="27"/>
        <v>574.10169300320263</v>
      </c>
      <c r="O57" s="13">
        <f t="shared" ca="1" si="27"/>
        <v>585.59967084252798</v>
      </c>
      <c r="P57" s="13">
        <f t="shared" ca="1" si="27"/>
        <v>593.27101013684489</v>
      </c>
      <c r="Q57" s="13">
        <f t="shared" ca="1" si="27"/>
        <v>597.1207195217205</v>
      </c>
      <c r="R57" s="13">
        <f t="shared" ca="1" si="27"/>
        <v>597.12071949977633</v>
      </c>
      <c r="S57" s="13">
        <f t="shared" ca="1" si="27"/>
        <v>597.12071956812167</v>
      </c>
    </row>
    <row r="58" spans="1:19" s="1" customFormat="1" x14ac:dyDescent="0.45">
      <c r="B58" s="1" t="s">
        <v>233</v>
      </c>
      <c r="I58" s="73"/>
      <c r="J58" s="1">
        <f t="shared" ref="J58:S58" ca="1" si="28">+AVERAGE(I57:J57)*J19*-1</f>
        <v>-26.757023999999998</v>
      </c>
      <c r="K58" s="1">
        <f t="shared" ca="1" si="28"/>
        <v>-27.516758315643845</v>
      </c>
      <c r="L58" s="1">
        <f t="shared" ca="1" si="28"/>
        <v>-29.116653110757934</v>
      </c>
      <c r="M58" s="1">
        <f t="shared" ca="1" si="28"/>
        <v>-30.597096463117271</v>
      </c>
      <c r="N58" s="1">
        <f t="shared" ca="1" si="28"/>
        <v>-31.693537072092855</v>
      </c>
      <c r="O58" s="1">
        <f t="shared" ca="1" si="28"/>
        <v>-32.471638187680455</v>
      </c>
      <c r="P58" s="1">
        <f t="shared" ca="1" si="28"/>
        <v>-33.008379067422446</v>
      </c>
      <c r="Q58" s="1">
        <f t="shared" ca="1" si="28"/>
        <v>-33.330968430439832</v>
      </c>
      <c r="R58" s="1">
        <f t="shared" ca="1" si="28"/>
        <v>-33.438760292601906</v>
      </c>
      <c r="S58" s="1">
        <f t="shared" ca="1" si="28"/>
        <v>-33.438760293901147</v>
      </c>
    </row>
    <row r="59" spans="1:19" s="1" customFormat="1" x14ac:dyDescent="0.45">
      <c r="I59" s="73"/>
    </row>
    <row r="60" spans="1:19" s="1" customFormat="1" x14ac:dyDescent="0.45">
      <c r="A60" s="1" t="s">
        <v>36</v>
      </c>
      <c r="B60" s="20" t="s">
        <v>255</v>
      </c>
      <c r="I60" s="73"/>
    </row>
    <row r="61" spans="1:19" s="1" customFormat="1" x14ac:dyDescent="0.45">
      <c r="B61" t="s">
        <v>249</v>
      </c>
      <c r="D61"/>
      <c r="E61"/>
      <c r="F61"/>
      <c r="G61"/>
      <c r="H61"/>
      <c r="I61"/>
      <c r="J61">
        <f>+I64</f>
        <v>36.239000000000004</v>
      </c>
      <c r="K61">
        <f t="shared" ref="K61:S61" si="29">+J64</f>
        <v>36.239000000000004</v>
      </c>
      <c r="L61">
        <f t="shared" si="29"/>
        <v>36.239000000000004</v>
      </c>
      <c r="M61">
        <f t="shared" si="29"/>
        <v>36.239000000000004</v>
      </c>
      <c r="N61">
        <f t="shared" si="29"/>
        <v>36.239000000000004</v>
      </c>
      <c r="O61">
        <f t="shared" si="29"/>
        <v>36.239000000000004</v>
      </c>
      <c r="P61">
        <f t="shared" si="29"/>
        <v>36.239000000000004</v>
      </c>
      <c r="Q61">
        <f t="shared" si="29"/>
        <v>36.239000000000004</v>
      </c>
      <c r="R61">
        <f t="shared" si="29"/>
        <v>36.239000000000004</v>
      </c>
      <c r="S61">
        <f t="shared" si="29"/>
        <v>36.239000000000004</v>
      </c>
    </row>
    <row r="62" spans="1:19" s="1" customFormat="1" x14ac:dyDescent="0.45">
      <c r="B62" t="s">
        <v>250</v>
      </c>
      <c r="D62"/>
      <c r="E62"/>
      <c r="F62"/>
      <c r="G62"/>
      <c r="H62"/>
      <c r="I62" s="4">
        <v>2.3130000000000002</v>
      </c>
      <c r="J62" s="25">
        <f>+I62</f>
        <v>2.3130000000000002</v>
      </c>
      <c r="K62" s="25">
        <f t="shared" ref="K62:S62" si="30">+J62</f>
        <v>2.3130000000000002</v>
      </c>
      <c r="L62" s="25">
        <f t="shared" si="30"/>
        <v>2.3130000000000002</v>
      </c>
      <c r="M62" s="25">
        <f t="shared" si="30"/>
        <v>2.3130000000000002</v>
      </c>
      <c r="N62" s="25">
        <f t="shared" si="30"/>
        <v>2.3130000000000002</v>
      </c>
      <c r="O62" s="25">
        <f t="shared" si="30"/>
        <v>2.3130000000000002</v>
      </c>
      <c r="P62" s="25">
        <f t="shared" si="30"/>
        <v>2.3130000000000002</v>
      </c>
      <c r="Q62" s="25">
        <f t="shared" si="30"/>
        <v>2.3130000000000002</v>
      </c>
      <c r="R62" s="25">
        <f t="shared" si="30"/>
        <v>2.3130000000000002</v>
      </c>
      <c r="S62" s="25">
        <f t="shared" si="30"/>
        <v>2.3130000000000002</v>
      </c>
    </row>
    <row r="63" spans="1:19" s="1" customFormat="1" x14ac:dyDescent="0.45">
      <c r="B63" t="s">
        <v>230</v>
      </c>
      <c r="D63"/>
      <c r="E63"/>
      <c r="F63"/>
      <c r="G63"/>
      <c r="H63"/>
      <c r="I63" s="4">
        <v>-9.4949999999999992</v>
      </c>
      <c r="J63" s="25">
        <f>+J62*-1</f>
        <v>-2.3130000000000002</v>
      </c>
      <c r="K63" s="25">
        <f t="shared" ref="K63:S63" si="31">+K62*-1</f>
        <v>-2.3130000000000002</v>
      </c>
      <c r="L63" s="25">
        <f t="shared" si="31"/>
        <v>-2.3130000000000002</v>
      </c>
      <c r="M63" s="25">
        <f t="shared" si="31"/>
        <v>-2.3130000000000002</v>
      </c>
      <c r="N63" s="25">
        <f t="shared" si="31"/>
        <v>-2.3130000000000002</v>
      </c>
      <c r="O63" s="25">
        <f t="shared" si="31"/>
        <v>-2.3130000000000002</v>
      </c>
      <c r="P63" s="25">
        <f t="shared" si="31"/>
        <v>-2.3130000000000002</v>
      </c>
      <c r="Q63" s="25">
        <f t="shared" si="31"/>
        <v>-2.3130000000000002</v>
      </c>
      <c r="R63" s="25">
        <f t="shared" si="31"/>
        <v>-2.3130000000000002</v>
      </c>
      <c r="S63" s="25">
        <f t="shared" si="31"/>
        <v>-2.3130000000000002</v>
      </c>
    </row>
    <row r="64" spans="1:19" s="1" customFormat="1" x14ac:dyDescent="0.45">
      <c r="B64" s="13" t="s">
        <v>248</v>
      </c>
      <c r="C64" s="81"/>
      <c r="D64" s="13"/>
      <c r="E64" s="13"/>
      <c r="F64" s="13"/>
      <c r="G64" s="13"/>
      <c r="H64" s="70"/>
      <c r="I64" s="70">
        <f>+I9+I14</f>
        <v>36.239000000000004</v>
      </c>
      <c r="J64" s="13">
        <f>SUM(J61:J63)</f>
        <v>36.239000000000004</v>
      </c>
      <c r="K64" s="13">
        <f t="shared" ref="K64:S64" si="32">SUM(K61:K63)</f>
        <v>36.239000000000004</v>
      </c>
      <c r="L64" s="13">
        <f t="shared" si="32"/>
        <v>36.239000000000004</v>
      </c>
      <c r="M64" s="13">
        <f t="shared" si="32"/>
        <v>36.239000000000004</v>
      </c>
      <c r="N64" s="13">
        <f t="shared" si="32"/>
        <v>36.239000000000004</v>
      </c>
      <c r="O64" s="13">
        <f t="shared" si="32"/>
        <v>36.239000000000004</v>
      </c>
      <c r="P64" s="13">
        <f t="shared" si="32"/>
        <v>36.239000000000004</v>
      </c>
      <c r="Q64" s="13">
        <f t="shared" si="32"/>
        <v>36.239000000000004</v>
      </c>
      <c r="R64" s="13">
        <f t="shared" si="32"/>
        <v>36.239000000000004</v>
      </c>
      <c r="S64" s="13">
        <f t="shared" si="32"/>
        <v>36.239000000000004</v>
      </c>
    </row>
    <row r="65" spans="1:19" s="1" customFormat="1" x14ac:dyDescent="0.45">
      <c r="B65" s="1" t="s">
        <v>233</v>
      </c>
      <c r="D65"/>
      <c r="E65"/>
      <c r="F65"/>
      <c r="G65"/>
      <c r="H65"/>
      <c r="I65"/>
      <c r="J65" s="1">
        <f t="shared" ref="J65:S65" si="33">+AVERAGE(I64:J64)*J20*-1</f>
        <v>-2.1381010000000003</v>
      </c>
      <c r="K65" s="1">
        <f t="shared" si="33"/>
        <v>-2.1381010000000003</v>
      </c>
      <c r="L65" s="1">
        <f t="shared" si="33"/>
        <v>-2.1381010000000003</v>
      </c>
      <c r="M65" s="1">
        <f t="shared" si="33"/>
        <v>-2.1381010000000003</v>
      </c>
      <c r="N65" s="1">
        <f t="shared" si="33"/>
        <v>-2.1381010000000003</v>
      </c>
      <c r="O65" s="1">
        <f t="shared" si="33"/>
        <v>-2.1381010000000003</v>
      </c>
      <c r="P65" s="1">
        <f t="shared" si="33"/>
        <v>-2.1381010000000003</v>
      </c>
      <c r="Q65" s="1">
        <f t="shared" si="33"/>
        <v>-2.1381010000000003</v>
      </c>
      <c r="R65" s="1">
        <f t="shared" si="33"/>
        <v>-2.1381010000000003</v>
      </c>
      <c r="S65" s="1">
        <f t="shared" si="33"/>
        <v>-2.1381010000000003</v>
      </c>
    </row>
    <row r="66" spans="1:19" s="1" customFormat="1" x14ac:dyDescent="0.45">
      <c r="D66"/>
      <c r="E66"/>
      <c r="F66"/>
      <c r="G66"/>
      <c r="H66"/>
      <c r="I66"/>
    </row>
    <row r="67" spans="1:19" x14ac:dyDescent="0.45">
      <c r="A67" t="s">
        <v>36</v>
      </c>
      <c r="B67" s="20" t="s">
        <v>256</v>
      </c>
    </row>
    <row r="68" spans="1:19" x14ac:dyDescent="0.45">
      <c r="B68" t="s">
        <v>224</v>
      </c>
      <c r="J68">
        <f>+I70</f>
        <v>59.899000000000001</v>
      </c>
      <c r="K68">
        <f t="shared" ref="K68:S68" ca="1" si="34">+J70</f>
        <v>35</v>
      </c>
      <c r="L68">
        <f t="shared" ca="1" si="34"/>
        <v>35</v>
      </c>
      <c r="M68">
        <f t="shared" ca="1" si="34"/>
        <v>35</v>
      </c>
      <c r="N68">
        <f t="shared" ca="1" si="34"/>
        <v>35</v>
      </c>
      <c r="O68">
        <f t="shared" ca="1" si="34"/>
        <v>35</v>
      </c>
      <c r="P68">
        <f t="shared" ca="1" si="34"/>
        <v>35</v>
      </c>
      <c r="Q68">
        <f t="shared" ca="1" si="34"/>
        <v>35</v>
      </c>
      <c r="R68">
        <f t="shared" ca="1" si="34"/>
        <v>35</v>
      </c>
      <c r="S68">
        <f t="shared" ca="1" si="34"/>
        <v>35</v>
      </c>
    </row>
    <row r="69" spans="1:19" x14ac:dyDescent="0.45">
      <c r="B69" t="s">
        <v>243</v>
      </c>
      <c r="J69">
        <f t="shared" ref="J69:S69" ca="1" si="35">+J30+J39+J45+J51+J56</f>
        <v>-24.899000000000001</v>
      </c>
      <c r="K69">
        <f t="shared" ca="1" si="35"/>
        <v>0</v>
      </c>
      <c r="L69">
        <f t="shared" ca="1" si="35"/>
        <v>0</v>
      </c>
      <c r="M69">
        <f t="shared" ca="1" si="35"/>
        <v>0</v>
      </c>
      <c r="N69">
        <f t="shared" ca="1" si="35"/>
        <v>0</v>
      </c>
      <c r="O69">
        <f t="shared" ca="1" si="35"/>
        <v>0</v>
      </c>
      <c r="P69">
        <f t="shared" ca="1" si="35"/>
        <v>0</v>
      </c>
      <c r="Q69">
        <f t="shared" ca="1" si="35"/>
        <v>0</v>
      </c>
      <c r="R69">
        <f t="shared" ca="1" si="35"/>
        <v>0</v>
      </c>
      <c r="S69">
        <f t="shared" ca="1" si="35"/>
        <v>0</v>
      </c>
    </row>
    <row r="70" spans="1:19" x14ac:dyDescent="0.45">
      <c r="B70" s="13" t="s">
        <v>244</v>
      </c>
      <c r="C70" s="13"/>
      <c r="D70" s="13"/>
      <c r="E70" s="13"/>
      <c r="F70" s="13"/>
      <c r="G70" s="13"/>
      <c r="H70" s="13"/>
      <c r="I70" s="42">
        <f>+'BS &amp; CFS'!I6</f>
        <v>59.899000000000001</v>
      </c>
      <c r="J70" s="13">
        <f ca="1">SUM(J68:J69)</f>
        <v>35</v>
      </c>
      <c r="K70" s="13">
        <f t="shared" ref="K70:S70" ca="1" si="36">SUM(K68:K69)</f>
        <v>35</v>
      </c>
      <c r="L70" s="13">
        <f t="shared" ca="1" si="36"/>
        <v>35</v>
      </c>
      <c r="M70" s="13">
        <f t="shared" ca="1" si="36"/>
        <v>35</v>
      </c>
      <c r="N70" s="13">
        <f t="shared" ca="1" si="36"/>
        <v>35</v>
      </c>
      <c r="O70" s="13">
        <f t="shared" ca="1" si="36"/>
        <v>35</v>
      </c>
      <c r="P70" s="13">
        <f t="shared" ca="1" si="36"/>
        <v>35</v>
      </c>
      <c r="Q70" s="13">
        <f t="shared" ca="1" si="36"/>
        <v>35</v>
      </c>
      <c r="R70" s="13">
        <f t="shared" ca="1" si="36"/>
        <v>35</v>
      </c>
      <c r="S70" s="13">
        <f t="shared" ca="1" si="36"/>
        <v>35</v>
      </c>
    </row>
    <row r="71" spans="1:19" x14ac:dyDescent="0.45">
      <c r="B71" s="1" t="s">
        <v>233</v>
      </c>
      <c r="J71" s="1">
        <f t="shared" ref="J71:S71" ca="1" si="37">+AVERAGE(I70:J70)*J17</f>
        <v>1.7556315</v>
      </c>
      <c r="K71" s="1">
        <f t="shared" ca="1" si="37"/>
        <v>1.2949999999999999</v>
      </c>
      <c r="L71" s="1">
        <f t="shared" ca="1" si="37"/>
        <v>1.2949999999999999</v>
      </c>
      <c r="M71" s="1">
        <f t="shared" ca="1" si="37"/>
        <v>1.2949999999999999</v>
      </c>
      <c r="N71" s="1">
        <f t="shared" ca="1" si="37"/>
        <v>1.2949999999999999</v>
      </c>
      <c r="O71" s="1">
        <f t="shared" ca="1" si="37"/>
        <v>1.2949999999999999</v>
      </c>
      <c r="P71" s="1">
        <f t="shared" ca="1" si="37"/>
        <v>1.2949999999999999</v>
      </c>
      <c r="Q71" s="1">
        <f t="shared" ca="1" si="37"/>
        <v>1.2949999999999999</v>
      </c>
      <c r="R71" s="1">
        <f t="shared" ca="1" si="37"/>
        <v>1.2949999999999999</v>
      </c>
      <c r="S71" s="1">
        <f t="shared" ca="1" si="37"/>
        <v>1.2949999999999999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DFB7-8A21-4B9D-9446-0C8DC1C1EA79}">
  <sheetPr>
    <tabColor theme="3" tint="0.79998168889431442"/>
  </sheetPr>
  <dimension ref="A1:I137"/>
  <sheetViews>
    <sheetView showGridLines="0" zoomScale="85" zoomScaleNormal="85" workbookViewId="0">
      <pane xSplit="4" ySplit="4" topLeftCell="E34" activePane="bottomRight" state="frozen"/>
      <selection pane="topRight" activeCell="E1" sqref="E1"/>
      <selection pane="bottomLeft" activeCell="A5" sqref="A5"/>
      <selection pane="bottomRight" activeCell="E88" sqref="E88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8" x14ac:dyDescent="0.45">
      <c r="A1" s="1" t="s">
        <v>0</v>
      </c>
    </row>
    <row r="2" spans="1:8" x14ac:dyDescent="0.45">
      <c r="A2" s="1" t="s">
        <v>3</v>
      </c>
    </row>
    <row r="3" spans="1:8" x14ac:dyDescent="0.45">
      <c r="A3" s="1"/>
    </row>
    <row r="4" spans="1:8" x14ac:dyDescent="0.45">
      <c r="A4" s="1"/>
      <c r="E4" s="82" t="s">
        <v>289</v>
      </c>
      <c r="F4" s="82" t="s">
        <v>302</v>
      </c>
      <c r="G4" s="82" t="s">
        <v>303</v>
      </c>
      <c r="H4" s="82" t="s">
        <v>304</v>
      </c>
    </row>
    <row r="5" spans="1:8" x14ac:dyDescent="0.45">
      <c r="A5" s="1"/>
      <c r="E5" s="82"/>
    </row>
    <row r="6" spans="1:8" x14ac:dyDescent="0.45">
      <c r="A6" t="s">
        <v>36</v>
      </c>
      <c r="B6" s="20" t="s">
        <v>160</v>
      </c>
    </row>
    <row r="7" spans="1:8" x14ac:dyDescent="0.45">
      <c r="B7" s="58" t="s">
        <v>30</v>
      </c>
      <c r="E7" s="4">
        <v>52.761000000000003</v>
      </c>
    </row>
    <row r="8" spans="1:8" x14ac:dyDescent="0.45">
      <c r="B8" s="58" t="s">
        <v>31</v>
      </c>
      <c r="E8" s="4">
        <v>11.617000000000001</v>
      </c>
    </row>
    <row r="9" spans="1:8" x14ac:dyDescent="0.45">
      <c r="B9" s="58" t="s">
        <v>32</v>
      </c>
      <c r="E9" s="4">
        <v>52.100999999999999</v>
      </c>
    </row>
    <row r="10" spans="1:8" x14ac:dyDescent="0.45">
      <c r="B10" t="s">
        <v>288</v>
      </c>
      <c r="E10" s="4">
        <v>10.173</v>
      </c>
    </row>
    <row r="11" spans="1:8" x14ac:dyDescent="0.45">
      <c r="B11" s="43" t="s">
        <v>35</v>
      </c>
      <c r="C11" s="43"/>
      <c r="D11" s="43"/>
      <c r="E11" s="43">
        <f>SUM(E7:E10)</f>
        <v>126.652</v>
      </c>
    </row>
    <row r="13" spans="1:8" x14ac:dyDescent="0.45">
      <c r="B13" s="14" t="s">
        <v>29</v>
      </c>
      <c r="E13" s="4">
        <v>48.722999999999999</v>
      </c>
    </row>
    <row r="14" spans="1:8" x14ac:dyDescent="0.45">
      <c r="B14" s="14" t="s">
        <v>281</v>
      </c>
      <c r="E14" s="4">
        <v>6.5540000000000003</v>
      </c>
      <c r="F14" s="6"/>
    </row>
    <row r="15" spans="1:8" s="7" customFormat="1" x14ac:dyDescent="0.45">
      <c r="B15" s="43" t="s">
        <v>290</v>
      </c>
      <c r="C15" s="43"/>
      <c r="D15" s="43"/>
      <c r="E15" s="43">
        <f>+E14+E13</f>
        <v>55.277000000000001</v>
      </c>
    </row>
    <row r="16" spans="1:8" s="1" customFormat="1" x14ac:dyDescent="0.45">
      <c r="B16" s="1" t="s">
        <v>291</v>
      </c>
      <c r="E16" s="80">
        <f>+E15/E11</f>
        <v>0.43644790449420462</v>
      </c>
    </row>
    <row r="17" spans="2:9" s="1" customFormat="1" x14ac:dyDescent="0.45">
      <c r="B17" s="1" t="s">
        <v>319</v>
      </c>
      <c r="E17" s="80">
        <f>+E13/SUM(E7:E9)</f>
        <v>0.41829857742597376</v>
      </c>
    </row>
    <row r="18" spans="2:9" s="1" customFormat="1" x14ac:dyDescent="0.45">
      <c r="B18" s="1" t="s">
        <v>320</v>
      </c>
      <c r="E18" s="80">
        <f>+E14/E10</f>
        <v>0.64425439889904657</v>
      </c>
    </row>
    <row r="20" spans="2:9" x14ac:dyDescent="0.45">
      <c r="B20" t="str">
        <f>+'P&amp;L'!B16</f>
        <v>Amortization of acquired and library content</v>
      </c>
      <c r="E20" s="4">
        <v>-2.3490000000000002</v>
      </c>
    </row>
    <row r="21" spans="2:9" x14ac:dyDescent="0.45">
      <c r="B21" t="str">
        <f>+'P&amp;L'!B17</f>
        <v>Amortization of property and equipment and intangible assets</v>
      </c>
      <c r="E21" s="4">
        <v>-6.274</v>
      </c>
    </row>
    <row r="22" spans="2:9" x14ac:dyDescent="0.45">
      <c r="B22" t="str">
        <f>+'P&amp;L'!B18</f>
        <v>Write-down of investment in film and television programs, acquired and library content, and property and equipment</v>
      </c>
      <c r="E22" s="4">
        <v>0</v>
      </c>
    </row>
    <row r="23" spans="2:9" x14ac:dyDescent="0.45">
      <c r="E23" s="4"/>
    </row>
    <row r="24" spans="2:9" x14ac:dyDescent="0.45">
      <c r="B24" t="str">
        <f>+'P&amp;L'!B20</f>
        <v>Selling, general and administrative</v>
      </c>
      <c r="E24" s="4">
        <v>-25.728000000000002</v>
      </c>
    </row>
    <row r="25" spans="2:9" x14ac:dyDescent="0.45">
      <c r="B25" t="str">
        <f>+'P&amp;L'!B21</f>
        <v>Share-based compensation</v>
      </c>
      <c r="E25" s="4">
        <v>-1.327</v>
      </c>
    </row>
    <row r="26" spans="2:9" x14ac:dyDescent="0.45">
      <c r="B26" t="str">
        <f>+'P&amp;L'!B22</f>
        <v>Finance costs, net</v>
      </c>
      <c r="E26" s="4">
        <v>-8.8030000000000008</v>
      </c>
    </row>
    <row r="27" spans="2:9" x14ac:dyDescent="0.45">
      <c r="B27" t="str">
        <f>+'P&amp;L'!B23</f>
        <v>Change in fair value of embedded derivatives</v>
      </c>
      <c r="E27" s="4">
        <v>6.0339999999999998</v>
      </c>
    </row>
    <row r="28" spans="2:9" x14ac:dyDescent="0.45">
      <c r="B28" t="str">
        <f>+'P&amp;L'!B24</f>
        <v>Foreign exchange (loss) / gain</v>
      </c>
      <c r="E28" s="4">
        <v>-12.456</v>
      </c>
    </row>
    <row r="29" spans="2:9" x14ac:dyDescent="0.45">
      <c r="B29" t="str">
        <f>+'P&amp;L'!B25</f>
        <v>Reorganization, development and other expense</v>
      </c>
      <c r="E29" s="4">
        <v>-1.5680000000000001</v>
      </c>
    </row>
    <row r="31" spans="2:9" s="7" customFormat="1" x14ac:dyDescent="0.45">
      <c r="B31" s="7" t="s">
        <v>215</v>
      </c>
      <c r="E31" s="7">
        <f>+E15+SUM(E20:E22,E24:E29)</f>
        <v>2.8060000000000116</v>
      </c>
      <c r="I31"/>
    </row>
    <row r="32" spans="2:9" s="1" customFormat="1" x14ac:dyDescent="0.45">
      <c r="B32" s="1" t="s">
        <v>16</v>
      </c>
      <c r="E32" s="80">
        <f>+E31/E11</f>
        <v>2.2155196917537912E-2</v>
      </c>
    </row>
    <row r="34" spans="2:5" x14ac:dyDescent="0.45">
      <c r="B34" s="14" t="s">
        <v>40</v>
      </c>
      <c r="E34" s="4">
        <v>-0.61299999999999999</v>
      </c>
    </row>
    <row r="35" spans="2:5" x14ac:dyDescent="0.45">
      <c r="B35" s="14" t="s">
        <v>39</v>
      </c>
      <c r="E35" s="4">
        <v>1.5449999999999999</v>
      </c>
    </row>
    <row r="36" spans="2:5" x14ac:dyDescent="0.45">
      <c r="B36" t="s">
        <v>17</v>
      </c>
      <c r="E36">
        <f>SUM(E34:E35)</f>
        <v>0.93199999999999994</v>
      </c>
    </row>
    <row r="38" spans="2:5" x14ac:dyDescent="0.45">
      <c r="B38" t="s">
        <v>24</v>
      </c>
      <c r="E38">
        <f>+E31+E36</f>
        <v>3.7380000000000115</v>
      </c>
    </row>
    <row r="39" spans="2:5" x14ac:dyDescent="0.45">
      <c r="B39" s="14" t="s">
        <v>25</v>
      </c>
      <c r="E39" s="4">
        <v>11.31</v>
      </c>
    </row>
    <row r="40" spans="2:5" x14ac:dyDescent="0.45">
      <c r="B40" s="16" t="s">
        <v>26</v>
      </c>
      <c r="E40">
        <f>+E38-E39</f>
        <v>-7.5719999999999885</v>
      </c>
    </row>
    <row r="42" spans="2:5" x14ac:dyDescent="0.45">
      <c r="B42" t="s">
        <v>27</v>
      </c>
      <c r="E42" s="17">
        <v>-0.04</v>
      </c>
    </row>
    <row r="43" spans="2:5" x14ac:dyDescent="0.45">
      <c r="B43" t="s">
        <v>28</v>
      </c>
      <c r="E43" s="17">
        <v>-0.06</v>
      </c>
    </row>
    <row r="45" spans="2:5" x14ac:dyDescent="0.45">
      <c r="B45" t="s">
        <v>37</v>
      </c>
      <c r="E45" s="4">
        <v>173.113</v>
      </c>
    </row>
    <row r="46" spans="2:5" x14ac:dyDescent="0.45">
      <c r="B46" t="s">
        <v>38</v>
      </c>
      <c r="E46" s="4">
        <v>190.35400000000001</v>
      </c>
    </row>
    <row r="48" spans="2:5" x14ac:dyDescent="0.45">
      <c r="B48" t="s">
        <v>151</v>
      </c>
      <c r="E48" s="4">
        <v>0</v>
      </c>
    </row>
    <row r="49" spans="1:5" x14ac:dyDescent="0.45">
      <c r="B49" t="s">
        <v>166</v>
      </c>
      <c r="E49" s="4">
        <v>-2.3780000000000001</v>
      </c>
    </row>
    <row r="51" spans="1:5" x14ac:dyDescent="0.45">
      <c r="A51" t="s">
        <v>36</v>
      </c>
      <c r="B51" s="20" t="s">
        <v>62</v>
      </c>
    </row>
    <row r="52" spans="1:5" x14ac:dyDescent="0.45">
      <c r="B52" t="s">
        <v>63</v>
      </c>
      <c r="E52" s="4">
        <v>62.075000000000003</v>
      </c>
    </row>
    <row r="53" spans="1:5" x14ac:dyDescent="0.45">
      <c r="B53" t="s">
        <v>64</v>
      </c>
      <c r="E53" s="4">
        <v>8.7639999999999993</v>
      </c>
    </row>
    <row r="54" spans="1:5" x14ac:dyDescent="0.45">
      <c r="B54" t="s">
        <v>65</v>
      </c>
      <c r="E54" s="4">
        <v>299.00299999999999</v>
      </c>
    </row>
    <row r="55" spans="1:5" x14ac:dyDescent="0.45">
      <c r="B55" t="s">
        <v>66</v>
      </c>
      <c r="E55" s="4">
        <v>7.6360000000000001</v>
      </c>
    </row>
    <row r="56" spans="1:5" x14ac:dyDescent="0.45">
      <c r="B56" t="s">
        <v>67</v>
      </c>
      <c r="E56" s="4">
        <v>165.982</v>
      </c>
    </row>
    <row r="57" spans="1:5" x14ac:dyDescent="0.45">
      <c r="B57" s="7" t="s">
        <v>69</v>
      </c>
      <c r="E57" s="43">
        <f>SUM(E52:E56)</f>
        <v>543.46</v>
      </c>
    </row>
    <row r="59" spans="1:5" x14ac:dyDescent="0.45">
      <c r="B59" t="s">
        <v>156</v>
      </c>
      <c r="E59" s="4">
        <v>95.826999999999998</v>
      </c>
    </row>
    <row r="60" spans="1:5" x14ac:dyDescent="0.45">
      <c r="B60" t="s">
        <v>157</v>
      </c>
      <c r="E60" s="4">
        <v>95.52</v>
      </c>
    </row>
    <row r="61" spans="1:5" x14ac:dyDescent="0.45">
      <c r="B61" t="s">
        <v>70</v>
      </c>
      <c r="E61" s="4">
        <v>38.039000000000001</v>
      </c>
    </row>
    <row r="62" spans="1:5" x14ac:dyDescent="0.45">
      <c r="B62" t="s">
        <v>83</v>
      </c>
      <c r="E62" s="4">
        <v>11.864000000000001</v>
      </c>
    </row>
    <row r="63" spans="1:5" x14ac:dyDescent="0.45">
      <c r="B63" t="s">
        <v>71</v>
      </c>
      <c r="E63" s="4">
        <v>466.61399999999998</v>
      </c>
    </row>
    <row r="64" spans="1:5" x14ac:dyDescent="0.45">
      <c r="B64" t="s">
        <v>72</v>
      </c>
      <c r="E64" s="4">
        <v>55.484000000000002</v>
      </c>
    </row>
    <row r="65" spans="2:5" x14ac:dyDescent="0.45">
      <c r="B65" s="7" t="s">
        <v>73</v>
      </c>
      <c r="E65" s="43">
        <f>SUM(E59:E64)+E57</f>
        <v>1306.808</v>
      </c>
    </row>
    <row r="67" spans="2:5" x14ac:dyDescent="0.45">
      <c r="B67" t="s">
        <v>74</v>
      </c>
      <c r="E67" s="4">
        <v>21.391999999999999</v>
      </c>
    </row>
    <row r="68" spans="2:5" x14ac:dyDescent="0.45">
      <c r="B68" t="s">
        <v>78</v>
      </c>
      <c r="E68" s="4">
        <v>168.28800000000001</v>
      </c>
    </row>
    <row r="69" spans="2:5" x14ac:dyDescent="0.45">
      <c r="B69" t="s">
        <v>79</v>
      </c>
      <c r="E69" s="4">
        <v>70.387</v>
      </c>
    </row>
    <row r="70" spans="2:5" x14ac:dyDescent="0.45">
      <c r="B70" t="s">
        <v>77</v>
      </c>
      <c r="E70" s="4">
        <v>112.527</v>
      </c>
    </row>
    <row r="71" spans="2:5" x14ac:dyDescent="0.45">
      <c r="B71" t="s">
        <v>76</v>
      </c>
      <c r="E71" s="4">
        <v>10.208</v>
      </c>
    </row>
    <row r="72" spans="2:5" x14ac:dyDescent="0.45">
      <c r="B72" t="s">
        <v>75</v>
      </c>
      <c r="E72" s="4">
        <v>29.51</v>
      </c>
    </row>
    <row r="73" spans="2:5" x14ac:dyDescent="0.45">
      <c r="B73" s="7" t="s">
        <v>80</v>
      </c>
      <c r="E73" s="43">
        <f>SUM(E67:E72)</f>
        <v>412.31200000000001</v>
      </c>
    </row>
    <row r="75" spans="2:5" x14ac:dyDescent="0.45">
      <c r="B75" t="s">
        <v>81</v>
      </c>
      <c r="E75" s="4">
        <v>501.25799999999998</v>
      </c>
    </row>
    <row r="76" spans="2:5" x14ac:dyDescent="0.45">
      <c r="B76" t="s">
        <v>82</v>
      </c>
      <c r="E76" s="4">
        <v>24.934999999999999</v>
      </c>
    </row>
    <row r="77" spans="2:5" x14ac:dyDescent="0.45">
      <c r="B77" t="s">
        <v>68</v>
      </c>
      <c r="E77" s="4">
        <v>5.431</v>
      </c>
    </row>
    <row r="78" spans="2:5" x14ac:dyDescent="0.45">
      <c r="B78" t="s">
        <v>84</v>
      </c>
      <c r="E78" s="4">
        <f>(1764+19742)/1000</f>
        <v>21.506</v>
      </c>
    </row>
    <row r="79" spans="2:5" x14ac:dyDescent="0.45">
      <c r="B79" s="7" t="s">
        <v>85</v>
      </c>
      <c r="E79" s="43">
        <f>SUM(E75:E78)+E73</f>
        <v>965.44200000000001</v>
      </c>
    </row>
    <row r="81" spans="2:5" x14ac:dyDescent="0.45">
      <c r="B81" t="s">
        <v>86</v>
      </c>
      <c r="E81" s="4">
        <v>80.863</v>
      </c>
    </row>
    <row r="82" spans="2:5" x14ac:dyDescent="0.45">
      <c r="B82" t="s">
        <v>87</v>
      </c>
      <c r="E82" s="4">
        <v>260.50299999999999</v>
      </c>
    </row>
    <row r="83" spans="2:5" x14ac:dyDescent="0.45">
      <c r="B83" s="7" t="s">
        <v>88</v>
      </c>
      <c r="E83" s="43">
        <f>SUM(E81:E82)</f>
        <v>341.36599999999999</v>
      </c>
    </row>
    <row r="85" spans="2:5" x14ac:dyDescent="0.45">
      <c r="B85" t="s">
        <v>89</v>
      </c>
      <c r="E85" t="b">
        <f>+E65=E79+E83</f>
        <v>1</v>
      </c>
    </row>
    <row r="87" spans="2:5" x14ac:dyDescent="0.45">
      <c r="B87" s="43" t="s">
        <v>210</v>
      </c>
      <c r="C87" s="43"/>
      <c r="D87" s="43"/>
      <c r="E87" s="43">
        <f>+SUM(E54:E55,E59)-SUM(E68:E69)</f>
        <v>163.791</v>
      </c>
    </row>
    <row r="88" spans="2:5" x14ac:dyDescent="0.45">
      <c r="B88" s="7" t="s">
        <v>211</v>
      </c>
      <c r="C88" s="7"/>
      <c r="D88" s="7"/>
      <c r="E88" s="7">
        <f>+E87+E56</f>
        <v>329.77300000000002</v>
      </c>
    </row>
    <row r="89" spans="2:5" x14ac:dyDescent="0.45">
      <c r="B89" s="7"/>
      <c r="C89" s="7"/>
      <c r="D89" s="7"/>
      <c r="E89" s="7"/>
    </row>
    <row r="90" spans="2:5" x14ac:dyDescent="0.45">
      <c r="B90" s="7" t="s">
        <v>93</v>
      </c>
      <c r="C90" s="7"/>
      <c r="D90" s="7"/>
      <c r="E90" s="7">
        <f>+E52</f>
        <v>62.075000000000003</v>
      </c>
    </row>
    <row r="91" spans="2:5" x14ac:dyDescent="0.45">
      <c r="B91" s="7" t="s">
        <v>94</v>
      </c>
      <c r="C91" s="7"/>
      <c r="D91" s="7"/>
      <c r="E91" s="7">
        <f>+E90+E53</f>
        <v>70.838999999999999</v>
      </c>
    </row>
    <row r="92" spans="2:5" x14ac:dyDescent="0.45">
      <c r="B92" s="7"/>
      <c r="C92" s="7"/>
      <c r="D92" s="7"/>
      <c r="E92" s="7"/>
    </row>
    <row r="93" spans="2:5" x14ac:dyDescent="0.45">
      <c r="B93" s="7" t="s">
        <v>95</v>
      </c>
      <c r="C93" s="7"/>
      <c r="D93" s="7"/>
      <c r="E93" s="7">
        <f>+E67+E72+E75+E70</f>
        <v>664.68700000000001</v>
      </c>
    </row>
    <row r="94" spans="2:5" x14ac:dyDescent="0.45">
      <c r="B94" s="7" t="s">
        <v>96</v>
      </c>
      <c r="C94" s="7"/>
      <c r="D94" s="7"/>
      <c r="E94" s="7">
        <f>+E93+E71+E76</f>
        <v>699.82999999999993</v>
      </c>
    </row>
    <row r="95" spans="2:5" x14ac:dyDescent="0.45">
      <c r="B95" s="7"/>
      <c r="C95" s="7"/>
      <c r="D95" s="7"/>
      <c r="E95" s="7"/>
    </row>
    <row r="96" spans="2:5" x14ac:dyDescent="0.45">
      <c r="B96" s="44" t="s">
        <v>97</v>
      </c>
      <c r="C96" s="44"/>
      <c r="D96" s="44"/>
      <c r="E96" s="44">
        <f>+E94-E90</f>
        <v>637.75499999999988</v>
      </c>
    </row>
    <row r="98" spans="1:5" x14ac:dyDescent="0.45">
      <c r="A98" t="s">
        <v>36</v>
      </c>
      <c r="B98" s="20" t="s">
        <v>121</v>
      </c>
    </row>
    <row r="99" spans="1:5" x14ac:dyDescent="0.45">
      <c r="B99" t="s">
        <v>124</v>
      </c>
      <c r="E99" s="4">
        <v>3.738</v>
      </c>
    </row>
    <row r="100" spans="1:5" x14ac:dyDescent="0.45">
      <c r="B100" t="s">
        <v>125</v>
      </c>
      <c r="E100" s="4">
        <v>2.7090000000000001</v>
      </c>
    </row>
    <row r="101" spans="1:5" x14ac:dyDescent="0.45">
      <c r="B101" t="s">
        <v>126</v>
      </c>
      <c r="E101" s="4">
        <v>3.5649999999999999</v>
      </c>
    </row>
    <row r="102" spans="1:5" x14ac:dyDescent="0.45">
      <c r="B102" t="s">
        <v>10</v>
      </c>
      <c r="E102" s="4">
        <v>2.3490000000000002</v>
      </c>
    </row>
    <row r="103" spans="1:5" x14ac:dyDescent="0.45">
      <c r="B103" t="s">
        <v>127</v>
      </c>
      <c r="E103" s="4">
        <v>3.4769999999999999</v>
      </c>
    </row>
    <row r="104" spans="1:5" x14ac:dyDescent="0.45">
      <c r="B104" t="s">
        <v>128</v>
      </c>
      <c r="E104" s="4">
        <v>24.321999999999999</v>
      </c>
    </row>
    <row r="105" spans="1:5" x14ac:dyDescent="0.45">
      <c r="B105" t="s">
        <v>11</v>
      </c>
      <c r="E105" s="4">
        <v>1.327</v>
      </c>
    </row>
    <row r="106" spans="1:5" x14ac:dyDescent="0.45">
      <c r="B106" t="s">
        <v>8</v>
      </c>
      <c r="E106" s="4">
        <v>-6.0339999999999998</v>
      </c>
    </row>
    <row r="107" spans="1:5" x14ac:dyDescent="0.45">
      <c r="B107" t="s">
        <v>129</v>
      </c>
      <c r="E107" s="4">
        <v>-3.0190000000000001</v>
      </c>
    </row>
    <row r="108" spans="1:5" x14ac:dyDescent="0.45">
      <c r="B108" t="s">
        <v>130</v>
      </c>
      <c r="E108" s="4">
        <v>-1.3029999999999999</v>
      </c>
    </row>
    <row r="109" spans="1:5" x14ac:dyDescent="0.45">
      <c r="B109" t="s">
        <v>131</v>
      </c>
      <c r="E109" s="4">
        <v>9.6479999999999997</v>
      </c>
    </row>
    <row r="110" spans="1:5" x14ac:dyDescent="0.45">
      <c r="B110" t="s">
        <v>132</v>
      </c>
      <c r="E110" s="4">
        <v>-1.5449999999999999</v>
      </c>
    </row>
    <row r="111" spans="1:5" x14ac:dyDescent="0.45">
      <c r="B111" t="s">
        <v>133</v>
      </c>
      <c r="E111" s="4">
        <v>0</v>
      </c>
    </row>
    <row r="112" spans="1:5" x14ac:dyDescent="0.45">
      <c r="B112" t="s">
        <v>134</v>
      </c>
      <c r="E112" s="4">
        <v>0</v>
      </c>
    </row>
    <row r="113" spans="1:5" x14ac:dyDescent="0.45">
      <c r="B113" t="s">
        <v>135</v>
      </c>
      <c r="E113" s="4">
        <v>0</v>
      </c>
    </row>
    <row r="114" spans="1:5" x14ac:dyDescent="0.45">
      <c r="B114" t="s">
        <v>136</v>
      </c>
      <c r="E114" s="4">
        <v>-5.2549999999999999</v>
      </c>
    </row>
    <row r="115" spans="1:5" x14ac:dyDescent="0.45">
      <c r="B115" t="s">
        <v>137</v>
      </c>
      <c r="E115" s="4">
        <v>-57.302999999999997</v>
      </c>
    </row>
    <row r="116" spans="1:5" x14ac:dyDescent="0.45">
      <c r="A116" s="7"/>
      <c r="B116" s="43" t="s">
        <v>138</v>
      </c>
      <c r="C116" s="43"/>
      <c r="D116" s="43"/>
      <c r="E116" s="43">
        <f>SUM(E99:E115)</f>
        <v>-23.324000000000005</v>
      </c>
    </row>
    <row r="118" spans="1:5" x14ac:dyDescent="0.45">
      <c r="B118" t="s">
        <v>191</v>
      </c>
      <c r="E118" s="4">
        <v>-0.24</v>
      </c>
    </row>
    <row r="119" spans="1:5" x14ac:dyDescent="0.45">
      <c r="B119" t="s">
        <v>192</v>
      </c>
      <c r="E119" s="4">
        <v>0</v>
      </c>
    </row>
    <row r="120" spans="1:5" x14ac:dyDescent="0.45">
      <c r="B120" t="s">
        <v>193</v>
      </c>
      <c r="E120" s="4">
        <v>-1.696</v>
      </c>
    </row>
    <row r="121" spans="1:5" x14ac:dyDescent="0.45">
      <c r="B121" s="43" t="s">
        <v>195</v>
      </c>
      <c r="C121" s="43"/>
      <c r="D121" s="43"/>
      <c r="E121" s="43">
        <f>SUM(E118:E120)</f>
        <v>-1.9359999999999999</v>
      </c>
    </row>
    <row r="123" spans="1:5" x14ac:dyDescent="0.45">
      <c r="B123" t="s">
        <v>181</v>
      </c>
      <c r="E123" s="4">
        <v>1.7999999999999999E-2</v>
      </c>
    </row>
    <row r="124" spans="1:5" x14ac:dyDescent="0.45">
      <c r="B124" t="s">
        <v>182</v>
      </c>
      <c r="E124" s="4">
        <v>0</v>
      </c>
    </row>
    <row r="125" spans="1:5" x14ac:dyDescent="0.45">
      <c r="B125" t="s">
        <v>183</v>
      </c>
      <c r="E125" s="4">
        <v>-4.4999999999999998E-2</v>
      </c>
    </row>
    <row r="126" spans="1:5" x14ac:dyDescent="0.45">
      <c r="B126" t="s">
        <v>184</v>
      </c>
      <c r="E126" s="4">
        <v>-2.3780000000000001</v>
      </c>
    </row>
    <row r="127" spans="1:5" x14ac:dyDescent="0.45">
      <c r="B127" t="s">
        <v>185</v>
      </c>
      <c r="E127" s="4">
        <v>12.305</v>
      </c>
    </row>
    <row r="128" spans="1:5" x14ac:dyDescent="0.45">
      <c r="B128" t="s">
        <v>186</v>
      </c>
      <c r="E128" s="4">
        <v>-0.97699999999999998</v>
      </c>
    </row>
    <row r="129" spans="1:5" x14ac:dyDescent="0.45">
      <c r="B129" t="s">
        <v>187</v>
      </c>
      <c r="E129" s="4">
        <v>-9.09</v>
      </c>
    </row>
    <row r="130" spans="1:5" x14ac:dyDescent="0.45">
      <c r="B130" t="s">
        <v>188</v>
      </c>
      <c r="E130" s="4">
        <v>-5.8000000000000003E-2</v>
      </c>
    </row>
    <row r="131" spans="1:5" x14ac:dyDescent="0.45">
      <c r="B131" t="s">
        <v>189</v>
      </c>
      <c r="E131" s="4">
        <v>-2.331</v>
      </c>
    </row>
    <row r="132" spans="1:5" x14ac:dyDescent="0.45">
      <c r="B132" t="s">
        <v>190</v>
      </c>
      <c r="E132" s="4">
        <v>28.292000000000002</v>
      </c>
    </row>
    <row r="133" spans="1:5" x14ac:dyDescent="0.45">
      <c r="A133" s="7"/>
      <c r="B133" s="43" t="s">
        <v>194</v>
      </c>
      <c r="C133" s="43"/>
      <c r="D133" s="43"/>
      <c r="E133" s="43">
        <f>SUM(E123:E132)</f>
        <v>25.736000000000001</v>
      </c>
    </row>
    <row r="135" spans="1:5" x14ac:dyDescent="0.45">
      <c r="B135" t="s">
        <v>196</v>
      </c>
      <c r="E135" s="4">
        <v>1.629</v>
      </c>
    </row>
    <row r="137" spans="1:5" x14ac:dyDescent="0.45">
      <c r="B137" t="s">
        <v>197</v>
      </c>
      <c r="E137">
        <f>+E135+E133+E121+E116</f>
        <v>2.1049999999999969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A307-8595-47AE-B57B-0AFFC3C4E5C7}">
  <sheetPr>
    <tabColor theme="3" tint="0.79998168889431442"/>
  </sheetPr>
  <dimension ref="A1:J34"/>
  <sheetViews>
    <sheetView showGridLines="0" zoomScale="85" zoomScaleNormal="85" workbookViewId="0">
      <selection activeCell="H43" sqref="H43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10" x14ac:dyDescent="0.45">
      <c r="A1" s="1" t="s">
        <v>0</v>
      </c>
    </row>
    <row r="2" spans="1:10" x14ac:dyDescent="0.45">
      <c r="A2" s="1" t="s">
        <v>3</v>
      </c>
    </row>
    <row r="4" spans="1:10" x14ac:dyDescent="0.45">
      <c r="E4" s="8" t="s">
        <v>271</v>
      </c>
      <c r="F4" s="8" t="s">
        <v>272</v>
      </c>
      <c r="G4" s="8" t="s">
        <v>315</v>
      </c>
      <c r="H4" s="8" t="s">
        <v>316</v>
      </c>
      <c r="I4" s="8" t="s">
        <v>317</v>
      </c>
      <c r="J4" s="8" t="s">
        <v>318</v>
      </c>
    </row>
    <row r="5" spans="1:10" x14ac:dyDescent="0.45">
      <c r="F5" s="8"/>
    </row>
    <row r="6" spans="1:10" x14ac:dyDescent="0.45">
      <c r="A6" t="s">
        <v>36</v>
      </c>
      <c r="B6" s="20" t="s">
        <v>293</v>
      </c>
    </row>
    <row r="7" spans="1:10" x14ac:dyDescent="0.45">
      <c r="B7" t="s">
        <v>1</v>
      </c>
      <c r="E7" s="83" t="s">
        <v>298</v>
      </c>
      <c r="F7" s="83" t="s">
        <v>294</v>
      </c>
    </row>
    <row r="8" spans="1:10" x14ac:dyDescent="0.45">
      <c r="B8" t="s">
        <v>295</v>
      </c>
      <c r="E8" s="4">
        <v>490</v>
      </c>
      <c r="F8" s="4">
        <v>550</v>
      </c>
    </row>
    <row r="10" spans="1:10" x14ac:dyDescent="0.45">
      <c r="B10" t="s">
        <v>301</v>
      </c>
      <c r="E10" s="83" t="s">
        <v>297</v>
      </c>
      <c r="F10" s="83" t="s">
        <v>296</v>
      </c>
    </row>
    <row r="11" spans="1:10" x14ac:dyDescent="0.45">
      <c r="B11" t="s">
        <v>295</v>
      </c>
      <c r="E11" s="4">
        <v>90</v>
      </c>
      <c r="F11" s="4">
        <v>100</v>
      </c>
    </row>
    <row r="13" spans="1:10" x14ac:dyDescent="0.45">
      <c r="A13" t="s">
        <v>36</v>
      </c>
      <c r="B13" s="20" t="s">
        <v>273</v>
      </c>
    </row>
    <row r="14" spans="1:10" x14ac:dyDescent="0.45">
      <c r="B14" s="14" t="s">
        <v>305</v>
      </c>
      <c r="E14" s="4">
        <v>498.75</v>
      </c>
      <c r="F14" s="4">
        <v>545.95600000000002</v>
      </c>
      <c r="G14" s="4">
        <v>600.16999999999996</v>
      </c>
      <c r="H14" s="4"/>
      <c r="I14" s="4"/>
      <c r="J14" s="4"/>
    </row>
    <row r="15" spans="1:10" x14ac:dyDescent="0.45">
      <c r="B15" s="14" t="s">
        <v>306</v>
      </c>
      <c r="E15" s="4">
        <v>503.4</v>
      </c>
      <c r="F15" s="4">
        <v>543</v>
      </c>
      <c r="G15" s="4">
        <v>599</v>
      </c>
      <c r="H15" s="4">
        <v>640.20000000000005</v>
      </c>
      <c r="I15" s="4"/>
      <c r="J15" s="4"/>
    </row>
    <row r="16" spans="1:10" x14ac:dyDescent="0.45">
      <c r="B16" s="14" t="s">
        <v>307</v>
      </c>
      <c r="E16" s="4">
        <v>505.6</v>
      </c>
      <c r="F16" s="4">
        <v>550.79999999999995</v>
      </c>
      <c r="G16" s="4">
        <v>605.70000000000005</v>
      </c>
      <c r="H16" s="4">
        <v>640</v>
      </c>
      <c r="I16" s="4"/>
      <c r="J16" s="4"/>
    </row>
    <row r="17" spans="1:10" x14ac:dyDescent="0.45">
      <c r="B17" s="14" t="s">
        <v>310</v>
      </c>
      <c r="E17" s="4">
        <v>497</v>
      </c>
      <c r="F17" s="4">
        <v>538</v>
      </c>
      <c r="G17" s="4">
        <v>570</v>
      </c>
      <c r="H17" s="4"/>
      <c r="I17" s="4"/>
      <c r="J17" s="4"/>
    </row>
    <row r="18" spans="1:10" x14ac:dyDescent="0.45">
      <c r="B18" s="14" t="s">
        <v>311</v>
      </c>
      <c r="E18" s="4">
        <v>509.9</v>
      </c>
      <c r="F18" s="4">
        <v>537.20000000000005</v>
      </c>
      <c r="G18" s="4">
        <v>593.4</v>
      </c>
      <c r="H18" s="4"/>
      <c r="I18" s="4"/>
      <c r="J18" s="4"/>
    </row>
    <row r="19" spans="1:10" x14ac:dyDescent="0.45">
      <c r="B19" s="14" t="s">
        <v>312</v>
      </c>
      <c r="E19" s="4">
        <v>500.1</v>
      </c>
      <c r="F19" s="4">
        <v>530.29999999999995</v>
      </c>
      <c r="G19" s="4">
        <v>576.1</v>
      </c>
      <c r="H19" s="4"/>
      <c r="I19" s="4"/>
      <c r="J19" s="4"/>
    </row>
    <row r="20" spans="1:10" x14ac:dyDescent="0.45">
      <c r="B20" s="43" t="s">
        <v>308</v>
      </c>
      <c r="C20" s="43"/>
      <c r="D20" s="43"/>
      <c r="E20" s="43">
        <f>+AVERAGE(E14:E19)</f>
        <v>502.45833333333331</v>
      </c>
      <c r="F20" s="43">
        <f>+AVERAGE(F14:F19)</f>
        <v>540.87600000000009</v>
      </c>
      <c r="G20" s="43">
        <f>+AVERAGE(G14:G19)</f>
        <v>590.72833333333335</v>
      </c>
      <c r="H20" s="43">
        <f>+AVERAGE(H14:H19)</f>
        <v>640.1</v>
      </c>
      <c r="I20" s="43"/>
      <c r="J20" s="43"/>
    </row>
    <row r="21" spans="1:10" x14ac:dyDescent="0.45">
      <c r="B21" s="7" t="s">
        <v>309</v>
      </c>
      <c r="C21" s="7"/>
      <c r="D21" s="7"/>
      <c r="E21" s="7">
        <f>+MEDIAN(E14:E19)</f>
        <v>501.75</v>
      </c>
      <c r="F21" s="7">
        <f>+MEDIAN(F14:F19)</f>
        <v>540.5</v>
      </c>
      <c r="G21" s="7">
        <f>+MEDIAN(G14:G19)</f>
        <v>596.20000000000005</v>
      </c>
      <c r="H21" s="7">
        <f>+MEDIAN(H14:H19)</f>
        <v>640.1</v>
      </c>
      <c r="I21" s="7"/>
      <c r="J21" s="7"/>
    </row>
    <row r="22" spans="1:10" x14ac:dyDescent="0.45"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45">
      <c r="B23" s="14" t="s">
        <v>305</v>
      </c>
      <c r="E23" s="4">
        <v>88.26</v>
      </c>
      <c r="F23" s="4">
        <v>100.18</v>
      </c>
      <c r="G23" s="4">
        <v>113.15</v>
      </c>
      <c r="H23" s="4"/>
      <c r="I23" s="4"/>
      <c r="J23" s="4"/>
    </row>
    <row r="24" spans="1:10" x14ac:dyDescent="0.45">
      <c r="B24" s="14" t="s">
        <v>306</v>
      </c>
      <c r="E24" s="4">
        <v>92.8</v>
      </c>
      <c r="F24" s="4">
        <v>93</v>
      </c>
      <c r="G24" s="4">
        <v>112</v>
      </c>
      <c r="H24" s="4">
        <v>123</v>
      </c>
      <c r="I24" s="4"/>
      <c r="J24" s="4"/>
    </row>
    <row r="25" spans="1:10" x14ac:dyDescent="0.45">
      <c r="B25" s="14" t="s">
        <v>307</v>
      </c>
      <c r="E25" s="4">
        <v>92.6</v>
      </c>
      <c r="F25" s="4">
        <v>99.7</v>
      </c>
      <c r="G25" s="4">
        <v>113.7</v>
      </c>
      <c r="H25" s="4"/>
      <c r="I25" s="4"/>
      <c r="J25" s="4"/>
    </row>
    <row r="26" spans="1:10" x14ac:dyDescent="0.45">
      <c r="B26" s="14" t="s">
        <v>310</v>
      </c>
      <c r="E26" s="4">
        <v>93</v>
      </c>
      <c r="F26" s="4">
        <v>95</v>
      </c>
      <c r="G26" s="4">
        <v>102</v>
      </c>
      <c r="H26" s="4"/>
      <c r="I26" s="4"/>
      <c r="J26" s="4"/>
    </row>
    <row r="27" spans="1:10" x14ac:dyDescent="0.45">
      <c r="B27" s="14" t="s">
        <v>311</v>
      </c>
      <c r="E27" s="4">
        <v>94.2</v>
      </c>
      <c r="F27" s="4">
        <v>100.2</v>
      </c>
      <c r="G27" s="4">
        <v>114.9</v>
      </c>
      <c r="H27" s="4"/>
      <c r="I27" s="4"/>
      <c r="J27" s="4"/>
    </row>
    <row r="28" spans="1:10" x14ac:dyDescent="0.45">
      <c r="B28" s="14" t="s">
        <v>312</v>
      </c>
      <c r="E28" s="4">
        <v>91.82</v>
      </c>
      <c r="F28" s="4">
        <v>99.1</v>
      </c>
      <c r="G28" s="4">
        <v>108.8</v>
      </c>
      <c r="H28" s="4"/>
      <c r="I28" s="4"/>
      <c r="J28" s="4"/>
    </row>
    <row r="29" spans="1:10" x14ac:dyDescent="0.45">
      <c r="B29" s="43" t="s">
        <v>313</v>
      </c>
      <c r="C29" s="43"/>
      <c r="D29" s="43"/>
      <c r="E29" s="43">
        <f>+AVERAGE(E23:E28)</f>
        <v>92.11333333333333</v>
      </c>
      <c r="F29" s="43">
        <f>+AVERAGE(F23:F28)</f>
        <v>97.86333333333333</v>
      </c>
      <c r="G29" s="43">
        <f>+AVERAGE(G23:G28)</f>
        <v>110.75833333333333</v>
      </c>
      <c r="H29" s="43">
        <f>+AVERAGE(H23:H28)</f>
        <v>123</v>
      </c>
      <c r="I29" s="43"/>
      <c r="J29" s="43"/>
    </row>
    <row r="30" spans="1:10" x14ac:dyDescent="0.45">
      <c r="B30" s="7" t="s">
        <v>314</v>
      </c>
      <c r="C30" s="7"/>
      <c r="D30" s="7"/>
      <c r="E30" s="7">
        <f>+MEDIAN(E23:E28)</f>
        <v>92.699999999999989</v>
      </c>
      <c r="F30" s="7">
        <f>+MEDIAN(F23:F28)</f>
        <v>99.4</v>
      </c>
      <c r="G30" s="7">
        <f>+MEDIAN(G23:G28)</f>
        <v>112.575</v>
      </c>
      <c r="H30" s="7">
        <f>+MEDIAN(H23:H28)</f>
        <v>123</v>
      </c>
      <c r="I30" s="7"/>
      <c r="J30" s="7"/>
    </row>
    <row r="32" spans="1:10" x14ac:dyDescent="0.45">
      <c r="A32" t="s">
        <v>36</v>
      </c>
      <c r="B32" s="20" t="s">
        <v>299</v>
      </c>
    </row>
    <row r="33" spans="2:10" x14ac:dyDescent="0.45">
      <c r="B33" t="s">
        <v>1</v>
      </c>
      <c r="E33" s="29">
        <f>+'P&amp;L'!I6</f>
        <v>507.22300000000001</v>
      </c>
      <c r="F33" s="29">
        <f>+'P&amp;L'!J6</f>
        <v>526.48777999999993</v>
      </c>
      <c r="G33" s="29">
        <f>+'P&amp;L'!K6</f>
        <v>583.43795878000003</v>
      </c>
      <c r="H33" s="29">
        <f>+'P&amp;L'!L6</f>
        <v>653.37541562150011</v>
      </c>
      <c r="I33" s="29">
        <f>+'P&amp;L'!M6</f>
        <v>706.85888657798569</v>
      </c>
      <c r="J33" s="29">
        <f>+'P&amp;L'!N6</f>
        <v>751.51717290375245</v>
      </c>
    </row>
    <row r="34" spans="2:10" x14ac:dyDescent="0.45">
      <c r="B34" t="s">
        <v>301</v>
      </c>
      <c r="E34" s="29">
        <f>+'P&amp;L'!I62</f>
        <v>88.750000000000071</v>
      </c>
      <c r="F34" s="29">
        <f ca="1">+'P&amp;L'!J62</f>
        <v>97.026284070068314</v>
      </c>
      <c r="G34" s="29">
        <f ca="1">+'P&amp;L'!K62</f>
        <v>115.5416329471396</v>
      </c>
      <c r="H34" s="29">
        <f ca="1">+'P&amp;L'!L62</f>
        <v>129.83071058505064</v>
      </c>
      <c r="I34" s="29">
        <f ca="1">+'P&amp;L'!M62</f>
        <v>140.95326041353837</v>
      </c>
      <c r="J34" s="29">
        <f ca="1">+'P&amp;L'!N62</f>
        <v>149.83772781128476</v>
      </c>
    </row>
  </sheetData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26E05D194CB74FAF62182F98796E9B" ma:contentTypeVersion="8" ma:contentTypeDescription="Create a new document." ma:contentTypeScope="" ma:versionID="a799df334af69875562b5eea6c10c5ce">
  <xsd:schema xmlns:xsd="http://www.w3.org/2001/XMLSchema" xmlns:xs="http://www.w3.org/2001/XMLSchema" xmlns:p="http://schemas.microsoft.com/office/2006/metadata/properties" xmlns:ns2="0f37718b-b8af-4055-9598-f6a56c289e6c" targetNamespace="http://schemas.microsoft.com/office/2006/metadata/properties" ma:root="true" ma:fieldsID="035f89eee7ab82f64148e84eaeabc256" ns2:_="">
    <xsd:import namespace="0f37718b-b8af-4055-9598-f6a56c289e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7718b-b8af-4055-9598-f6a56c289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1EC2A7-3212-4587-9E02-1BE20658DE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A6BD54-DEF1-4E32-B84E-9AB7C1071B8B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0f37718b-b8af-4055-9598-f6a56c289e6c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29F8F087-0FAD-4A99-ABED-5BE03707B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7718b-b8af-4055-9598-f6a56c289e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Output</vt:lpstr>
      <vt:lpstr>Summary</vt:lpstr>
      <vt:lpstr>P&amp;L</vt:lpstr>
      <vt:lpstr>BS &amp; CFS</vt:lpstr>
      <vt:lpstr>RevBuild Calcs</vt:lpstr>
      <vt:lpstr>FS Calcs</vt:lpstr>
      <vt:lpstr>Debt Calcs</vt:lpstr>
      <vt:lpstr>Quarterly</vt:lpstr>
      <vt:lpstr>Reference</vt:lpstr>
      <vt:lpstr>'P&amp;L'!_MailAutoSig</vt:lpstr>
      <vt:lpstr>Case</vt:lpstr>
      <vt:lpstr>Circ</vt:lpstr>
      <vt:lpstr>'BS &amp; CFS'!Print_Area</vt:lpstr>
      <vt:lpstr>'P&amp;L'!Print_Area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cp:lastPrinted>2023-02-02T17:08:32Z</cp:lastPrinted>
  <dcterms:created xsi:type="dcterms:W3CDTF">2009-10-20T07:07:16Z</dcterms:created>
  <dcterms:modified xsi:type="dcterms:W3CDTF">2026-01-11T23:38:35Z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0x0101001126E05D194CB74FAF62182F98796E9B</vt:lpwstr>
  </property>
  <property fmtid="{D5CDD505-2E9C-101B-9397-08002B2CF9AE}" pid="3" name="{A44787D4-0540-4523-9961-78E4036D8C6D}">
    <vt:lpwstr>{D333C850-2F42-4D28-8CB0-9737FB8D2860}</vt:lpwstr>
  </property>
</Properties>
</file>