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s\OneDrive - EMK Capital LLP\Documents\02. EMK &amp; General\Modelling test\"/>
    </mc:Choice>
  </mc:AlternateContent>
  <xr:revisionPtr revIDLastSave="0" documentId="13_ncr:1_{9B01C393-EA9A-4D7A-A9A4-FC504568B5F3}" xr6:coauthVersionLast="46" xr6:coauthVersionMax="47" xr10:uidLastSave="{00000000-0000-0000-0000-000000000000}"/>
  <bookViews>
    <workbookView xWindow="-120" yWindow="-120" windowWidth="29040" windowHeight="15840" xr2:uid="{F5A3AB46-F18D-4A9E-9E3E-5870CB67E543}"/>
  </bookViews>
  <sheets>
    <sheet name="Data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6" i="2" l="1"/>
  <c r="E46" i="2"/>
  <c r="D46" i="2"/>
  <c r="F36" i="2"/>
  <c r="E36" i="2"/>
  <c r="D36" i="2"/>
  <c r="F42" i="2"/>
  <c r="E42" i="2"/>
  <c r="D42" i="2"/>
  <c r="C42" i="2"/>
  <c r="F38" i="2"/>
  <c r="E38" i="2"/>
  <c r="D38" i="2"/>
  <c r="F37" i="2"/>
  <c r="E37" i="2"/>
  <c r="D37" i="2"/>
  <c r="F43" i="2"/>
  <c r="E43" i="2"/>
  <c r="D43" i="2"/>
  <c r="C43" i="2"/>
  <c r="F41" i="2"/>
  <c r="E41" i="2"/>
  <c r="D41" i="2"/>
  <c r="C41" i="2"/>
  <c r="F35" i="2"/>
  <c r="E35" i="2"/>
  <c r="D35" i="2"/>
</calcChain>
</file>

<file path=xl/sharedStrings.xml><?xml version="1.0" encoding="utf-8"?>
<sst xmlns="http://schemas.openxmlformats.org/spreadsheetml/2006/main" count="78" uniqueCount="60">
  <si>
    <t>Total Output</t>
  </si>
  <si>
    <t>(€m)</t>
  </si>
  <si>
    <t>2017A</t>
  </si>
  <si>
    <t>2018A</t>
  </si>
  <si>
    <t>2019A</t>
  </si>
  <si>
    <t>2020E</t>
  </si>
  <si>
    <t>AMS Europe</t>
  </si>
  <si>
    <t>ECS Europe</t>
  </si>
  <si>
    <t>Summary P&amp;L</t>
  </si>
  <si>
    <t>Americas &amp; Asia</t>
  </si>
  <si>
    <t>Others</t>
  </si>
  <si>
    <t>Gross profit</t>
  </si>
  <si>
    <t>Personnel expenses</t>
  </si>
  <si>
    <t>Other operating expenses</t>
  </si>
  <si>
    <t>Other operating income</t>
  </si>
  <si>
    <t>D&amp;A</t>
  </si>
  <si>
    <t>(€m, FYE 31-Dec)</t>
  </si>
  <si>
    <t>Total Gross Profit</t>
  </si>
  <si>
    <t>n.a.</t>
  </si>
  <si>
    <t>Capex</t>
  </si>
  <si>
    <t>Other items:</t>
  </si>
  <si>
    <t>Financial assets</t>
  </si>
  <si>
    <t>Inventories</t>
  </si>
  <si>
    <t>Trade receivables</t>
  </si>
  <si>
    <t>Deferred tax assets</t>
  </si>
  <si>
    <t>Other assets</t>
  </si>
  <si>
    <t>Other financial liabilities</t>
  </si>
  <si>
    <t>Trade payables</t>
  </si>
  <si>
    <t>Deferred tax liabilities</t>
  </si>
  <si>
    <t>Accruals short term (tax and other provisions)</t>
  </si>
  <si>
    <t>Income tax liabilities</t>
  </si>
  <si>
    <t>Summary Balance sheet</t>
  </si>
  <si>
    <t>Intangible assets</t>
  </si>
  <si>
    <t>Cash</t>
  </si>
  <si>
    <t>Bank debt</t>
  </si>
  <si>
    <t>Shareholder loans</t>
  </si>
  <si>
    <t>Output</t>
  </si>
  <si>
    <t>Overheads and Other</t>
  </si>
  <si>
    <t>Total Overheads and Other</t>
  </si>
  <si>
    <t>Assets</t>
  </si>
  <si>
    <t>Liabilities</t>
  </si>
  <si>
    <t>Net assets</t>
  </si>
  <si>
    <t>Factoring (fees and interest)</t>
  </si>
  <si>
    <t>EBITDA</t>
  </si>
  <si>
    <t>GAAP</t>
  </si>
  <si>
    <t>IFRS</t>
  </si>
  <si>
    <t>IFRS 16 leasing liabilities</t>
  </si>
  <si>
    <t>Due diligence findings:</t>
  </si>
  <si>
    <r>
      <t>Tangible assets</t>
    </r>
    <r>
      <rPr>
        <vertAlign val="superscript"/>
        <sz val="8"/>
        <rFont val="Arial"/>
        <family val="2"/>
      </rPr>
      <t>(1)</t>
    </r>
  </si>
  <si>
    <t>Financial lease costs (IAS 17)</t>
  </si>
  <si>
    <t>IFRS-16 leasing costs</t>
  </si>
  <si>
    <t>Financial lease liabilties (IAS 17)</t>
  </si>
  <si>
    <r>
      <t>Provisions</t>
    </r>
    <r>
      <rPr>
        <vertAlign val="superscript"/>
        <sz val="8"/>
        <rFont val="Arial"/>
        <family val="2"/>
      </rPr>
      <t>(3)</t>
    </r>
  </si>
  <si>
    <r>
      <t>Factor receivables</t>
    </r>
    <r>
      <rPr>
        <vertAlign val="superscript"/>
        <sz val="8"/>
        <rFont val="Arial"/>
        <family val="2"/>
      </rPr>
      <t>(2)</t>
    </r>
  </si>
  <si>
    <t>(1) Tangible asset base underinvested. DD estimated a capex underinvestment of c.€1.75m.</t>
  </si>
  <si>
    <t>(3) FY20E includes a management transaction bonus of €4.5m.</t>
  </si>
  <si>
    <t>% Growth</t>
  </si>
  <si>
    <t>% of Total Output</t>
  </si>
  <si>
    <t>Total</t>
  </si>
  <si>
    <t>(2) Non-recourse factoring of 50% of annual receivables. Terms include 80% cash upfront with 10% all-in interest cost (incl. discount and fees)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</si>
</sst>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"/>
    <numFmt numFmtId="167" formatCode="#,##0.0;\(#,##0.0\)"/>
    <numFmt numFmtId="168" formatCode="#,##0.0000000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i/>
      <u/>
      <sz val="8"/>
      <color theme="1"/>
      <name val="Arial"/>
      <family val="2"/>
    </font>
    <font>
      <b/>
      <sz val="8"/>
      <name val="Arial"/>
      <family val="2"/>
    </font>
    <font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3" fillId="0" borderId="0" xfId="0" applyFont="1"/>
    <xf numFmtId="164" fontId="3" fillId="0" borderId="0" xfId="0" applyNumberFormat="1" applyFont="1"/>
    <xf numFmtId="164" fontId="5" fillId="0" borderId="0" xfId="2" applyNumberFormat="1" applyFont="1" applyFill="1" applyBorder="1"/>
    <xf numFmtId="166" fontId="5" fillId="0" borderId="0" xfId="2" applyNumberFormat="1" applyFont="1" applyFill="1" applyBorder="1"/>
    <xf numFmtId="0" fontId="5" fillId="0" borderId="0" xfId="2" applyFont="1" applyFill="1" applyBorder="1"/>
    <xf numFmtId="0" fontId="3" fillId="0" borderId="0" xfId="0" applyFont="1" applyBorder="1"/>
    <xf numFmtId="0" fontId="4" fillId="0" borderId="0" xfId="2" applyFont="1" applyFill="1" applyBorder="1"/>
    <xf numFmtId="0" fontId="5" fillId="0" borderId="0" xfId="2" applyFont="1" applyFill="1" applyBorder="1" applyAlignment="1">
      <alignment horizontal="left" indent="1"/>
    </xf>
    <xf numFmtId="0" fontId="5" fillId="0" borderId="0" xfId="0" applyFont="1" applyFill="1" applyBorder="1"/>
    <xf numFmtId="164" fontId="3" fillId="0" borderId="0" xfId="0" applyNumberFormat="1" applyFont="1" applyBorder="1"/>
    <xf numFmtId="164" fontId="5" fillId="0" borderId="0" xfId="2" applyNumberFormat="1" applyFont="1" applyFill="1" applyBorder="1" applyAlignment="1">
      <alignment horizontal="right"/>
    </xf>
    <xf numFmtId="167" fontId="5" fillId="0" borderId="0" xfId="3" applyNumberFormat="1" applyFont="1" applyFill="1" applyBorder="1" applyAlignment="1">
      <alignment vertical="center"/>
    </xf>
    <xf numFmtId="168" fontId="3" fillId="0" borderId="0" xfId="0" applyNumberFormat="1" applyFont="1" applyBorder="1"/>
    <xf numFmtId="167" fontId="5" fillId="0" borderId="0" xfId="0" applyNumberFormat="1" applyFont="1" applyFill="1" applyBorder="1"/>
    <xf numFmtId="164" fontId="5" fillId="0" borderId="0" xfId="0" applyNumberFormat="1" applyFont="1" applyFill="1" applyBorder="1"/>
    <xf numFmtId="0" fontId="5" fillId="0" borderId="0" xfId="2" applyFont="1" applyFill="1" applyBorder="1" applyAlignment="1">
      <alignment horizontal="right"/>
    </xf>
    <xf numFmtId="0" fontId="5" fillId="0" borderId="0" xfId="2" applyFont="1" applyFill="1" applyBorder="1" applyAlignment="1">
      <alignment horizontal="left"/>
    </xf>
    <xf numFmtId="17" fontId="5" fillId="0" borderId="0" xfId="2" applyNumberFormat="1" applyFont="1" applyFill="1" applyBorder="1" applyAlignment="1">
      <alignment horizontal="right"/>
    </xf>
    <xf numFmtId="0" fontId="5" fillId="2" borderId="0" xfId="2" applyFont="1" applyFill="1" applyBorder="1"/>
    <xf numFmtId="0" fontId="5" fillId="0" borderId="0" xfId="2" applyFont="1" applyFill="1" applyBorder="1" applyAlignment="1"/>
    <xf numFmtId="0" fontId="5" fillId="0" borderId="0" xfId="0" quotePrefix="1" applyFont="1" applyFill="1" applyBorder="1"/>
    <xf numFmtId="0" fontId="3" fillId="0" borderId="0" xfId="0" quotePrefix="1" applyFont="1"/>
    <xf numFmtId="0" fontId="8" fillId="0" borderId="0" xfId="0" applyFont="1"/>
    <xf numFmtId="9" fontId="5" fillId="0" borderId="0" xfId="1" applyFont="1" applyFill="1" applyBorder="1"/>
    <xf numFmtId="165" fontId="3" fillId="0" borderId="0" xfId="1" applyNumberFormat="1" applyFont="1" applyAlignment="1">
      <alignment horizontal="right"/>
    </xf>
    <xf numFmtId="165" fontId="5" fillId="0" borderId="0" xfId="1" applyNumberFormat="1" applyFont="1" applyFill="1" applyBorder="1"/>
    <xf numFmtId="165" fontId="3" fillId="0" borderId="0" xfId="1" applyNumberFormat="1" applyFont="1"/>
    <xf numFmtId="0" fontId="10" fillId="0" borderId="0" xfId="2" applyFont="1" applyFill="1" applyBorder="1"/>
    <xf numFmtId="0" fontId="10" fillId="0" borderId="0" xfId="0" applyFont="1" applyFill="1" applyBorder="1"/>
    <xf numFmtId="0" fontId="9" fillId="0" borderId="0" xfId="2" applyFont="1" applyFill="1" applyBorder="1" applyAlignment="1">
      <alignment horizontal="right"/>
    </xf>
    <xf numFmtId="0" fontId="9" fillId="2" borderId="0" xfId="2" applyFont="1" applyFill="1" applyBorder="1"/>
    <xf numFmtId="0" fontId="10" fillId="0" borderId="0" xfId="2" applyFont="1" applyFill="1" applyBorder="1" applyAlignment="1">
      <alignment horizontal="left"/>
    </xf>
    <xf numFmtId="17" fontId="9" fillId="0" borderId="0" xfId="2" applyNumberFormat="1" applyFont="1" applyFill="1" applyBorder="1" applyAlignment="1">
      <alignment horizontal="right"/>
    </xf>
    <xf numFmtId="166" fontId="5" fillId="0" borderId="0" xfId="0" applyNumberFormat="1" applyFont="1" applyFill="1" applyBorder="1"/>
  </cellXfs>
  <cellStyles count="6">
    <cellStyle name="Normal" xfId="0" builtinId="0"/>
    <cellStyle name="Normal 12 4 2 2 3" xfId="2" xr:uid="{21EDAAD2-3F5A-4714-8226-CD6E6D70812D}"/>
    <cellStyle name="Normal 9" xfId="3" xr:uid="{36E43B1C-29A9-4533-8AAF-C5865E13A9FE}"/>
    <cellStyle name="Normal 9 2" xfId="5" xr:uid="{F80B27AC-8F6B-49FE-99C5-2D6EA248D302}"/>
    <cellStyle name="Percent" xfId="1" builtinId="5"/>
    <cellStyle name="Percent 2" xfId="4" xr:uid="{BDEB10D1-568C-4BF4-8336-F86230A9B9C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B1DB-739A-4356-8191-1DE30A29EDD9}">
  <dimension ref="B2:G84"/>
  <sheetViews>
    <sheetView showGridLines="0" tabSelected="1" zoomScale="115" zoomScaleNormal="115" workbookViewId="0"/>
  </sheetViews>
  <sheetFormatPr defaultColWidth="9.28515625" defaultRowHeight="11.25" x14ac:dyDescent="0.2"/>
  <cols>
    <col min="1" max="1" width="9.28515625" style="1" bestFit="1" customWidth="1"/>
    <col min="2" max="2" width="39.28515625" style="1" customWidth="1"/>
    <col min="3" max="6" width="9.5703125" style="1" customWidth="1"/>
    <col min="7" max="7" width="14.42578125" style="1" bestFit="1" customWidth="1"/>
    <col min="8" max="16384" width="9.28515625" style="1"/>
  </cols>
  <sheetData>
    <row r="2" spans="2:7" x14ac:dyDescent="0.2">
      <c r="B2" s="31" t="s">
        <v>8</v>
      </c>
      <c r="C2" s="19"/>
      <c r="D2" s="19"/>
      <c r="E2" s="19"/>
      <c r="F2" s="19"/>
      <c r="G2" s="6"/>
    </row>
    <row r="3" spans="2:7" x14ac:dyDescent="0.2">
      <c r="B3" s="7" t="s">
        <v>16</v>
      </c>
      <c r="C3" s="30" t="s">
        <v>2</v>
      </c>
      <c r="D3" s="30" t="s">
        <v>3</v>
      </c>
      <c r="E3" s="30" t="s">
        <v>4</v>
      </c>
      <c r="F3" s="30" t="s">
        <v>5</v>
      </c>
      <c r="G3" s="6"/>
    </row>
    <row r="4" spans="2:7" x14ac:dyDescent="0.2">
      <c r="B4" s="7"/>
      <c r="C4" s="30" t="s">
        <v>44</v>
      </c>
      <c r="D4" s="30" t="s">
        <v>44</v>
      </c>
      <c r="E4" s="30" t="s">
        <v>45</v>
      </c>
      <c r="F4" s="30" t="s">
        <v>45</v>
      </c>
      <c r="G4" s="6"/>
    </row>
    <row r="5" spans="2:7" x14ac:dyDescent="0.2">
      <c r="B5" s="28" t="s">
        <v>36</v>
      </c>
      <c r="C5" s="5"/>
      <c r="D5" s="5"/>
      <c r="E5" s="5"/>
      <c r="F5" s="5"/>
      <c r="G5" s="6"/>
    </row>
    <row r="6" spans="2:7" x14ac:dyDescent="0.2">
      <c r="B6" s="20" t="s">
        <v>6</v>
      </c>
      <c r="C6" s="4">
        <v>31.5</v>
      </c>
      <c r="D6" s="4">
        <v>32.4</v>
      </c>
      <c r="E6" s="4">
        <v>37.299999999999997</v>
      </c>
      <c r="F6" s="4">
        <v>53.946401200510607</v>
      </c>
      <c r="G6" s="6"/>
    </row>
    <row r="7" spans="2:7" x14ac:dyDescent="0.2">
      <c r="B7" s="20" t="s">
        <v>7</v>
      </c>
      <c r="C7" s="4">
        <v>31</v>
      </c>
      <c r="D7" s="4">
        <v>32.9</v>
      </c>
      <c r="E7" s="4">
        <v>38.9</v>
      </c>
      <c r="F7" s="4">
        <v>42.650782947560735</v>
      </c>
      <c r="G7" s="6"/>
    </row>
    <row r="8" spans="2:7" x14ac:dyDescent="0.2">
      <c r="B8" s="20" t="s">
        <v>9</v>
      </c>
      <c r="C8" s="4">
        <v>18.599999999999998</v>
      </c>
      <c r="D8" s="4">
        <v>22.8</v>
      </c>
      <c r="E8" s="4">
        <v>28.299999999999997</v>
      </c>
      <c r="F8" s="4">
        <v>32.533501129463197</v>
      </c>
      <c r="G8" s="6"/>
    </row>
    <row r="9" spans="2:7" x14ac:dyDescent="0.2">
      <c r="B9" s="20" t="s">
        <v>10</v>
      </c>
      <c r="C9" s="4">
        <v>62.8</v>
      </c>
      <c r="D9" s="4">
        <v>57.9</v>
      </c>
      <c r="E9" s="4">
        <v>42.6</v>
      </c>
      <c r="F9" s="4">
        <v>36.20233875574327</v>
      </c>
      <c r="G9" s="6"/>
    </row>
    <row r="10" spans="2:7" x14ac:dyDescent="0.2">
      <c r="B10" s="17" t="s">
        <v>0</v>
      </c>
      <c r="C10" s="4">
        <v>143.9</v>
      </c>
      <c r="D10" s="4">
        <v>146.00000000000003</v>
      </c>
      <c r="E10" s="4">
        <v>147.1</v>
      </c>
      <c r="F10" s="4">
        <v>165.33302403327778</v>
      </c>
      <c r="G10" s="6"/>
    </row>
    <row r="11" spans="2:7" x14ac:dyDescent="0.2">
      <c r="B11" s="9"/>
      <c r="C11" s="34"/>
      <c r="D11" s="34"/>
      <c r="E11" s="34"/>
      <c r="F11" s="34"/>
      <c r="G11" s="6"/>
    </row>
    <row r="12" spans="2:7" x14ac:dyDescent="0.2">
      <c r="B12" s="28" t="s">
        <v>11</v>
      </c>
      <c r="C12" s="5"/>
      <c r="D12" s="5"/>
      <c r="E12" s="5"/>
      <c r="F12" s="5"/>
      <c r="G12" s="6"/>
    </row>
    <row r="13" spans="2:7" x14ac:dyDescent="0.2">
      <c r="B13" s="20" t="s">
        <v>6</v>
      </c>
      <c r="C13" s="3">
        <v>9.5</v>
      </c>
      <c r="D13" s="3">
        <v>9.1999999999999993</v>
      </c>
      <c r="E13" s="3">
        <v>11.2</v>
      </c>
      <c r="F13" s="3">
        <v>15.564811259537079</v>
      </c>
      <c r="G13" s="6"/>
    </row>
    <row r="14" spans="2:7" x14ac:dyDescent="0.2">
      <c r="B14" s="20" t="s">
        <v>7</v>
      </c>
      <c r="C14" s="3">
        <v>11.1</v>
      </c>
      <c r="D14" s="3">
        <v>10.3</v>
      </c>
      <c r="E14" s="3">
        <v>14.4</v>
      </c>
      <c r="F14" s="3">
        <v>15.213229702279836</v>
      </c>
      <c r="G14" s="6"/>
    </row>
    <row r="15" spans="2:7" x14ac:dyDescent="0.2">
      <c r="B15" s="20" t="s">
        <v>9</v>
      </c>
      <c r="C15" s="3">
        <v>4</v>
      </c>
      <c r="D15" s="3">
        <v>3.8</v>
      </c>
      <c r="E15" s="3">
        <v>5.4</v>
      </c>
      <c r="F15" s="3">
        <v>6.918528094937475</v>
      </c>
      <c r="G15" s="6"/>
    </row>
    <row r="16" spans="2:7" x14ac:dyDescent="0.2">
      <c r="B16" s="20" t="s">
        <v>10</v>
      </c>
      <c r="C16" s="3">
        <v>16</v>
      </c>
      <c r="D16" s="3">
        <v>15.599999999999998</v>
      </c>
      <c r="E16" s="3">
        <v>15.000000000000002</v>
      </c>
      <c r="F16" s="3">
        <v>14.528396874438059</v>
      </c>
      <c r="G16" s="6"/>
    </row>
    <row r="17" spans="2:7" x14ac:dyDescent="0.2">
      <c r="B17" s="17" t="s">
        <v>17</v>
      </c>
      <c r="C17" s="3">
        <v>40.6</v>
      </c>
      <c r="D17" s="3">
        <v>38.9</v>
      </c>
      <c r="E17" s="3">
        <v>46</v>
      </c>
      <c r="F17" s="3">
        <v>52.224965931192436</v>
      </c>
      <c r="G17" s="6"/>
    </row>
    <row r="18" spans="2:7" x14ac:dyDescent="0.2">
      <c r="B18" s="9"/>
      <c r="C18" s="24"/>
      <c r="D18" s="24"/>
      <c r="E18" s="24"/>
      <c r="F18" s="24"/>
      <c r="G18" s="6"/>
    </row>
    <row r="19" spans="2:7" x14ac:dyDescent="0.2">
      <c r="B19" s="29" t="s">
        <v>37</v>
      </c>
      <c r="C19" s="9"/>
      <c r="D19" s="9"/>
      <c r="E19" s="9"/>
      <c r="F19" s="9"/>
      <c r="G19" s="6"/>
    </row>
    <row r="20" spans="2:7" x14ac:dyDescent="0.2">
      <c r="B20" s="20" t="s">
        <v>12</v>
      </c>
      <c r="C20" s="3">
        <v>-23.77416152</v>
      </c>
      <c r="D20" s="3">
        <v>-24.428558209999998</v>
      </c>
      <c r="E20" s="3">
        <v>-25.728552310000005</v>
      </c>
      <c r="F20" s="3">
        <v>-26.453283845324446</v>
      </c>
      <c r="G20" s="6"/>
    </row>
    <row r="21" spans="2:7" x14ac:dyDescent="0.2">
      <c r="B21" s="20" t="s">
        <v>13</v>
      </c>
      <c r="C21" s="3">
        <v>-11.355504070000002</v>
      </c>
      <c r="D21" s="3">
        <v>-9.1910144199999984</v>
      </c>
      <c r="E21" s="3">
        <v>-9.1900621000000005</v>
      </c>
      <c r="F21" s="3">
        <v>-9.3418151038012862</v>
      </c>
      <c r="G21" s="6"/>
    </row>
    <row r="22" spans="2:7" x14ac:dyDescent="0.2">
      <c r="B22" s="20" t="s">
        <v>14</v>
      </c>
      <c r="C22" s="3">
        <v>1.9575444100000019</v>
      </c>
      <c r="D22" s="3">
        <v>1.9168257800000013</v>
      </c>
      <c r="E22" s="3">
        <v>1.9825991500000009</v>
      </c>
      <c r="F22" s="3">
        <v>2.1493293124326112</v>
      </c>
      <c r="G22" s="6"/>
    </row>
    <row r="23" spans="2:7" x14ac:dyDescent="0.2">
      <c r="B23" s="20" t="s">
        <v>38</v>
      </c>
      <c r="C23" s="3">
        <v>-33.172121179999998</v>
      </c>
      <c r="D23" s="3">
        <v>-31.702746849999993</v>
      </c>
      <c r="E23" s="3">
        <v>-32.936015260000005</v>
      </c>
      <c r="F23" s="3">
        <v>-33.645769636693117</v>
      </c>
      <c r="G23" s="6"/>
    </row>
    <row r="24" spans="2:7" x14ac:dyDescent="0.2">
      <c r="B24" s="8"/>
      <c r="C24" s="3"/>
      <c r="D24" s="3"/>
      <c r="E24" s="3"/>
      <c r="F24" s="3"/>
      <c r="G24" s="6"/>
    </row>
    <row r="25" spans="2:7" x14ac:dyDescent="0.2">
      <c r="B25" s="17" t="s">
        <v>43</v>
      </c>
      <c r="C25" s="3">
        <v>7.4278788200000037</v>
      </c>
      <c r="D25" s="3">
        <v>7.1972531500000052</v>
      </c>
      <c r="E25" s="3">
        <v>13.063984739999995</v>
      </c>
      <c r="F25" s="3">
        <v>18.579196294499319</v>
      </c>
      <c r="G25" s="10"/>
    </row>
    <row r="26" spans="2:7" x14ac:dyDescent="0.2">
      <c r="B26" s="17"/>
      <c r="C26" s="3"/>
      <c r="D26" s="3"/>
      <c r="E26" s="3"/>
      <c r="F26" s="3"/>
      <c r="G26" s="6"/>
    </row>
    <row r="27" spans="2:7" x14ac:dyDescent="0.2">
      <c r="B27" s="32" t="s">
        <v>20</v>
      </c>
      <c r="C27" s="3"/>
      <c r="D27" s="3"/>
      <c r="E27" s="3"/>
      <c r="F27" s="3"/>
      <c r="G27" s="6"/>
    </row>
    <row r="28" spans="2:7" x14ac:dyDescent="0.2">
      <c r="B28" s="20" t="s">
        <v>15</v>
      </c>
      <c r="C28" s="3">
        <v>-3.2109358799999996</v>
      </c>
      <c r="D28" s="3">
        <v>-2.9779364400000001</v>
      </c>
      <c r="E28" s="3">
        <v>-5.5279112000000001</v>
      </c>
      <c r="F28" s="3">
        <v>-4.3133125165505914</v>
      </c>
      <c r="G28" s="6"/>
    </row>
    <row r="29" spans="2:7" x14ac:dyDescent="0.2">
      <c r="B29" s="20" t="s">
        <v>19</v>
      </c>
      <c r="C29" s="3">
        <v>-2</v>
      </c>
      <c r="D29" s="3">
        <v>-2.7</v>
      </c>
      <c r="E29" s="3">
        <v>-2.8</v>
      </c>
      <c r="F29" s="3">
        <v>-3.1403289647901</v>
      </c>
      <c r="G29" s="6"/>
    </row>
    <row r="30" spans="2:7" x14ac:dyDescent="0.2">
      <c r="B30" s="20" t="s">
        <v>50</v>
      </c>
      <c r="C30" s="11" t="s">
        <v>18</v>
      </c>
      <c r="D30" s="11" t="s">
        <v>18</v>
      </c>
      <c r="E30" s="3">
        <v>-1.4</v>
      </c>
      <c r="F30" s="3">
        <v>-1.5701644823950482</v>
      </c>
      <c r="G30" s="6"/>
    </row>
    <row r="31" spans="2:7" x14ac:dyDescent="0.2">
      <c r="B31" s="20" t="s">
        <v>49</v>
      </c>
      <c r="C31" s="11" t="s">
        <v>18</v>
      </c>
      <c r="D31" s="11">
        <v>-1</v>
      </c>
      <c r="E31" s="3">
        <v>-1.4</v>
      </c>
      <c r="F31" s="3">
        <v>-1.4</v>
      </c>
      <c r="G31" s="6"/>
    </row>
    <row r="32" spans="2:7" x14ac:dyDescent="0.2">
      <c r="B32" s="20" t="s">
        <v>42</v>
      </c>
      <c r="C32" s="11" t="s">
        <v>18</v>
      </c>
      <c r="D32" s="11">
        <v>-1.4432410605000001</v>
      </c>
      <c r="E32" s="3">
        <v>-1.7267365250000002</v>
      </c>
      <c r="F32" s="3">
        <v>-1.9366145442923213</v>
      </c>
      <c r="G32" s="6"/>
    </row>
    <row r="33" spans="2:7" x14ac:dyDescent="0.2">
      <c r="B33" s="20"/>
      <c r="C33" s="11"/>
      <c r="D33" s="11"/>
      <c r="E33" s="3"/>
      <c r="F33" s="3"/>
      <c r="G33" s="6"/>
    </row>
    <row r="34" spans="2:7" x14ac:dyDescent="0.2">
      <c r="B34" s="32" t="s">
        <v>56</v>
      </c>
      <c r="C34" s="9"/>
      <c r="D34" s="9"/>
      <c r="E34" s="9"/>
      <c r="F34" s="9"/>
      <c r="G34" s="6"/>
    </row>
    <row r="35" spans="2:7" x14ac:dyDescent="0.2">
      <c r="B35" s="9" t="s">
        <v>0</v>
      </c>
      <c r="C35" s="25" t="s">
        <v>18</v>
      </c>
      <c r="D35" s="26">
        <f>+D10/C10-1</f>
        <v>1.4593467685893202E-2</v>
      </c>
      <c r="E35" s="26">
        <f>+E10/D10-1</f>
        <v>7.534246575342296E-3</v>
      </c>
      <c r="F35" s="26">
        <f>+F10/E10-1</f>
        <v>0.12394985746619835</v>
      </c>
      <c r="G35" s="6"/>
    </row>
    <row r="36" spans="2:7" x14ac:dyDescent="0.2">
      <c r="B36" s="9" t="s">
        <v>17</v>
      </c>
      <c r="C36" s="25"/>
      <c r="D36" s="26">
        <f>D17/C17-1</f>
        <v>-4.1871921182266125E-2</v>
      </c>
      <c r="E36" s="26">
        <f t="shared" ref="E36:F36" si="0">E17/D17-1</f>
        <v>0.18251928020565567</v>
      </c>
      <c r="F36" s="26">
        <f t="shared" si="0"/>
        <v>0.13532534633027038</v>
      </c>
      <c r="G36" s="6"/>
    </row>
    <row r="37" spans="2:7" x14ac:dyDescent="0.2">
      <c r="B37" s="9" t="s">
        <v>38</v>
      </c>
      <c r="C37" s="25"/>
      <c r="D37" s="26">
        <f>D23/C23-1</f>
        <v>-4.4295458889313188E-2</v>
      </c>
      <c r="E37" s="26">
        <f t="shared" ref="E37:F37" si="1">E23/D23-1</f>
        <v>3.8900995419581808E-2</v>
      </c>
      <c r="F37" s="26">
        <f t="shared" si="1"/>
        <v>2.154949137259754E-2</v>
      </c>
      <c r="G37" s="6"/>
    </row>
    <row r="38" spans="2:7" x14ac:dyDescent="0.2">
      <c r="B38" s="9" t="s">
        <v>43</v>
      </c>
      <c r="C38" s="26"/>
      <c r="D38" s="26">
        <f>D25/C25-1</f>
        <v>-3.1048658114753436E-2</v>
      </c>
      <c r="E38" s="26">
        <f t="shared" ref="E38:F38" si="2">E25/D25-1</f>
        <v>0.81513481153570178</v>
      </c>
      <c r="F38" s="26">
        <f t="shared" si="2"/>
        <v>0.42216916693208928</v>
      </c>
      <c r="G38" s="6"/>
    </row>
    <row r="39" spans="2:7" x14ac:dyDescent="0.2">
      <c r="B39" s="9"/>
      <c r="C39" s="25"/>
      <c r="D39" s="26"/>
      <c r="E39" s="26"/>
      <c r="F39" s="26"/>
      <c r="G39" s="6"/>
    </row>
    <row r="40" spans="2:7" x14ac:dyDescent="0.2">
      <c r="B40" s="29" t="s">
        <v>57</v>
      </c>
      <c r="C40" s="25"/>
      <c r="D40" s="26"/>
      <c r="E40" s="26"/>
      <c r="F40" s="26"/>
      <c r="G40" s="6"/>
    </row>
    <row r="41" spans="2:7" x14ac:dyDescent="0.2">
      <c r="B41" s="9" t="s">
        <v>17</v>
      </c>
      <c r="C41" s="26">
        <f>+C17/C10</f>
        <v>0.28214037526059765</v>
      </c>
      <c r="D41" s="26">
        <f>+D17/D10</f>
        <v>0.26643835616438349</v>
      </c>
      <c r="E41" s="26">
        <f>+E17/E10</f>
        <v>0.31271244051665537</v>
      </c>
      <c r="F41" s="26">
        <f>+F17/F10</f>
        <v>0.31587740100054507</v>
      </c>
      <c r="G41" s="6"/>
    </row>
    <row r="42" spans="2:7" x14ac:dyDescent="0.2">
      <c r="B42" s="9" t="s">
        <v>38</v>
      </c>
      <c r="C42" s="26">
        <f>C23/C10</f>
        <v>-0.23052203738707433</v>
      </c>
      <c r="D42" s="26">
        <f>D23/D10</f>
        <v>-0.21714210171232867</v>
      </c>
      <c r="E42" s="26">
        <f>E23/E10</f>
        <v>-0.22390221114887834</v>
      </c>
      <c r="F42" s="26">
        <f>F23/F10</f>
        <v>-0.20350301963823628</v>
      </c>
      <c r="G42" s="6"/>
    </row>
    <row r="43" spans="2:7" x14ac:dyDescent="0.2">
      <c r="B43" s="9" t="s">
        <v>43</v>
      </c>
      <c r="C43" s="27">
        <f>C25/C10</f>
        <v>5.1618337873523303E-2</v>
      </c>
      <c r="D43" s="27">
        <f>D25/D10</f>
        <v>4.9296254452054822E-2</v>
      </c>
      <c r="E43" s="27">
        <f>E25/E10</f>
        <v>8.8810229367776994E-2</v>
      </c>
      <c r="F43" s="27">
        <f>F25/F10</f>
        <v>0.11237438136230878</v>
      </c>
      <c r="G43" s="6"/>
    </row>
    <row r="44" spans="2:7" x14ac:dyDescent="0.2">
      <c r="B44" s="9"/>
      <c r="C44" s="27"/>
      <c r="D44" s="27"/>
      <c r="E44" s="27"/>
      <c r="F44" s="27"/>
      <c r="G44" s="6"/>
    </row>
    <row r="45" spans="2:7" x14ac:dyDescent="0.2">
      <c r="B45" s="31" t="s">
        <v>31</v>
      </c>
      <c r="C45" s="19"/>
      <c r="D45" s="19"/>
      <c r="E45" s="19"/>
      <c r="F45" s="19"/>
      <c r="G45" s="6"/>
    </row>
    <row r="46" spans="2:7" x14ac:dyDescent="0.2">
      <c r="B46" s="7" t="s">
        <v>1</v>
      </c>
      <c r="C46" s="16"/>
      <c r="D46" s="33" t="str">
        <f>D3</f>
        <v>2018A</v>
      </c>
      <c r="E46" s="33" t="str">
        <f t="shared" ref="E46:F46" si="3">E3</f>
        <v>2019A</v>
      </c>
      <c r="F46" s="33" t="str">
        <f t="shared" si="3"/>
        <v>2020E</v>
      </c>
      <c r="G46" s="6"/>
    </row>
    <row r="47" spans="2:7" x14ac:dyDescent="0.2">
      <c r="B47" s="28" t="s">
        <v>39</v>
      </c>
      <c r="C47" s="16"/>
      <c r="D47" s="18"/>
      <c r="E47" s="18"/>
      <c r="F47" s="18"/>
      <c r="G47" s="6"/>
    </row>
    <row r="48" spans="2:7" x14ac:dyDescent="0.2">
      <c r="B48" s="20" t="s">
        <v>48</v>
      </c>
      <c r="C48" s="9"/>
      <c r="D48" s="12">
        <v>3.0813374599999999</v>
      </c>
      <c r="E48" s="12">
        <v>7.1965906900000007</v>
      </c>
      <c r="F48" s="12">
        <v>7.4236071382395048</v>
      </c>
      <c r="G48" s="6"/>
    </row>
    <row r="49" spans="2:7" x14ac:dyDescent="0.2">
      <c r="B49" s="20" t="s">
        <v>32</v>
      </c>
      <c r="C49" s="9"/>
      <c r="D49" s="12">
        <v>44.430985339999999</v>
      </c>
      <c r="E49" s="12">
        <v>46.330678079999998</v>
      </c>
      <c r="F49" s="12">
        <v>46.330678079999998</v>
      </c>
      <c r="G49" s="6"/>
    </row>
    <row r="50" spans="2:7" x14ac:dyDescent="0.2">
      <c r="B50" s="20" t="s">
        <v>21</v>
      </c>
      <c r="C50" s="9"/>
      <c r="D50" s="12">
        <v>5.5237091999999999</v>
      </c>
      <c r="E50" s="12">
        <v>7.4368546900000005</v>
      </c>
      <c r="F50" s="12">
        <v>8.3340341610917132</v>
      </c>
      <c r="G50" s="6"/>
    </row>
    <row r="51" spans="2:7" x14ac:dyDescent="0.2">
      <c r="B51" s="20" t="s">
        <v>22</v>
      </c>
      <c r="C51" s="9"/>
      <c r="D51" s="12">
        <v>4.89567014</v>
      </c>
      <c r="E51" s="12">
        <v>1.2501710800000001</v>
      </c>
      <c r="F51" s="12">
        <v>0.95922502125845654</v>
      </c>
      <c r="G51" s="6"/>
    </row>
    <row r="52" spans="2:7" x14ac:dyDescent="0.2">
      <c r="B52" s="20" t="s">
        <v>23</v>
      </c>
      <c r="C52" s="9"/>
      <c r="D52" s="12">
        <v>14.432410605000001</v>
      </c>
      <c r="E52" s="12">
        <v>17.267365250000001</v>
      </c>
      <c r="F52" s="12">
        <v>19.366145442923212</v>
      </c>
      <c r="G52" s="6"/>
    </row>
    <row r="53" spans="2:7" x14ac:dyDescent="0.2">
      <c r="B53" s="20" t="s">
        <v>53</v>
      </c>
      <c r="C53" s="9"/>
      <c r="D53" s="12">
        <v>1.4432410605000001</v>
      </c>
      <c r="E53" s="12">
        <v>1.7267365249999997</v>
      </c>
      <c r="F53" s="12">
        <v>1.9366145442923202</v>
      </c>
      <c r="G53" s="6"/>
    </row>
    <row r="54" spans="2:7" x14ac:dyDescent="0.2">
      <c r="B54" s="20" t="s">
        <v>33</v>
      </c>
      <c r="C54" s="9"/>
      <c r="D54" s="12">
        <v>17.410772784000002</v>
      </c>
      <c r="E54" s="12">
        <v>21.633166320000001</v>
      </c>
      <c r="F54" s="12">
        <v>25.892916354338567</v>
      </c>
      <c r="G54" s="6"/>
    </row>
    <row r="55" spans="2:7" x14ac:dyDescent="0.2">
      <c r="B55" s="20" t="s">
        <v>24</v>
      </c>
      <c r="C55" s="9"/>
      <c r="D55" s="12">
        <v>2.4459022300000002</v>
      </c>
      <c r="E55" s="12">
        <v>0.61386156999999997</v>
      </c>
      <c r="F55" s="12">
        <v>0.68847402451518691</v>
      </c>
      <c r="G55" s="6"/>
    </row>
    <row r="56" spans="2:7" x14ac:dyDescent="0.2">
      <c r="B56" s="20" t="s">
        <v>25</v>
      </c>
      <c r="C56" s="9"/>
      <c r="D56" s="12">
        <v>1.9192557800000001</v>
      </c>
      <c r="E56" s="12">
        <v>1.75254797</v>
      </c>
      <c r="F56" s="12">
        <v>1.9655632687053874</v>
      </c>
      <c r="G56" s="6"/>
    </row>
    <row r="57" spans="2:7" x14ac:dyDescent="0.2">
      <c r="B57" s="20" t="s">
        <v>58</v>
      </c>
      <c r="C57" s="9"/>
      <c r="D57" s="12">
        <v>95.583284599500004</v>
      </c>
      <c r="E57" s="12">
        <v>105.20797217499998</v>
      </c>
      <c r="F57" s="12">
        <v>112.89725803536435</v>
      </c>
      <c r="G57" s="6"/>
    </row>
    <row r="58" spans="2:7" x14ac:dyDescent="0.2">
      <c r="B58" s="8"/>
      <c r="C58" s="9"/>
      <c r="D58" s="12"/>
      <c r="E58" s="12"/>
      <c r="F58" s="12"/>
      <c r="G58" s="6"/>
    </row>
    <row r="59" spans="2:7" x14ac:dyDescent="0.2">
      <c r="B59" s="28" t="s">
        <v>40</v>
      </c>
      <c r="C59" s="9"/>
      <c r="D59" s="9"/>
      <c r="E59" s="9"/>
      <c r="F59" s="9"/>
      <c r="G59" s="6"/>
    </row>
    <row r="60" spans="2:7" x14ac:dyDescent="0.2">
      <c r="B60" s="20" t="s">
        <v>52</v>
      </c>
      <c r="C60" s="9"/>
      <c r="D60" s="12">
        <v>5.8420196600000001</v>
      </c>
      <c r="E60" s="12">
        <v>2.1252234199999998</v>
      </c>
      <c r="F60" s="12">
        <v>4.8344713013588434</v>
      </c>
      <c r="G60" s="6"/>
    </row>
    <row r="61" spans="2:7" x14ac:dyDescent="0.2">
      <c r="B61" s="20" t="s">
        <v>34</v>
      </c>
      <c r="C61" s="9"/>
      <c r="D61" s="12">
        <v>25.364502779999999</v>
      </c>
      <c r="E61" s="12">
        <v>25.882795499999997</v>
      </c>
      <c r="F61" s="12">
        <v>28.133635280010239</v>
      </c>
      <c r="G61" s="13"/>
    </row>
    <row r="62" spans="2:7" x14ac:dyDescent="0.2">
      <c r="B62" s="20" t="s">
        <v>35</v>
      </c>
      <c r="C62" s="9"/>
      <c r="D62" s="12">
        <v>8.6999999999999993</v>
      </c>
      <c r="E62" s="12">
        <v>13.279202510000001</v>
      </c>
      <c r="F62" s="12">
        <v>15.139316780821915</v>
      </c>
      <c r="G62" s="6"/>
    </row>
    <row r="63" spans="2:7" x14ac:dyDescent="0.2">
      <c r="B63" s="20" t="s">
        <v>26</v>
      </c>
      <c r="C63" s="9"/>
      <c r="D63" s="12">
        <v>17.225710390000003</v>
      </c>
      <c r="E63" s="12">
        <v>17.292547590000002</v>
      </c>
      <c r="F63" s="12">
        <v>17.504447156483657</v>
      </c>
      <c r="G63" s="6"/>
    </row>
    <row r="64" spans="2:7" x14ac:dyDescent="0.2">
      <c r="B64" s="20" t="s">
        <v>51</v>
      </c>
      <c r="C64" s="9"/>
      <c r="D64" s="12">
        <v>1.2305627299999999</v>
      </c>
      <c r="E64" s="12">
        <v>1.8583791299999999</v>
      </c>
      <c r="F64" s="12">
        <v>1.8583791299999999</v>
      </c>
      <c r="G64" s="6"/>
    </row>
    <row r="65" spans="2:7" x14ac:dyDescent="0.2">
      <c r="B65" s="20" t="s">
        <v>46</v>
      </c>
      <c r="C65" s="9"/>
      <c r="D65" s="12">
        <v>0</v>
      </c>
      <c r="E65" s="12">
        <v>3.7733252300000002</v>
      </c>
      <c r="F65" s="12">
        <v>3.7733252300000002</v>
      </c>
      <c r="G65" s="6"/>
    </row>
    <row r="66" spans="2:7" x14ac:dyDescent="0.2">
      <c r="B66" s="20" t="s">
        <v>27</v>
      </c>
      <c r="C66" s="9"/>
      <c r="D66" s="12">
        <v>23.503779160000001</v>
      </c>
      <c r="E66" s="12">
        <v>26.8249809</v>
      </c>
      <c r="F66" s="12">
        <v>29.951474245060318</v>
      </c>
      <c r="G66" s="6"/>
    </row>
    <row r="67" spans="2:7" x14ac:dyDescent="0.2">
      <c r="B67" s="20" t="s">
        <v>28</v>
      </c>
      <c r="C67" s="9"/>
      <c r="D67" s="12">
        <v>0.56064376999999999</v>
      </c>
      <c r="E67" s="12">
        <v>0.52455576999999998</v>
      </c>
      <c r="F67" s="12">
        <v>0.58831345649241851</v>
      </c>
      <c r="G67" s="6"/>
    </row>
    <row r="68" spans="2:7" x14ac:dyDescent="0.2">
      <c r="B68" s="20" t="s">
        <v>29</v>
      </c>
      <c r="C68" s="9"/>
      <c r="D68" s="12">
        <v>0.79652328999999999</v>
      </c>
      <c r="E68" s="12">
        <v>1.0315279399999999</v>
      </c>
      <c r="F68" s="12">
        <v>1.1569060957043789</v>
      </c>
      <c r="G68" s="6"/>
    </row>
    <row r="69" spans="2:7" x14ac:dyDescent="0.2">
      <c r="B69" s="20" t="s">
        <v>30</v>
      </c>
      <c r="C69" s="9"/>
      <c r="D69" s="12">
        <v>0.32406812000000002</v>
      </c>
      <c r="E69" s="12">
        <v>1.1894241200000002</v>
      </c>
      <c r="F69" s="12">
        <v>1.3339939340914186</v>
      </c>
      <c r="G69" s="6"/>
    </row>
    <row r="70" spans="2:7" x14ac:dyDescent="0.2">
      <c r="B70" s="20" t="s">
        <v>58</v>
      </c>
      <c r="C70" s="9"/>
      <c r="D70" s="14">
        <v>83.547809900000019</v>
      </c>
      <c r="E70" s="14">
        <v>93.781962110000009</v>
      </c>
      <c r="F70" s="14">
        <v>104.2742626100232</v>
      </c>
      <c r="G70" s="6"/>
    </row>
    <row r="71" spans="2:7" x14ac:dyDescent="0.2">
      <c r="B71" s="20"/>
      <c r="C71" s="9"/>
      <c r="D71" s="14"/>
      <c r="E71" s="14"/>
      <c r="F71" s="14"/>
      <c r="G71" s="6"/>
    </row>
    <row r="72" spans="2:7" x14ac:dyDescent="0.2">
      <c r="B72" s="9" t="s">
        <v>41</v>
      </c>
      <c r="C72" s="9"/>
      <c r="D72" s="15">
        <v>12.035474699499986</v>
      </c>
      <c r="E72" s="15">
        <v>11.426010064999971</v>
      </c>
      <c r="F72" s="15">
        <v>8.6229954253411449</v>
      </c>
      <c r="G72" s="6"/>
    </row>
    <row r="73" spans="2:7" x14ac:dyDescent="0.2">
      <c r="B73" s="9"/>
      <c r="C73" s="9"/>
      <c r="D73" s="15"/>
      <c r="E73" s="15"/>
      <c r="F73" s="15"/>
      <c r="G73" s="6"/>
    </row>
    <row r="74" spans="2:7" x14ac:dyDescent="0.2">
      <c r="B74" s="23" t="s">
        <v>47</v>
      </c>
      <c r="C74" s="9"/>
      <c r="D74" s="9"/>
      <c r="E74" s="9"/>
      <c r="F74" s="9"/>
      <c r="G74" s="6"/>
    </row>
    <row r="75" spans="2:7" x14ac:dyDescent="0.2">
      <c r="B75" s="22" t="s">
        <v>54</v>
      </c>
      <c r="C75" s="9"/>
      <c r="D75" s="9"/>
      <c r="E75" s="9"/>
      <c r="F75" s="9"/>
      <c r="G75" s="6"/>
    </row>
    <row r="76" spans="2:7" x14ac:dyDescent="0.2">
      <c r="B76" s="21" t="s">
        <v>59</v>
      </c>
      <c r="C76" s="9"/>
      <c r="D76" s="9"/>
      <c r="E76" s="9"/>
      <c r="F76" s="9"/>
      <c r="G76" s="6"/>
    </row>
    <row r="77" spans="2:7" x14ac:dyDescent="0.2">
      <c r="B77" s="22" t="s">
        <v>55</v>
      </c>
      <c r="C77" s="9"/>
      <c r="D77" s="9"/>
      <c r="E77" s="9"/>
      <c r="F77" s="9"/>
      <c r="G77" s="6"/>
    </row>
    <row r="79" spans="2:7" x14ac:dyDescent="0.2">
      <c r="D79" s="2"/>
      <c r="E79" s="2"/>
      <c r="F79" s="2"/>
    </row>
    <row r="81" spans="4:6" x14ac:dyDescent="0.2">
      <c r="D81" s="2"/>
      <c r="E81" s="2"/>
      <c r="F81" s="2"/>
    </row>
    <row r="83" spans="4:6" x14ac:dyDescent="0.2">
      <c r="E83" s="2"/>
    </row>
    <row r="84" spans="4:6" x14ac:dyDescent="0.2">
      <c r="E84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Lind</dc:creator>
  <cp:lastModifiedBy>Andreas Lind</cp:lastModifiedBy>
  <dcterms:created xsi:type="dcterms:W3CDTF">2021-07-22T14:38:49Z</dcterms:created>
  <dcterms:modified xsi:type="dcterms:W3CDTF">2021-08-03T07:37:44Z</dcterms:modified>
</cp:coreProperties>
</file>